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6A26FB3C-EA34-E94E-B44F-155022A03E1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swalker/DCF/resources/"/>
    </mc:Choice>
  </mc:AlternateContent>
  <xr:revisionPtr revIDLastSave="0" documentId="13_ncr:1_{AD109BE8-1CD3-FA4F-9183-FD1E16A2D18C}" xr6:coauthVersionLast="47" xr6:coauthVersionMax="47" xr10:uidLastSave="{00000000-0000-0000-0000-000000000000}"/>
  <bookViews>
    <workbookView xWindow="0" yWindow="740" windowWidth="29400" windowHeight="16500" activeTab="1" xr2:uid="{00000000-000D-0000-FFFF-FFFF00000000}"/>
  </bookViews>
  <sheets>
    <sheet name="Assumptions" sheetId="1" r:id="rId1"/>
    <sheet name="DCF" sheetId="4" r:id="rId2"/>
    <sheet name="Comparable multiples" sheetId="2" r:id="rId3"/>
    <sheet name="Charts" sheetId="3" r:id="rId4"/>
    <sheet name="PPE &amp; Depreciation Schedule" sheetId="11" r:id="rId5"/>
    <sheet name="Income Statement Historic" sheetId="8" state="hidden" r:id="rId6"/>
    <sheet name="Cash flow statement Historic" sheetId="9" state="hidden" r:id="rId7"/>
    <sheet name="Balance Sheet Historic" sheetId="6" state="hidden" r:id="rId8"/>
    <sheet name="Information from Python" sheetId="5" state="hidden" r:id="rId9"/>
    <sheet name="Ratios" sheetId="10" state="hidden" r:id="rId10"/>
  </sheets>
  <definedNames>
    <definedName name="_xleta.ABS" hidden="1" xlm="1">#NAME?</definedName>
    <definedName name="_xleta.MIN" hidden="1" xlm="1">#NAME?</definedName>
    <definedName name="_xleta.MODE" hidden="1" xlm="1">#NAME?</definedName>
    <definedName name="_xleta.OFFSET" hidden="1" xlm="1">#NAME?</definedName>
    <definedName name="_xleta.SHEET" hidden="1" xlm="1">#NAME?</definedName>
    <definedName name="_xleta.SUM" hidden="1" xlm="1">#NAME?</definedName>
    <definedName name="Average_Gross_Margin">Ratios!$F$6</definedName>
    <definedName name="Average_Growth_Sales">Ratios!$F$11</definedName>
    <definedName name="Average_Inventory_Turnover">Ratios!$F$7</definedName>
    <definedName name="Average_Payable_Turnover">Ratios!$F$9</definedName>
    <definedName name="Average_Receivables_Turnover">Ratios!$F$8</definedName>
    <definedName name="Beta_Equity">'Information from Python'!$C$14</definedName>
    <definedName name="Cash">'Comparable multiples'!$E$12</definedName>
    <definedName name="EBITDA_FY0">'Comparable multiples'!$H$9</definedName>
    <definedName name="EBITDA_FY1">'Comparable multiples'!$I$9</definedName>
    <definedName name="EV_EBITDA_FY0">'Comparable multiples'!$H$11</definedName>
    <definedName name="EV_REVENUE_FY0">'Comparable multiples'!$H$10</definedName>
    <definedName name="Forecasted_Years">'Information from Python'!$C$8</definedName>
    <definedName name="Gross_Margin">Assumptions!$D$8</definedName>
    <definedName name="Growth_Non_Operating">Assumptions!$D$10</definedName>
    <definedName name="Growth_RATE_ONWC">Assumptions!$D$13</definedName>
    <definedName name="Growth_RATE_PPE">Assumptions!$D$12</definedName>
    <definedName name="Growth_Sales">Assumptions!$D$6</definedName>
    <definedName name="Growth_SGA">Assumptions!$D$9</definedName>
    <definedName name="High_Share_Price">'Information from Python'!$C$21</definedName>
    <definedName name="Industry">'Information from Python'!$C$12</definedName>
    <definedName name="Interest_Rate">Assumptions!$D$18</definedName>
    <definedName name="Latest_Interest">'Income Statement Historic'!$C$15</definedName>
    <definedName name="Low_Share_Price">'Information from Python'!$C$22</definedName>
    <definedName name="Market_Return">'Information from Python'!$C$16</definedName>
    <definedName name="Name">'Information from Python'!$C$6</definedName>
    <definedName name="Perpetuity_Growth_Rate">Assumptions!$D$15</definedName>
    <definedName name="Revenue_FY0">'Comparable multiples'!$H$8</definedName>
    <definedName name="Revenue_FY1">'Comparable multiples'!$I$8</definedName>
    <definedName name="Risk_Premium">'Information from Python'!$C$17</definedName>
    <definedName name="Riskfree_Return">'Information from Python'!$C$15</definedName>
    <definedName name="Shares_Outstanding">'Information from Python'!$C$19</definedName>
    <definedName name="Start_Year">'Information from Python'!$C$9</definedName>
    <definedName name="Tax_Rate">Assumptions!$D$17</definedName>
    <definedName name="Ticker">'Information from Python'!$C$5</definedName>
    <definedName name="Total_Debt">'Comparable multiples'!$E$11</definedName>
    <definedName name="Total_Debt_FY_minu1">'Balance Sheet Historic'!$D$62</definedName>
    <definedName name="Total_Debt_FY0">'Balance Sheet Historic'!$C$62</definedName>
    <definedName name="WACC">DCF!$E$57</definedName>
    <definedName name="Yearly_Depreciation">Assumptions!$D$12</definedName>
    <definedName name="Years_Forecasted">'Information from Python'!$C$10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5" i="11" l="1"/>
  <c r="AT8" i="3"/>
  <c r="AT9" i="3"/>
  <c r="AT10" i="3"/>
  <c r="AT11" i="3"/>
  <c r="AT12" i="3"/>
  <c r="AT13" i="3"/>
  <c r="AT6" i="3"/>
  <c r="B7" i="3"/>
  <c r="AT7" i="3" s="1"/>
  <c r="I31" i="4"/>
  <c r="E7" i="3"/>
  <c r="D7" i="3"/>
  <c r="F7" i="3"/>
  <c r="R221" i="4"/>
  <c r="Q221" i="4"/>
  <c r="P221" i="4"/>
  <c r="T221" i="4" s="1"/>
  <c r="R220" i="4"/>
  <c r="Q220" i="4"/>
  <c r="P220" i="4"/>
  <c r="T220" i="4" s="1"/>
  <c r="R219" i="4"/>
  <c r="Q219" i="4"/>
  <c r="P219" i="4"/>
  <c r="R168" i="4"/>
  <c r="Q168" i="4"/>
  <c r="P168" i="4"/>
  <c r="T168" i="4" s="1"/>
  <c r="R167" i="4"/>
  <c r="Q167" i="4"/>
  <c r="P167" i="4"/>
  <c r="R166" i="4"/>
  <c r="Q166" i="4"/>
  <c r="P166" i="4"/>
  <c r="T166" i="4" s="1"/>
  <c r="Q112" i="4"/>
  <c r="R113" i="4"/>
  <c r="Q113" i="4"/>
  <c r="P113" i="4"/>
  <c r="T113" i="4" s="1"/>
  <c r="R112" i="4"/>
  <c r="P112" i="4"/>
  <c r="T112" i="4" s="1"/>
  <c r="D22" i="1"/>
  <c r="C208" i="4"/>
  <c r="C206" i="4"/>
  <c r="C205" i="4"/>
  <c r="C204" i="4"/>
  <c r="C155" i="4"/>
  <c r="C153" i="4"/>
  <c r="C152" i="4"/>
  <c r="C151" i="4"/>
  <c r="C148" i="4"/>
  <c r="F121" i="4"/>
  <c r="E121" i="4" s="1"/>
  <c r="D121" i="4" s="1"/>
  <c r="F132" i="4"/>
  <c r="E132" i="4" s="1"/>
  <c r="D132" i="4" s="1"/>
  <c r="F5" i="5" a="1"/>
  <c r="U221" i="4" l="1"/>
  <c r="V221" i="4"/>
  <c r="V220" i="4"/>
  <c r="U220" i="4"/>
  <c r="U167" i="4"/>
  <c r="V167" i="4"/>
  <c r="V168" i="4"/>
  <c r="U168" i="4"/>
  <c r="V112" i="4"/>
  <c r="T167" i="4"/>
  <c r="V113" i="4"/>
  <c r="V166" i="4"/>
  <c r="U166" i="4"/>
  <c r="U113" i="4"/>
  <c r="U112" i="4"/>
  <c r="F5" i="5"/>
  <c r="G132" i="4"/>
  <c r="H132" i="4" s="1"/>
  <c r="G121" i="4"/>
  <c r="H121" i="4" s="1"/>
  <c r="D5" i="4" l="1"/>
  <c r="D17" i="1"/>
  <c r="AZ13" i="3"/>
  <c r="BA13" i="3"/>
  <c r="BB13" i="3"/>
  <c r="AV6" i="3"/>
  <c r="B28" i="5"/>
  <c r="B29" i="5"/>
  <c r="B30" i="5"/>
  <c r="B31" i="5"/>
  <c r="B32" i="5"/>
  <c r="B33" i="5"/>
  <c r="B34" i="5"/>
  <c r="B35" i="5"/>
  <c r="B36" i="5"/>
  <c r="B37" i="5"/>
  <c r="B38" i="5"/>
  <c r="B27" i="5"/>
  <c r="B4" i="3"/>
  <c r="AT4" i="3" s="1"/>
  <c r="B67" i="4"/>
  <c r="H7" i="3"/>
  <c r="AZ7" i="3" s="1"/>
  <c r="AX7" i="3"/>
  <c r="F6" i="3"/>
  <c r="AX6" i="3" s="1"/>
  <c r="D6" i="3"/>
  <c r="H6" i="3" s="1"/>
  <c r="AZ6" i="3" s="1"/>
  <c r="E9" i="2"/>
  <c r="B40" i="2" a="1"/>
  <c r="B40" i="2" s="1"/>
  <c r="F35" i="2"/>
  <c r="G35" i="2"/>
  <c r="H35" i="2"/>
  <c r="F36" i="2"/>
  <c r="G36" i="2"/>
  <c r="H36" i="2"/>
  <c r="F37" i="2"/>
  <c r="G37" i="2"/>
  <c r="H37" i="2"/>
  <c r="F38" i="2"/>
  <c r="G38" i="2"/>
  <c r="H38" i="2"/>
  <c r="E35" i="2"/>
  <c r="E38" i="2"/>
  <c r="E37" i="2"/>
  <c r="E36" i="2"/>
  <c r="E6" i="3" l="1"/>
  <c r="AV7" i="3"/>
  <c r="AZ29" i="2" a="1"/>
  <c r="C101" i="4"/>
  <c r="N9" i="2"/>
  <c r="N8" i="2"/>
  <c r="F110" i="4"/>
  <c r="I94" i="4"/>
  <c r="Q111" i="4" s="1"/>
  <c r="M64" i="4"/>
  <c r="D66" i="4"/>
  <c r="N5" i="4"/>
  <c r="O5" i="4"/>
  <c r="I5" i="4"/>
  <c r="J5" i="4"/>
  <c r="K5" i="4"/>
  <c r="L5" i="4"/>
  <c r="M5" i="4"/>
  <c r="E23" i="4"/>
  <c r="D23" i="4"/>
  <c r="D6" i="4"/>
  <c r="D7" i="4"/>
  <c r="D10" i="4"/>
  <c r="D13" i="4"/>
  <c r="D14" i="4"/>
  <c r="D20" i="4"/>
  <c r="E20" i="4"/>
  <c r="E14" i="4"/>
  <c r="E13" i="4"/>
  <c r="E10" i="4"/>
  <c r="E7" i="4"/>
  <c r="E6" i="4"/>
  <c r="H8" i="2" s="1"/>
  <c r="E5" i="4"/>
  <c r="F5" i="4" s="1"/>
  <c r="E49" i="4"/>
  <c r="E44" i="4"/>
  <c r="E43" i="4"/>
  <c r="L35" i="4" l="1"/>
  <c r="L10" i="4"/>
  <c r="L23" i="4"/>
  <c r="L7" i="4"/>
  <c r="L13" i="4"/>
  <c r="K23" i="4"/>
  <c r="K7" i="4"/>
  <c r="K13" i="4"/>
  <c r="K10" i="4"/>
  <c r="I23" i="4"/>
  <c r="I7" i="4"/>
  <c r="I13" i="4"/>
  <c r="I10" i="4"/>
  <c r="J35" i="4"/>
  <c r="J23" i="4"/>
  <c r="J7" i="4"/>
  <c r="J13" i="4"/>
  <c r="J10" i="4"/>
  <c r="N35" i="4"/>
  <c r="N10" i="4"/>
  <c r="N13" i="4"/>
  <c r="N23" i="4"/>
  <c r="N7" i="4"/>
  <c r="G5" i="4"/>
  <c r="F14" i="4"/>
  <c r="O35" i="4"/>
  <c r="O7" i="4"/>
  <c r="O13" i="4"/>
  <c r="O10" i="4"/>
  <c r="O23" i="4"/>
  <c r="M35" i="4"/>
  <c r="M13" i="4"/>
  <c r="M10" i="4"/>
  <c r="M23" i="4"/>
  <c r="M7" i="4"/>
  <c r="M5" i="11"/>
  <c r="M7" i="11" s="1"/>
  <c r="M67" i="4"/>
  <c r="K35" i="4"/>
  <c r="K32" i="4"/>
  <c r="K17" i="4" s="1"/>
  <c r="K31" i="4"/>
  <c r="I35" i="4"/>
  <c r="I20" i="4"/>
  <c r="I29" i="4"/>
  <c r="O33" i="4"/>
  <c r="O20" i="4"/>
  <c r="O29" i="4"/>
  <c r="N14" i="4"/>
  <c r="N29" i="4"/>
  <c r="N20" i="4"/>
  <c r="L14" i="4"/>
  <c r="L29" i="4"/>
  <c r="L20" i="4"/>
  <c r="K14" i="4"/>
  <c r="K20" i="4"/>
  <c r="K29" i="4"/>
  <c r="M20" i="4"/>
  <c r="M29" i="4"/>
  <c r="J20" i="4"/>
  <c r="J29" i="4"/>
  <c r="AZ29" i="2"/>
  <c r="J15" i="4"/>
  <c r="I15" i="4"/>
  <c r="I6" i="2"/>
  <c r="K15" i="4"/>
  <c r="H6" i="2"/>
  <c r="D8" i="4"/>
  <c r="L15" i="4"/>
  <c r="O15" i="4"/>
  <c r="N15" i="4"/>
  <c r="M15" i="4"/>
  <c r="M85" i="4"/>
  <c r="M83" i="4"/>
  <c r="M70" i="4" s="1"/>
  <c r="M84" i="4"/>
  <c r="M72" i="4" s="1"/>
  <c r="M66" i="4"/>
  <c r="E31" i="4"/>
  <c r="E33" i="4"/>
  <c r="E30" i="4"/>
  <c r="I34" i="4"/>
  <c r="E29" i="4"/>
  <c r="M33" i="4"/>
  <c r="L33" i="4"/>
  <c r="D30" i="4"/>
  <c r="F34" i="4"/>
  <c r="K33" i="4"/>
  <c r="I6" i="4"/>
  <c r="I8" i="4" s="1"/>
  <c r="I11" i="4" s="1"/>
  <c r="I18" i="4" s="1"/>
  <c r="K6" i="4"/>
  <c r="K8" i="4" s="1"/>
  <c r="K11" i="4" s="1"/>
  <c r="K18" i="4" s="1"/>
  <c r="J34" i="4"/>
  <c r="J31" i="4"/>
  <c r="K30" i="4"/>
  <c r="N33" i="4"/>
  <c r="J33" i="4"/>
  <c r="N6" i="4"/>
  <c r="N8" i="4" s="1"/>
  <c r="N11" i="4" s="1"/>
  <c r="N18" i="4" s="1"/>
  <c r="M34" i="4"/>
  <c r="N32" i="4"/>
  <c r="N17" i="4" s="1"/>
  <c r="M31" i="4"/>
  <c r="N30" i="4"/>
  <c r="I33" i="4"/>
  <c r="I32" i="4"/>
  <c r="I17" i="4" s="1"/>
  <c r="I30" i="4"/>
  <c r="O34" i="4"/>
  <c r="O31" i="4"/>
  <c r="O6" i="4"/>
  <c r="O8" i="4" s="1"/>
  <c r="O11" i="4" s="1"/>
  <c r="O18" i="4" s="1"/>
  <c r="O32" i="4"/>
  <c r="O17" i="4" s="1"/>
  <c r="N31" i="4"/>
  <c r="M6" i="4"/>
  <c r="M8" i="4" s="1"/>
  <c r="M11" i="4" s="1"/>
  <c r="M18" i="4" s="1"/>
  <c r="L34" i="4"/>
  <c r="M32" i="4"/>
  <c r="M17" i="4" s="1"/>
  <c r="L31" i="4"/>
  <c r="M30" i="4"/>
  <c r="F33" i="4"/>
  <c r="F13" i="4" s="1"/>
  <c r="J6" i="4"/>
  <c r="J8" i="4" s="1"/>
  <c r="J11" i="4" s="1"/>
  <c r="J18" i="4" s="1"/>
  <c r="J32" i="4"/>
  <c r="J17" i="4" s="1"/>
  <c r="J30" i="4"/>
  <c r="N34" i="4"/>
  <c r="O30" i="4"/>
  <c r="L6" i="4"/>
  <c r="L8" i="4" s="1"/>
  <c r="L11" i="4" s="1"/>
  <c r="L18" i="4" s="1"/>
  <c r="K34" i="4"/>
  <c r="L32" i="4"/>
  <c r="L17" i="4" s="1"/>
  <c r="L30" i="4"/>
  <c r="E8" i="4"/>
  <c r="G14" i="4"/>
  <c r="I14" i="4"/>
  <c r="J14" i="4"/>
  <c r="O14" i="4"/>
  <c r="M14" i="4"/>
  <c r="E110" i="4"/>
  <c r="D110" i="4" s="1"/>
  <c r="G110" i="4"/>
  <c r="H110" i="4" s="1"/>
  <c r="E8" i="11"/>
  <c r="D7" i="11"/>
  <c r="D6" i="11"/>
  <c r="C6" i="11"/>
  <c r="G40" i="6"/>
  <c r="G38" i="6"/>
  <c r="G64" i="6" s="1"/>
  <c r="C17" i="5"/>
  <c r="E45" i="4" s="1"/>
  <c r="E46" i="4" s="1"/>
  <c r="P68" i="4"/>
  <c r="I64" i="4"/>
  <c r="J64" i="4"/>
  <c r="K64" i="4"/>
  <c r="L64" i="4"/>
  <c r="L67" i="4" s="1"/>
  <c r="N64" i="4"/>
  <c r="N67" i="4" s="1"/>
  <c r="O64" i="4"/>
  <c r="O67" i="4" s="1"/>
  <c r="D11" i="10"/>
  <c r="E11" i="10"/>
  <c r="C11" i="10"/>
  <c r="D7" i="10"/>
  <c r="E7" i="10"/>
  <c r="D8" i="10"/>
  <c r="E8" i="10"/>
  <c r="D9" i="10"/>
  <c r="E9" i="10"/>
  <c r="C9" i="10"/>
  <c r="C8" i="10"/>
  <c r="C7" i="10"/>
  <c r="D6" i="10"/>
  <c r="E6" i="10"/>
  <c r="C6" i="10"/>
  <c r="D5" i="10"/>
  <c r="E5" i="10"/>
  <c r="C5" i="10"/>
  <c r="L44" i="6"/>
  <c r="L40" i="6"/>
  <c r="K40" i="6"/>
  <c r="J40" i="6"/>
  <c r="I40" i="6"/>
  <c r="H40" i="6"/>
  <c r="F40" i="6"/>
  <c r="E40" i="6"/>
  <c r="D40" i="6"/>
  <c r="C40" i="6"/>
  <c r="L39" i="6"/>
  <c r="K39" i="6"/>
  <c r="J39" i="6"/>
  <c r="I39" i="6"/>
  <c r="H39" i="6"/>
  <c r="G39" i="6"/>
  <c r="F39" i="6"/>
  <c r="E39" i="6"/>
  <c r="D39" i="6"/>
  <c r="C39" i="6"/>
  <c r="L38" i="6"/>
  <c r="L52" i="6" s="1"/>
  <c r="K38" i="6"/>
  <c r="K52" i="6" s="1"/>
  <c r="J38" i="6"/>
  <c r="J52" i="6" s="1"/>
  <c r="I38" i="6"/>
  <c r="I55" i="6" s="1"/>
  <c r="H38" i="6"/>
  <c r="H56" i="6" s="1"/>
  <c r="F38" i="6"/>
  <c r="E38" i="6"/>
  <c r="E56" i="6" s="1"/>
  <c r="D38" i="6"/>
  <c r="D62" i="6" s="1"/>
  <c r="D18" i="1" s="1"/>
  <c r="F35" i="4" s="1"/>
  <c r="F20" i="4" s="1"/>
  <c r="C38" i="6"/>
  <c r="C56" i="6" s="1"/>
  <c r="L37" i="6"/>
  <c r="L51" i="6" s="1"/>
  <c r="K37" i="6"/>
  <c r="K51" i="6" s="1"/>
  <c r="J37" i="6"/>
  <c r="J51" i="6" s="1"/>
  <c r="I37" i="6"/>
  <c r="I51" i="6" s="1"/>
  <c r="H37" i="6"/>
  <c r="H51" i="6" s="1"/>
  <c r="G37" i="6"/>
  <c r="G51" i="6" s="1"/>
  <c r="F37" i="6"/>
  <c r="F51" i="6" s="1"/>
  <c r="E37" i="6"/>
  <c r="E51" i="6" s="1"/>
  <c r="D37" i="6"/>
  <c r="D51" i="6" s="1"/>
  <c r="C37" i="6"/>
  <c r="C51" i="6" s="1"/>
  <c r="E66" i="4"/>
  <c r="E64" i="4"/>
  <c r="G33" i="4" l="1"/>
  <c r="G13" i="4"/>
  <c r="I66" i="4"/>
  <c r="I67" i="4"/>
  <c r="H5" i="4"/>
  <c r="H33" i="4" s="1"/>
  <c r="J66" i="4"/>
  <c r="J67" i="4"/>
  <c r="G34" i="4"/>
  <c r="K66" i="4"/>
  <c r="K67" i="4"/>
  <c r="P111" i="4"/>
  <c r="R111" i="4"/>
  <c r="V111" i="4" s="1"/>
  <c r="E48" i="4"/>
  <c r="E50" i="4" s="1"/>
  <c r="E35" i="4"/>
  <c r="G35" i="4"/>
  <c r="G20" i="4" s="1"/>
  <c r="D13" i="3"/>
  <c r="AV13" i="3" s="1"/>
  <c r="E13" i="3"/>
  <c r="AW13" i="3" s="1"/>
  <c r="F13" i="3"/>
  <c r="AX13" i="3" s="1"/>
  <c r="D11" i="4"/>
  <c r="D15" i="4" s="1"/>
  <c r="N66" i="4"/>
  <c r="N5" i="11"/>
  <c r="O66" i="4"/>
  <c r="O5" i="11"/>
  <c r="J65" i="6"/>
  <c r="K58" i="6"/>
  <c r="D56" i="6"/>
  <c r="E64" i="6"/>
  <c r="J67" i="6"/>
  <c r="F42" i="6"/>
  <c r="F52" i="6" s="1"/>
  <c r="D64" i="6"/>
  <c r="L58" i="6"/>
  <c r="C55" i="6"/>
  <c r="K65" i="6"/>
  <c r="K62" i="6"/>
  <c r="E58" i="6"/>
  <c r="D55" i="6"/>
  <c r="C58" i="6"/>
  <c r="C99" i="4" s="1"/>
  <c r="C62" i="6"/>
  <c r="C97" i="4" s="1"/>
  <c r="D65" i="6"/>
  <c r="E62" i="6"/>
  <c r="D35" i="4" s="1"/>
  <c r="K56" i="6"/>
  <c r="K67" i="6"/>
  <c r="L55" i="6"/>
  <c r="C53" i="6"/>
  <c r="C98" i="4" s="1"/>
  <c r="L65" i="6"/>
  <c r="L62" i="6"/>
  <c r="G58" i="6"/>
  <c r="G55" i="6"/>
  <c r="D58" i="6"/>
  <c r="G62" i="6"/>
  <c r="L56" i="6"/>
  <c r="G53" i="6"/>
  <c r="L64" i="6"/>
  <c r="G56" i="6"/>
  <c r="I52" i="6"/>
  <c r="J42" i="6"/>
  <c r="I44" i="6" s="1"/>
  <c r="L67" i="6"/>
  <c r="K64" i="6"/>
  <c r="L60" i="6"/>
  <c r="E42" i="6"/>
  <c r="E52" i="6" s="1"/>
  <c r="E65" i="6"/>
  <c r="F64" i="6"/>
  <c r="H60" i="6"/>
  <c r="H55" i="6"/>
  <c r="I53" i="6"/>
  <c r="F62" i="6"/>
  <c r="F58" i="6"/>
  <c r="F56" i="6"/>
  <c r="H53" i="6"/>
  <c r="C64" i="6"/>
  <c r="D54" i="4" s="1"/>
  <c r="H67" i="6"/>
  <c r="H65" i="6"/>
  <c r="I64" i="6"/>
  <c r="J62" i="6"/>
  <c r="K60" i="6"/>
  <c r="J58" i="6"/>
  <c r="J56" i="6"/>
  <c r="K55" i="6"/>
  <c r="L53" i="6"/>
  <c r="D53" i="6"/>
  <c r="F55" i="6"/>
  <c r="H52" i="6"/>
  <c r="F53" i="6"/>
  <c r="I67" i="6"/>
  <c r="I65" i="6"/>
  <c r="J64" i="6"/>
  <c r="E53" i="6"/>
  <c r="C65" i="6"/>
  <c r="G65" i="6"/>
  <c r="H64" i="6"/>
  <c r="I62" i="6"/>
  <c r="J60" i="6"/>
  <c r="I58" i="6"/>
  <c r="I56" i="6"/>
  <c r="J55" i="6"/>
  <c r="K53" i="6"/>
  <c r="E55" i="6"/>
  <c r="F65" i="6"/>
  <c r="H62" i="6"/>
  <c r="I60" i="6"/>
  <c r="H58" i="6"/>
  <c r="J53" i="6"/>
  <c r="F11" i="10"/>
  <c r="F6" i="10"/>
  <c r="D8" i="1" s="1"/>
  <c r="G30" i="4" s="1"/>
  <c r="E11" i="4"/>
  <c r="E15" i="4" s="1"/>
  <c r="H9" i="2" s="1"/>
  <c r="M21" i="4"/>
  <c r="M24" i="4" s="1"/>
  <c r="J21" i="4"/>
  <c r="J24" i="4" s="1"/>
  <c r="N21" i="4"/>
  <c r="N24" i="4" s="1"/>
  <c r="L21" i="4"/>
  <c r="L24" i="4" s="1"/>
  <c r="O21" i="4"/>
  <c r="O24" i="4" s="1"/>
  <c r="K21" i="4"/>
  <c r="K24" i="4" s="1"/>
  <c r="I21" i="4"/>
  <c r="I24" i="4" s="1"/>
  <c r="K71" i="4"/>
  <c r="M71" i="4"/>
  <c r="N71" i="4"/>
  <c r="I71" i="4"/>
  <c r="J71" i="4"/>
  <c r="O71" i="4"/>
  <c r="L84" i="4"/>
  <c r="L72" i="4" s="1"/>
  <c r="L66" i="4"/>
  <c r="L71" i="4"/>
  <c r="N85" i="4"/>
  <c r="N84" i="4"/>
  <c r="N72" i="4" s="1"/>
  <c r="K85" i="4"/>
  <c r="K84" i="4"/>
  <c r="K72" i="4" s="1"/>
  <c r="O85" i="4"/>
  <c r="O84" i="4"/>
  <c r="O72" i="4" s="1"/>
  <c r="J85" i="4"/>
  <c r="J84" i="4"/>
  <c r="J72" i="4" s="1"/>
  <c r="I85" i="4"/>
  <c r="I84" i="4"/>
  <c r="I72" i="4" s="1"/>
  <c r="L83" i="4"/>
  <c r="L70" i="4" s="1"/>
  <c r="L85" i="4"/>
  <c r="K77" i="4"/>
  <c r="K83" i="4"/>
  <c r="K70" i="4" s="1"/>
  <c r="F64" i="4"/>
  <c r="E83" i="4"/>
  <c r="E70" i="4" s="1"/>
  <c r="J5" i="11"/>
  <c r="J83" i="4"/>
  <c r="J70" i="4" s="1"/>
  <c r="O83" i="4"/>
  <c r="O70" i="4" s="1"/>
  <c r="I83" i="4"/>
  <c r="I70" i="4" s="1"/>
  <c r="N83" i="4"/>
  <c r="N70" i="4" s="1"/>
  <c r="I5" i="11"/>
  <c r="M79" i="4"/>
  <c r="M77" i="4"/>
  <c r="N77" i="4"/>
  <c r="K5" i="11"/>
  <c r="L79" i="4"/>
  <c r="L77" i="4"/>
  <c r="I77" i="4"/>
  <c r="J77" i="4"/>
  <c r="E5" i="11"/>
  <c r="O77" i="4"/>
  <c r="L5" i="11"/>
  <c r="L7" i="11" s="1"/>
  <c r="Q6" i="11"/>
  <c r="P6" i="11"/>
  <c r="E67" i="4"/>
  <c r="E68" i="4" s="1"/>
  <c r="D64" i="4"/>
  <c r="D83" i="4" s="1"/>
  <c r="D70" i="4" s="1"/>
  <c r="K79" i="4"/>
  <c r="J79" i="4"/>
  <c r="I79" i="4"/>
  <c r="O79" i="4"/>
  <c r="N79" i="4"/>
  <c r="E8" i="2"/>
  <c r="F7" i="10"/>
  <c r="D20" i="1" s="1"/>
  <c r="F8" i="10"/>
  <c r="D21" i="1" s="1"/>
  <c r="F9" i="10"/>
  <c r="C42" i="6"/>
  <c r="C52" i="6" s="1"/>
  <c r="K42" i="6"/>
  <c r="J44" i="6" s="1"/>
  <c r="D42" i="6"/>
  <c r="L42" i="6"/>
  <c r="K44" i="6" s="1"/>
  <c r="H42" i="6"/>
  <c r="G44" i="6" s="1"/>
  <c r="I42" i="6"/>
  <c r="H44" i="6" s="1"/>
  <c r="G42" i="6"/>
  <c r="G52" i="6" s="1"/>
  <c r="H14" i="4" l="1"/>
  <c r="H20" i="4"/>
  <c r="H13" i="4"/>
  <c r="T111" i="4"/>
  <c r="U111" i="4"/>
  <c r="H34" i="4"/>
  <c r="H35" i="4"/>
  <c r="G67" i="6"/>
  <c r="AW6" i="3"/>
  <c r="E10" i="2"/>
  <c r="C40" i="2" s="1"/>
  <c r="E12" i="2"/>
  <c r="D44" i="6"/>
  <c r="D84" i="4" s="1"/>
  <c r="D72" i="4" s="1"/>
  <c r="E44" i="6"/>
  <c r="D67" i="6"/>
  <c r="C60" i="6"/>
  <c r="E67" i="6"/>
  <c r="G60" i="6"/>
  <c r="E11" i="2"/>
  <c r="F10" i="3" s="1"/>
  <c r="AX10" i="3" s="1"/>
  <c r="D53" i="4"/>
  <c r="D55" i="4" s="1"/>
  <c r="E53" i="4" s="1"/>
  <c r="F67" i="6"/>
  <c r="F60" i="6"/>
  <c r="E60" i="6"/>
  <c r="C44" i="6"/>
  <c r="E84" i="4" s="1"/>
  <c r="E72" i="4" s="1"/>
  <c r="D52" i="6"/>
  <c r="D60" i="6" s="1"/>
  <c r="C67" i="6"/>
  <c r="H30" i="4"/>
  <c r="F30" i="4"/>
  <c r="G64" i="4"/>
  <c r="H64" i="4" s="1"/>
  <c r="H85" i="4" s="1"/>
  <c r="F85" i="4"/>
  <c r="F5" i="11"/>
  <c r="L68" i="4"/>
  <c r="L74" i="4" s="1"/>
  <c r="L76" i="4" s="1"/>
  <c r="J68" i="4"/>
  <c r="J74" i="4" s="1"/>
  <c r="J76" i="4" s="1"/>
  <c r="O68" i="4"/>
  <c r="O74" i="4" s="1"/>
  <c r="O76" i="4" s="1"/>
  <c r="I68" i="4"/>
  <c r="I74" i="4" s="1"/>
  <c r="I76" i="4" s="1"/>
  <c r="D67" i="4"/>
  <c r="D68" i="4" s="1"/>
  <c r="D5" i="11"/>
  <c r="N68" i="4"/>
  <c r="N74" i="4" s="1"/>
  <c r="N76" i="4" s="1"/>
  <c r="M68" i="4"/>
  <c r="M74" i="4" s="1"/>
  <c r="M76" i="4" s="1"/>
  <c r="K68" i="4"/>
  <c r="K74" i="4" s="1"/>
  <c r="F44" i="6"/>
  <c r="E10" i="3" l="1"/>
  <c r="AW10" i="3" s="1"/>
  <c r="D10" i="3"/>
  <c r="AV10" i="3" s="1"/>
  <c r="F8" i="3"/>
  <c r="E8" i="3"/>
  <c r="D8" i="3"/>
  <c r="K76" i="4"/>
  <c r="D9" i="1"/>
  <c r="F29" i="4"/>
  <c r="F6" i="4" s="1"/>
  <c r="I8" i="2" s="1"/>
  <c r="E9" i="3" s="1"/>
  <c r="AW9" i="3" s="1"/>
  <c r="G29" i="4"/>
  <c r="H29" i="4"/>
  <c r="I6" i="3"/>
  <c r="BA6" i="3" s="1"/>
  <c r="J6" i="3"/>
  <c r="BB6" i="3" s="1"/>
  <c r="E13" i="2"/>
  <c r="H10" i="2" s="1"/>
  <c r="F84" i="4"/>
  <c r="F72" i="4" s="1"/>
  <c r="E54" i="4"/>
  <c r="B7" i="11" a="1"/>
  <c r="G5" i="11"/>
  <c r="G85" i="4"/>
  <c r="H5" i="11"/>
  <c r="H10" i="3" l="1"/>
  <c r="AZ10" i="3" s="1"/>
  <c r="J10" i="3"/>
  <c r="BB10" i="3" s="1"/>
  <c r="I10" i="3"/>
  <c r="BA10" i="3" s="1"/>
  <c r="F217" i="4"/>
  <c r="G217" i="4" s="1"/>
  <c r="H217" i="4" s="1"/>
  <c r="I201" i="4"/>
  <c r="Q218" i="4" s="1"/>
  <c r="AV8" i="3"/>
  <c r="H8" i="3"/>
  <c r="AZ8" i="3" s="1"/>
  <c r="AW8" i="3"/>
  <c r="I8" i="3"/>
  <c r="BA8" i="3" s="1"/>
  <c r="AX8" i="3"/>
  <c r="J8" i="3"/>
  <c r="BB8" i="3" s="1"/>
  <c r="C124" i="4"/>
  <c r="C242" i="4"/>
  <c r="C113" i="4"/>
  <c r="C178" i="4"/>
  <c r="C189" i="4"/>
  <c r="C231" i="4"/>
  <c r="C220" i="4"/>
  <c r="C167" i="4"/>
  <c r="C135" i="4"/>
  <c r="F228" i="4"/>
  <c r="F239" i="4"/>
  <c r="K14" i="11"/>
  <c r="J13" i="11"/>
  <c r="H11" i="11"/>
  <c r="H83" i="4" s="1"/>
  <c r="H70" i="4" s="1"/>
  <c r="I12" i="11"/>
  <c r="F7" i="4"/>
  <c r="F8" i="4" s="1"/>
  <c r="D9" i="3"/>
  <c r="F9" i="3"/>
  <c r="AX9" i="3" s="1"/>
  <c r="G6" i="4"/>
  <c r="G7" i="4" s="1"/>
  <c r="H31" i="4"/>
  <c r="G31" i="4"/>
  <c r="F31" i="4"/>
  <c r="F10" i="4" s="1"/>
  <c r="E40" i="2"/>
  <c r="D40" i="2"/>
  <c r="G84" i="4"/>
  <c r="G72" i="4" s="1"/>
  <c r="I10" i="2"/>
  <c r="F40" i="2" s="1"/>
  <c r="H11" i="2"/>
  <c r="E57" i="4"/>
  <c r="P17" i="11"/>
  <c r="O17" i="11" s="1"/>
  <c r="O18" i="11"/>
  <c r="N17" i="11"/>
  <c r="B7" i="11"/>
  <c r="M16" i="11"/>
  <c r="P12" i="11"/>
  <c r="M12" i="11" s="1"/>
  <c r="F9" i="11"/>
  <c r="F83" i="4" s="1"/>
  <c r="F70" i="4" s="1"/>
  <c r="G10" i="11"/>
  <c r="G83" i="4" s="1"/>
  <c r="G70" i="4" s="1"/>
  <c r="P15" i="11"/>
  <c r="M15" i="11" s="1"/>
  <c r="P13" i="11"/>
  <c r="M13" i="11" s="1"/>
  <c r="P14" i="11"/>
  <c r="M14" i="11" s="1"/>
  <c r="H6" i="11"/>
  <c r="J6" i="11"/>
  <c r="G6" i="11"/>
  <c r="I6" i="11"/>
  <c r="J7" i="11"/>
  <c r="K6" i="11"/>
  <c r="K7" i="11"/>
  <c r="L6" i="11"/>
  <c r="E6" i="11"/>
  <c r="M6" i="11"/>
  <c r="O7" i="11"/>
  <c r="F6" i="11"/>
  <c r="N6" i="11"/>
  <c r="N7" i="11"/>
  <c r="O6" i="11"/>
  <c r="O19" i="11"/>
  <c r="K19" i="11"/>
  <c r="L19" i="11"/>
  <c r="J19" i="11"/>
  <c r="N19" i="11"/>
  <c r="D19" i="11"/>
  <c r="D32" i="4" s="1"/>
  <c r="G10" i="4" l="1"/>
  <c r="H10" i="4" s="1"/>
  <c r="F175" i="4"/>
  <c r="E175" i="4" s="1"/>
  <c r="D175" i="4" s="1"/>
  <c r="F186" i="4"/>
  <c r="G239" i="4"/>
  <c r="H239" i="4" s="1"/>
  <c r="E239" i="4"/>
  <c r="G228" i="4"/>
  <c r="H228" i="4" s="1"/>
  <c r="E228" i="4"/>
  <c r="D228" i="4" s="1"/>
  <c r="E217" i="4"/>
  <c r="D217" i="4" s="1"/>
  <c r="P218" i="4" s="1"/>
  <c r="F164" i="4"/>
  <c r="I148" i="4"/>
  <c r="Q165" i="4" s="1"/>
  <c r="C243" i="4"/>
  <c r="C244" i="4" s="1"/>
  <c r="C241" i="4"/>
  <c r="C240" i="4" s="1"/>
  <c r="C136" i="4"/>
  <c r="C137" i="4" s="1"/>
  <c r="C134" i="4"/>
  <c r="C133" i="4" s="1"/>
  <c r="C221" i="4"/>
  <c r="C222" i="4" s="1"/>
  <c r="C219" i="4"/>
  <c r="C218" i="4" s="1"/>
  <c r="C232" i="4"/>
  <c r="C233" i="4" s="1"/>
  <c r="C230" i="4"/>
  <c r="C229" i="4" s="1"/>
  <c r="C190" i="4"/>
  <c r="C191" i="4" s="1"/>
  <c r="C188" i="4"/>
  <c r="C187" i="4" s="1"/>
  <c r="C179" i="4"/>
  <c r="C180" i="4" s="1"/>
  <c r="C177" i="4"/>
  <c r="C176" i="4" s="1"/>
  <c r="C166" i="4"/>
  <c r="C165" i="4" s="1"/>
  <c r="C168" i="4"/>
  <c r="C169" i="4" s="1"/>
  <c r="G40" i="2"/>
  <c r="C123" i="4"/>
  <c r="C122" i="4" s="1"/>
  <c r="C125" i="4"/>
  <c r="C126" i="4" s="1"/>
  <c r="H9" i="3"/>
  <c r="AZ9" i="3" s="1"/>
  <c r="AV9" i="3"/>
  <c r="G8" i="4"/>
  <c r="G11" i="4" s="1"/>
  <c r="G15" i="4" s="1"/>
  <c r="H6" i="4"/>
  <c r="I9" i="3"/>
  <c r="BA9" i="3" s="1"/>
  <c r="J9" i="3"/>
  <c r="BB9" i="3" s="1"/>
  <c r="F11" i="4"/>
  <c r="F15" i="4" s="1"/>
  <c r="I9" i="2" s="1"/>
  <c r="H84" i="4"/>
  <c r="H72" i="4" s="1"/>
  <c r="C114" i="4"/>
  <c r="C115" i="4" s="1"/>
  <c r="C112" i="4"/>
  <c r="C111" i="4" s="1"/>
  <c r="F77" i="4"/>
  <c r="G77" i="4"/>
  <c r="H77" i="4"/>
  <c r="D17" i="4"/>
  <c r="D71" i="4"/>
  <c r="D74" i="4" s="1"/>
  <c r="O14" i="11"/>
  <c r="N14" i="11"/>
  <c r="L14" i="11"/>
  <c r="N13" i="11"/>
  <c r="O13" i="11"/>
  <c r="K13" i="11"/>
  <c r="L13" i="11"/>
  <c r="N12" i="11"/>
  <c r="O12" i="11"/>
  <c r="J12" i="11"/>
  <c r="L12" i="11"/>
  <c r="K12" i="11"/>
  <c r="N15" i="11"/>
  <c r="O15" i="11"/>
  <c r="E7" i="11"/>
  <c r="P7" i="11" s="1"/>
  <c r="H7" i="4" l="1"/>
  <c r="H8" i="4" s="1"/>
  <c r="R218" i="4"/>
  <c r="V218" i="4" s="1"/>
  <c r="D239" i="4"/>
  <c r="G175" i="4"/>
  <c r="H175" i="4" s="1"/>
  <c r="G186" i="4"/>
  <c r="H186" i="4" s="1"/>
  <c r="E186" i="4"/>
  <c r="G164" i="4"/>
  <c r="H164" i="4" s="1"/>
  <c r="E164" i="4"/>
  <c r="D164" i="4" s="1"/>
  <c r="I11" i="2"/>
  <c r="H40" i="2" s="1"/>
  <c r="E11" i="3"/>
  <c r="AW11" i="3" s="1"/>
  <c r="F11" i="3"/>
  <c r="AX11" i="3" s="1"/>
  <c r="D11" i="3"/>
  <c r="AV11" i="3" s="1"/>
  <c r="D18" i="4"/>
  <c r="D21" i="4" s="1"/>
  <c r="D24" i="4" s="1"/>
  <c r="F7" i="11"/>
  <c r="G7" i="11" s="1"/>
  <c r="I7" i="11"/>
  <c r="I19" i="11" s="1"/>
  <c r="E19" i="11"/>
  <c r="E32" i="4" s="1"/>
  <c r="I200" i="4" l="1"/>
  <c r="I202" i="4" s="1"/>
  <c r="I203" i="4" s="1"/>
  <c r="C202" i="4" s="1"/>
  <c r="H11" i="4"/>
  <c r="H15" i="4" s="1"/>
  <c r="I147" i="4" s="1"/>
  <c r="I149" i="4" s="1"/>
  <c r="I150" i="4" s="1"/>
  <c r="V219" i="4"/>
  <c r="T218" i="4"/>
  <c r="U218" i="4"/>
  <c r="P165" i="4"/>
  <c r="R165" i="4"/>
  <c r="V165" i="4" s="1"/>
  <c r="D186" i="4"/>
  <c r="C201" i="4"/>
  <c r="H11" i="3"/>
  <c r="AZ11" i="3" s="1"/>
  <c r="J11" i="3"/>
  <c r="BB11" i="3" s="1"/>
  <c r="I11" i="3"/>
  <c r="BA11" i="3" s="1"/>
  <c r="P10" i="11"/>
  <c r="M10" i="11" s="1"/>
  <c r="P16" i="11"/>
  <c r="N16" i="11" s="1"/>
  <c r="E17" i="4"/>
  <c r="E18" i="4" s="1"/>
  <c r="E71" i="4"/>
  <c r="E74" i="4" s="1"/>
  <c r="H7" i="11"/>
  <c r="U219" i="4" l="1"/>
  <c r="T219" i="4"/>
  <c r="T165" i="4"/>
  <c r="U165" i="4"/>
  <c r="C203" i="4"/>
  <c r="C207" i="4" s="1"/>
  <c r="P9" i="11"/>
  <c r="M9" i="11" s="1"/>
  <c r="P11" i="11"/>
  <c r="P8" i="11"/>
  <c r="M8" i="11" s="1"/>
  <c r="O16" i="11"/>
  <c r="H10" i="11"/>
  <c r="I10" i="11"/>
  <c r="J10" i="11"/>
  <c r="K10" i="11"/>
  <c r="L10" i="11"/>
  <c r="N10" i="11"/>
  <c r="O10" i="11"/>
  <c r="C209" i="4" l="1"/>
  <c r="C217" i="4" s="1"/>
  <c r="C212" i="4"/>
  <c r="C239" i="4" s="1"/>
  <c r="M11" i="11"/>
  <c r="I11" i="11"/>
  <c r="J11" i="11"/>
  <c r="K8" i="11"/>
  <c r="F8" i="11"/>
  <c r="F19" i="11" s="1"/>
  <c r="F32" i="4" s="1"/>
  <c r="F17" i="4" s="1"/>
  <c r="F18" i="4" s="1"/>
  <c r="G9" i="11"/>
  <c r="J9" i="11"/>
  <c r="O9" i="11"/>
  <c r="I9" i="11"/>
  <c r="K9" i="11"/>
  <c r="L9" i="11"/>
  <c r="H9" i="11"/>
  <c r="N9" i="11"/>
  <c r="L8" i="11"/>
  <c r="N8" i="11"/>
  <c r="O8" i="11"/>
  <c r="G8" i="11"/>
  <c r="I8" i="11"/>
  <c r="K11" i="11"/>
  <c r="O11" i="11"/>
  <c r="H8" i="11"/>
  <c r="N11" i="11"/>
  <c r="J8" i="11"/>
  <c r="L11" i="11"/>
  <c r="M19" i="11"/>
  <c r="G19" i="11" l="1"/>
  <c r="G32" i="4" s="1"/>
  <c r="F71" i="4"/>
  <c r="H19" i="11"/>
  <c r="H32" i="4" s="1"/>
  <c r="H17" i="4" l="1"/>
  <c r="H18" i="4" s="1"/>
  <c r="H71" i="4"/>
  <c r="G17" i="4"/>
  <c r="G18" i="4" s="1"/>
  <c r="G71" i="4"/>
  <c r="G66" i="4" l="1"/>
  <c r="G67" i="4" s="1"/>
  <c r="F66" i="4"/>
  <c r="F67" i="4" s="1"/>
  <c r="H21" i="4"/>
  <c r="H23" i="4" s="1"/>
  <c r="E21" i="4"/>
  <c r="H66" i="4" l="1"/>
  <c r="G21" i="4"/>
  <c r="E24" i="4"/>
  <c r="E34" i="4"/>
  <c r="F21" i="4"/>
  <c r="F23" i="4" s="1"/>
  <c r="D34" i="4"/>
  <c r="F68" i="4"/>
  <c r="F74" i="4" s="1"/>
  <c r="G68" i="4"/>
  <c r="G74" i="4" s="1"/>
  <c r="H24" i="4"/>
  <c r="H67" i="4" l="1"/>
  <c r="H68" i="4" s="1"/>
  <c r="H74" i="4" s="1"/>
  <c r="I93" i="4" s="1"/>
  <c r="C211" i="4" s="1"/>
  <c r="C228" i="4" s="1"/>
  <c r="G23" i="4"/>
  <c r="G24" i="4" s="1"/>
  <c r="F24" i="4"/>
  <c r="F76" i="4"/>
  <c r="G76" i="4" s="1"/>
  <c r="I95" i="4" l="1"/>
  <c r="I96" i="4" s="1"/>
  <c r="C95" i="4" s="1"/>
  <c r="C158" i="4"/>
  <c r="C149" i="4"/>
  <c r="C150" i="4" s="1"/>
  <c r="H76" i="4"/>
  <c r="H79" i="4" s="1"/>
  <c r="G79" i="4"/>
  <c r="F79" i="4"/>
  <c r="C175" i="4" l="1"/>
  <c r="C154" i="4"/>
  <c r="C156" i="4" s="1"/>
  <c r="C159" i="4"/>
  <c r="C94" i="4"/>
  <c r="C96" i="4" s="1"/>
  <c r="C186" i="4" l="1"/>
  <c r="C164" i="4"/>
  <c r="C104" i="4"/>
  <c r="C105" i="4"/>
  <c r="C100" i="4"/>
  <c r="C102" i="4" s="1"/>
  <c r="C121" i="4" l="1"/>
  <c r="C132" i="4"/>
  <c r="C110" i="4"/>
  <c r="AW7" i="3"/>
  <c r="I7" i="3" l="1"/>
  <c r="BA7" i="3" s="1"/>
  <c r="J7" i="3"/>
  <c r="BB7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<sst xmlns="http://schemas.openxmlformats.org/spreadsheetml/2006/main" count="462" uniqueCount="293">
  <si>
    <t>AAPL</t>
  </si>
  <si>
    <t>EBIT</t>
  </si>
  <si>
    <t>EBIAT</t>
  </si>
  <si>
    <t>Capex (-)</t>
  </si>
  <si>
    <t>D&amp;A (+)</t>
  </si>
  <si>
    <t>Unlevered FCFF</t>
  </si>
  <si>
    <t>Discount Period</t>
  </si>
  <si>
    <t>Discount rate</t>
  </si>
  <si>
    <t>PV of unlevered Cash Flows</t>
  </si>
  <si>
    <t>NPV regular cash flows</t>
  </si>
  <si>
    <t>Ticker</t>
  </si>
  <si>
    <t>Current Price</t>
  </si>
  <si>
    <t>Historic years</t>
  </si>
  <si>
    <t>Start Year</t>
  </si>
  <si>
    <t>Cash and Equivalents</t>
  </si>
  <si>
    <t>Receivables</t>
  </si>
  <si>
    <t>Inventory</t>
  </si>
  <si>
    <t>Other current Assets</t>
  </si>
  <si>
    <t>Total Current Assets</t>
  </si>
  <si>
    <t>PPE</t>
  </si>
  <si>
    <t>Cum Depr. And Am.</t>
  </si>
  <si>
    <t>Investment in Equity</t>
  </si>
  <si>
    <t>Other Investment</t>
  </si>
  <si>
    <t>Intangible Assets</t>
  </si>
  <si>
    <t>Other Assets</t>
  </si>
  <si>
    <t>Total Assets</t>
  </si>
  <si>
    <t>Current debt</t>
  </si>
  <si>
    <t>Trade Payables</t>
  </si>
  <si>
    <t>Current tax payables</t>
  </si>
  <si>
    <t>Other current liabilities</t>
  </si>
  <si>
    <t>Total Current Liabilities</t>
  </si>
  <si>
    <t>Non-current debt</t>
  </si>
  <si>
    <t>Non-current tax liabilities</t>
  </si>
  <si>
    <t>Other non-current Liabilities</t>
  </si>
  <si>
    <t>Total liabilities</t>
  </si>
  <si>
    <t>Non-controlling interest</t>
  </si>
  <si>
    <t>Preffered Stock</t>
  </si>
  <si>
    <t>Common stock</t>
  </si>
  <si>
    <t>Total stockholder's equity</t>
  </si>
  <si>
    <t>ONWC</t>
  </si>
  <si>
    <t>Inventories (+)</t>
  </si>
  <si>
    <t>Accounts Receivable (+)</t>
  </si>
  <si>
    <t>Trade payables (-)</t>
  </si>
  <si>
    <t>Change in ONWC</t>
  </si>
  <si>
    <t>Revenues</t>
  </si>
  <si>
    <t>COGS</t>
  </si>
  <si>
    <t>Gross Margin</t>
  </si>
  <si>
    <t>SG&amp;A Expense</t>
  </si>
  <si>
    <t>D&amp;A Expense</t>
  </si>
  <si>
    <t>Operating Income</t>
  </si>
  <si>
    <t>Non-operating result</t>
  </si>
  <si>
    <t>Special items</t>
  </si>
  <si>
    <t>Net Interest</t>
  </si>
  <si>
    <t>EBT</t>
  </si>
  <si>
    <t>Tax</t>
  </si>
  <si>
    <t>Income before Extraordinary</t>
  </si>
  <si>
    <t>Net Income</t>
  </si>
  <si>
    <t>Extraordinary and discontinued Items</t>
  </si>
  <si>
    <t>D&amp;A</t>
  </si>
  <si>
    <t>Deferred Taxes</t>
  </si>
  <si>
    <t>Equity earnings unconsolidated</t>
  </si>
  <si>
    <t>netresultsaleppe</t>
  </si>
  <si>
    <t>Other funds Operations</t>
  </si>
  <si>
    <t>Increase account receivables</t>
  </si>
  <si>
    <t>Increase Inventory</t>
  </si>
  <si>
    <t>Increase Accounts Payable</t>
  </si>
  <si>
    <t>Increase Accrued Taxes</t>
  </si>
  <si>
    <t>Net change other assets/liabilities</t>
  </si>
  <si>
    <t>Operating Cash Flow</t>
  </si>
  <si>
    <t>Increase Investments</t>
  </si>
  <si>
    <t>Sale of investments</t>
  </si>
  <si>
    <t>changes in short term investment</t>
  </si>
  <si>
    <t>Capex</t>
  </si>
  <si>
    <t>Sale of Property</t>
  </si>
  <si>
    <t>Acquisitions</t>
  </si>
  <si>
    <t>other investing activities</t>
  </si>
  <si>
    <t>Equity increase</t>
  </si>
  <si>
    <t>Tax benefits of stock options</t>
  </si>
  <si>
    <t>Equity decrease</t>
  </si>
  <si>
    <t>Dividend</t>
  </si>
  <si>
    <t>Long term debt issuance</t>
  </si>
  <si>
    <t>Long term debt reduction</t>
  </si>
  <si>
    <t>Current debt change</t>
  </si>
  <si>
    <t>Other financing activities</t>
  </si>
  <si>
    <t>Financing Cash Flow</t>
  </si>
  <si>
    <t>Net change in Cash</t>
  </si>
  <si>
    <t>COGS/Revenues</t>
  </si>
  <si>
    <t>Invenory turnover</t>
  </si>
  <si>
    <t>Receivables turnover</t>
  </si>
  <si>
    <t>Payables turnover</t>
  </si>
  <si>
    <t>Average</t>
  </si>
  <si>
    <t>Growth of sales</t>
  </si>
  <si>
    <t>Years Forecasted</t>
  </si>
  <si>
    <t>Growth Sales</t>
  </si>
  <si>
    <t>Growth SG&amp;A</t>
  </si>
  <si>
    <t>Tax Rate</t>
  </si>
  <si>
    <t>Growth Non-operating Result</t>
  </si>
  <si>
    <t>Beta Equity</t>
  </si>
  <si>
    <t>Risk free return ( 10 year US treasury bond)</t>
  </si>
  <si>
    <t>Risk Premium</t>
  </si>
  <si>
    <t>Market return</t>
  </si>
  <si>
    <t>Cash</t>
  </si>
  <si>
    <t>Net other assets/liabilities</t>
  </si>
  <si>
    <t>Intangible assets</t>
  </si>
  <si>
    <t>Total Capital employed</t>
  </si>
  <si>
    <t>Financial debt</t>
  </si>
  <si>
    <t>Shareholders Equity</t>
  </si>
  <si>
    <t>Total Net Investment</t>
  </si>
  <si>
    <t>Net PPE</t>
  </si>
  <si>
    <t>Financial Balance Sheet</t>
  </si>
  <si>
    <t>WACC</t>
  </si>
  <si>
    <t>Non-controlling Interest (Excluded for WACC)</t>
  </si>
  <si>
    <t>Base Case</t>
  </si>
  <si>
    <t>Always assume PPE aquired at end of the year</t>
  </si>
  <si>
    <t>Lifetime (remaining)</t>
  </si>
  <si>
    <t>Industry</t>
  </si>
  <si>
    <t>Lifetime Total</t>
  </si>
  <si>
    <t>Total Depreciation</t>
  </si>
  <si>
    <t>Growth Rate PPE</t>
  </si>
  <si>
    <t>Growth Rate ONWC</t>
  </si>
  <si>
    <t>Implied Value Per Share</t>
  </si>
  <si>
    <t>Steps</t>
  </si>
  <si>
    <t>Perpetuity Growth Rate</t>
  </si>
  <si>
    <t>Perp. Growth</t>
  </si>
  <si>
    <t>Terminal Value - Perpetuity</t>
  </si>
  <si>
    <t>Last Cash Flow</t>
  </si>
  <si>
    <t>Perpetuity Growth rate</t>
  </si>
  <si>
    <t xml:space="preserve">Terminal Value   </t>
  </si>
  <si>
    <t>Number of shares outstanding</t>
  </si>
  <si>
    <t>Implied Enterprise value</t>
  </si>
  <si>
    <t>Debt (-)</t>
  </si>
  <si>
    <t>Cash (+)</t>
  </si>
  <si>
    <t>Other investments (+)</t>
  </si>
  <si>
    <t>Implied Equity Value</t>
  </si>
  <si>
    <t>Implied Value per Share</t>
  </si>
  <si>
    <t>PV of perpetuity</t>
  </si>
  <si>
    <t>Present Value of perpetuity</t>
  </si>
  <si>
    <t>Weighted Average Cost of Capital</t>
  </si>
  <si>
    <t>Equity Beta</t>
  </si>
  <si>
    <t>Cost of debt</t>
  </si>
  <si>
    <t>Tax rate</t>
  </si>
  <si>
    <t>Percentage of Capital</t>
  </si>
  <si>
    <t>Debt</t>
  </si>
  <si>
    <t>Equity</t>
  </si>
  <si>
    <t>Total capital</t>
  </si>
  <si>
    <t>(1) As of Nov-4 2024, based on the current 10-year U.S. Treasury Bond Yield</t>
  </si>
  <si>
    <t>(2) Equity beta calculated using correlation with S&amp;P500</t>
  </si>
  <si>
    <t>(3) Calculated using average yearly return of S&amp;P500</t>
  </si>
  <si>
    <t>Discounted Cash Flow</t>
  </si>
  <si>
    <t>Projected</t>
  </si>
  <si>
    <t>All in millions except Share amount</t>
  </si>
  <si>
    <t>Units</t>
  </si>
  <si>
    <t>Change in ONWC (+-)</t>
  </si>
  <si>
    <t>$</t>
  </si>
  <si>
    <t>#</t>
  </si>
  <si>
    <t>%</t>
  </si>
  <si>
    <t>Discounted Cash Flow Analysis</t>
  </si>
  <si>
    <r>
      <t>Risk free rate (R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</si>
  <si>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Equity risk premium (R</t>
    </r>
    <r>
      <rPr>
        <vertAlign val="subscript"/>
        <sz val="12"/>
        <rFont val="Arial"/>
        <family val="2"/>
      </rPr>
      <t>m</t>
    </r>
    <r>
      <rPr>
        <sz val="12"/>
        <color theme="1"/>
        <rFont val="Arial"/>
        <family val="2"/>
      </rPr>
      <t xml:space="preserve"> - 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</si>
  <si>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Cost of Equity (K</t>
    </r>
    <r>
      <rPr>
        <b/>
        <vertAlign val="subscript"/>
        <sz val="12"/>
        <rFont val="Arial"/>
        <family val="2"/>
      </rPr>
      <t>e</t>
    </r>
    <r>
      <rPr>
        <b/>
        <sz val="12"/>
        <rFont val="Arial"/>
        <family val="2"/>
      </rPr>
      <t>)</t>
    </r>
  </si>
  <si>
    <r>
      <t>After-tax Cost of Debt (K</t>
    </r>
    <r>
      <rPr>
        <b/>
        <vertAlign val="subscript"/>
        <sz val="12"/>
        <rFont val="Arial"/>
        <family val="2"/>
      </rPr>
      <t>dt</t>
    </r>
    <r>
      <rPr>
        <b/>
        <sz val="12"/>
        <rFont val="Arial"/>
        <family val="2"/>
      </rPr>
      <t>)</t>
    </r>
  </si>
  <si>
    <t>DCF Drivers</t>
  </si>
  <si>
    <t>Income Statement</t>
  </si>
  <si>
    <t>$m</t>
  </si>
  <si>
    <t>Gross Profit</t>
  </si>
  <si>
    <t>Income Statement Drivers</t>
  </si>
  <si>
    <t>Revenue Growth</t>
  </si>
  <si>
    <t>Cost of Sales % Revenues</t>
  </si>
  <si>
    <t>Growth Rate SG&amp;A</t>
  </si>
  <si>
    <t>Depreciation and ammortisation</t>
  </si>
  <si>
    <t>Growth Rate non-operating result</t>
  </si>
  <si>
    <t>Change ONWC</t>
  </si>
  <si>
    <t>DCF Value - Perpetuity Growth</t>
  </si>
  <si>
    <t>(4) Calculated using this year's interest and last years financial debt</t>
  </si>
  <si>
    <t>PPE &amp; Depreciation Forecast</t>
  </si>
  <si>
    <t>Enterprise Value Analysis</t>
  </si>
  <si>
    <t>Enterprise Value</t>
  </si>
  <si>
    <t>Enterprise Value Multiples</t>
  </si>
  <si>
    <t>Amounts in millions as of November 25th 2024</t>
  </si>
  <si>
    <t xml:space="preserve">Share price </t>
  </si>
  <si>
    <t>LTM Revenue</t>
  </si>
  <si>
    <t>52 Week High</t>
  </si>
  <si>
    <t>Max share price at close of day</t>
  </si>
  <si>
    <t xml:space="preserve">Diluted Shares </t>
  </si>
  <si>
    <t xml:space="preserve">LTM EBITDA </t>
  </si>
  <si>
    <t>52 Week Low</t>
  </si>
  <si>
    <t>Min share price at close of day</t>
  </si>
  <si>
    <t>Equity Value</t>
  </si>
  <si>
    <t>EV / LTM Revenue</t>
  </si>
  <si>
    <t>Total Debt</t>
  </si>
  <si>
    <t>EV / LTM EBITDA</t>
  </si>
  <si>
    <t>Cash &amp; Cash Equivalents</t>
  </si>
  <si>
    <t>EBITDA</t>
  </si>
  <si>
    <t>52 week high</t>
  </si>
  <si>
    <t>52 week low</t>
  </si>
  <si>
    <t>Historic Income Statement</t>
  </si>
  <si>
    <t>Historic</t>
  </si>
  <si>
    <t>Historic Cash Flow Statement</t>
  </si>
  <si>
    <t>Historic Accounting Balance Sheet</t>
  </si>
  <si>
    <t>Operating Net Working Capital</t>
  </si>
  <si>
    <t>Historic Financial Balance Sheet</t>
  </si>
  <si>
    <t>Investing Cash Flow</t>
  </si>
  <si>
    <t>All in millions</t>
  </si>
  <si>
    <t>Shares Outstanding (millions)</t>
  </si>
  <si>
    <t>Trading Comparables</t>
  </si>
  <si>
    <t>Market</t>
  </si>
  <si>
    <t>Enterprise</t>
  </si>
  <si>
    <t xml:space="preserve">  Enterprise Value / Revenue</t>
  </si>
  <si>
    <t xml:space="preserve">  Enterprise Value / EBITDA</t>
  </si>
  <si>
    <t>Company</t>
  </si>
  <si>
    <t>Value</t>
  </si>
  <si>
    <t>LTM</t>
  </si>
  <si>
    <t>FY1</t>
  </si>
  <si>
    <t xml:space="preserve">High </t>
  </si>
  <si>
    <t xml:space="preserve">Mean </t>
  </si>
  <si>
    <t xml:space="preserve">Median </t>
  </si>
  <si>
    <t xml:space="preserve">Low </t>
  </si>
  <si>
    <t>Name</t>
  </si>
  <si>
    <t>Apple Inc.</t>
  </si>
  <si>
    <t>Competitors</t>
  </si>
  <si>
    <t>Historic ratios</t>
  </si>
  <si>
    <t>Ratios</t>
  </si>
  <si>
    <t>Football Field Comparable Multiples</t>
  </si>
  <si>
    <t>Low</t>
  </si>
  <si>
    <t>High</t>
  </si>
  <si>
    <t>EV/Revenue LTM</t>
  </si>
  <si>
    <t>EV/Revenue FY1</t>
  </si>
  <si>
    <t>EV/EBITDA LTM</t>
  </si>
  <si>
    <t>EV/EBITDA FY1</t>
  </si>
  <si>
    <t>Implied value/share in $</t>
  </si>
  <si>
    <t>0 to min</t>
  </si>
  <si>
    <t>Min to Avg</t>
  </si>
  <si>
    <t>Avg to Max</t>
  </si>
  <si>
    <t>Mean</t>
  </si>
  <si>
    <t>Equity Market Value</t>
  </si>
  <si>
    <t>Assumptions</t>
  </si>
  <si>
    <t>Growth Rate Perpetuity</t>
  </si>
  <si>
    <t>Interest Rate</t>
  </si>
  <si>
    <t>Receivables Turnover</t>
  </si>
  <si>
    <t>Payables Turnover</t>
  </si>
  <si>
    <t>Invenory Turnover</t>
  </si>
  <si>
    <t>Inputs</t>
  </si>
  <si>
    <t>Electronics</t>
  </si>
  <si>
    <t>Company Name</t>
  </si>
  <si>
    <t>Calculations in Excel</t>
  </si>
  <si>
    <t>Moved due to problems with openpyxl. Direct reference not possible</t>
  </si>
  <si>
    <t>Interest rate</t>
  </si>
  <si>
    <t>DUMMY 1</t>
  </si>
  <si>
    <t>DUMMY 2</t>
  </si>
  <si>
    <t>DUMMY 3</t>
  </si>
  <si>
    <t>DUMMY 4</t>
  </si>
  <si>
    <t>Information from Python</t>
  </si>
  <si>
    <t>DCF with Terminal Value using Perpetuity</t>
  </si>
  <si>
    <t>Implied EV/EBITDA multiple</t>
  </si>
  <si>
    <t>Implied EV/Revenue multiple</t>
  </si>
  <si>
    <t>Implied Y0 EV/EBITDA multiple</t>
  </si>
  <si>
    <t>Implied Y0 EV/Revenue multiple</t>
  </si>
  <si>
    <t>DCF with Terminal Value using EV/EBITDA exit multiple</t>
  </si>
  <si>
    <t>EV/EBITDA</t>
  </si>
  <si>
    <t>Y0 EV/EBITDA</t>
  </si>
  <si>
    <t>Y0 EV/Revenue multiple</t>
  </si>
  <si>
    <t xml:space="preserve">Exit EV/EBITDA Multiple </t>
  </si>
  <si>
    <t>PV of terminal value</t>
  </si>
  <si>
    <t>Implied growth rate</t>
  </si>
  <si>
    <t>Implied Perpetuity Growth Rate</t>
  </si>
  <si>
    <t>Exit EV/EBITDA multiple</t>
  </si>
  <si>
    <t>DCF with Terminal Value using EV/Revenue exit multiple</t>
  </si>
  <si>
    <t xml:space="preserve">Exit EV/Revenue Multiple </t>
  </si>
  <si>
    <t>Last forecasted Revenue</t>
  </si>
  <si>
    <t>Last forecasted EBITDA</t>
  </si>
  <si>
    <t>Exit EV/Revenue multiple</t>
  </si>
  <si>
    <t>EV/Revenue</t>
  </si>
  <si>
    <t>Terminal Value - EV/REVENUE exit multiple</t>
  </si>
  <si>
    <t>Terminal Value - EV/EBITDA exit multiple</t>
  </si>
  <si>
    <t>Input perpetual Growth</t>
  </si>
  <si>
    <t>Implied growth rate EV/EBITDA</t>
  </si>
  <si>
    <t>Implied growth rate EV/Revenue</t>
  </si>
  <si>
    <t>Growth Rate estimates</t>
  </si>
  <si>
    <t>Exit EV/EBITDA estimates</t>
  </si>
  <si>
    <t>Input exit EV/EBITDA</t>
  </si>
  <si>
    <t>Input exit EV/Revenue</t>
  </si>
  <si>
    <t>Exit EV/Revenue estimates</t>
  </si>
  <si>
    <t>(2) Assume constant net debt</t>
  </si>
  <si>
    <t>(1) Assume no Special items unless specified otherwise</t>
  </si>
  <si>
    <t>Implied Y0 EV/EBITDA using perpetual growth rate</t>
  </si>
  <si>
    <t>Implied Y0 EV/EBITDA using EV/Revenue</t>
  </si>
  <si>
    <t>Implied Y0 EV/Revenue using perpetual growth rate</t>
  </si>
  <si>
    <t>Implied Y0 EV/Reneue using EV/EBITDA</t>
  </si>
  <si>
    <t>Perpetual Growth</t>
  </si>
  <si>
    <t>Exit Multiple EV/EBITDA</t>
  </si>
  <si>
    <t>Exit Multiple EV/Revenue</t>
  </si>
  <si>
    <t>Options for DCF calculation</t>
  </si>
  <si>
    <t>Terminal Value Method of DCF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</si>
</sst>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yyyy\-mm\-dd"/>
    <numFmt numFmtId="165" formatCode="#,##0.0"/>
    <numFmt numFmtId="166" formatCode="0.00%_);\(0.00%\)"/>
    <numFmt numFmtId="167" formatCode="_(* #,##0.00_);_(* \(#,##0.00\);_(* \–\ ?;_(@_)"/>
    <numFmt numFmtId="168" formatCode="0.0%"/>
    <numFmt numFmtId="169" formatCode="#,##0.00%_);\(#,##0.00%\)"/>
    <numFmt numFmtId="170" formatCode="_)0"/>
    <numFmt numFmtId="171" formatCode="#,##0.000_);\(#,##0.000\)"/>
    <numFmt numFmtId="172" formatCode="_(* #,##0_);_(* \(#,##0\);_(* &quot;-&quot;??_);_(@_)"/>
    <numFmt numFmtId="173" formatCode="_(* #,##0_);_(* \(#,##0\);_(* \–\ ?;_(@_)"/>
    <numFmt numFmtId="174" formatCode="#,##0.0%_);\(#,##0.0%\)"/>
    <numFmt numFmtId="175" formatCode="&quot;FY&quot;0\A"/>
    <numFmt numFmtId="176" formatCode="&quot;FY&quot;0\E"/>
    <numFmt numFmtId="177" formatCode="#,##0.00_);\(#,##0.00\)"/>
    <numFmt numFmtId="178" formatCode="0.0&quot;x&quot;"/>
    <numFmt numFmtId="179" formatCode="#,##0_ ;\-#,##0\ "/>
    <numFmt numFmtId="180" formatCode="#,##0.00\ &quot;€&quot;"/>
    <numFmt numFmtId="181" formatCode="#,##0\ &quot;€&quot;"/>
    <numFmt numFmtId="182" formatCode="[$$-409]#,##0.00"/>
  </numFmts>
  <fonts count="53">
    <font>
      <sz val="12"/>
      <color theme="1"/>
      <name val="ArialMT"/>
      <family val="2"/>
    </font>
    <font>
      <b/>
      <sz val="12"/>
      <color theme="1"/>
      <name val="ArialMT"/>
    </font>
    <font>
      <sz val="12"/>
      <color theme="1"/>
      <name val="ArialMT"/>
      <family val="2"/>
    </font>
    <font>
      <b/>
      <sz val="11"/>
      <color theme="0"/>
      <name val="Aptos Narrow"/>
      <family val="2"/>
      <scheme val="minor"/>
    </font>
    <font>
      <sz val="10"/>
      <color rgb="FF000000"/>
      <name val="Arial"/>
      <family val="2"/>
    </font>
    <font>
      <sz val="11"/>
      <color rgb="FF000000"/>
      <name val="Aptos Narrow"/>
      <family val="2"/>
      <scheme val="minor"/>
    </font>
    <font>
      <sz val="11"/>
      <color indexed="12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2"/>
      <color theme="0"/>
      <name val="ArialMT"/>
      <family val="2"/>
    </font>
    <font>
      <sz val="12"/>
      <color rgb="FFFF0000"/>
      <name val="ArialMT"/>
      <family val="2"/>
    </font>
    <font>
      <b/>
      <sz val="12"/>
      <color theme="1"/>
      <name val="ArialMT"/>
      <family val="2"/>
    </font>
    <font>
      <sz val="10"/>
      <color theme="0" tint="-0.34998626667073579"/>
      <name val="Arial"/>
      <family val="2"/>
    </font>
    <font>
      <sz val="10"/>
      <color theme="0" tint="-0.499984740745262"/>
      <name val="Arial"/>
      <family val="2"/>
    </font>
    <font>
      <b/>
      <sz val="16"/>
      <color rgb="FFFF0000"/>
      <name val="ArialMT"/>
    </font>
    <font>
      <sz val="12"/>
      <color theme="1"/>
      <name val="Arial"/>
      <family val="2"/>
    </font>
    <font>
      <vertAlign val="subscript"/>
      <sz val="12"/>
      <name val="Arial"/>
      <family val="2"/>
    </font>
    <font>
      <sz val="12"/>
      <color rgb="FF0000FF"/>
      <name val="Arial"/>
      <family val="2"/>
    </font>
    <font>
      <b/>
      <vertAlign val="superscript"/>
      <sz val="12"/>
      <color theme="1"/>
      <name val="Arial"/>
      <family val="2"/>
    </font>
    <font>
      <b/>
      <sz val="12"/>
      <name val="Arial"/>
      <family val="2"/>
    </font>
    <font>
      <b/>
      <vertAlign val="subscript"/>
      <sz val="12"/>
      <name val="Arial"/>
      <family val="2"/>
    </font>
    <font>
      <sz val="12"/>
      <name val="Arial"/>
      <family val="2"/>
    </font>
    <font>
      <b/>
      <vertAlign val="superscript"/>
      <sz val="12"/>
      <name val="Arial"/>
      <family val="2"/>
    </font>
    <font>
      <vertAlign val="superscript"/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0" tint="-0.499984740745262"/>
      <name val="Arial"/>
      <family val="2"/>
    </font>
    <font>
      <b/>
      <sz val="12"/>
      <color theme="0"/>
      <name val="Arial"/>
      <family val="2"/>
    </font>
    <font>
      <sz val="12"/>
      <color theme="0" tint="-0.34998626667073579"/>
      <name val="Arial"/>
      <family val="2"/>
    </font>
    <font>
      <sz val="12"/>
      <color rgb="FF000000"/>
      <name val="Arial"/>
      <family val="2"/>
    </font>
    <font>
      <b/>
      <sz val="11"/>
      <color theme="4"/>
      <name val="Aptos Narrow"/>
      <family val="2"/>
      <scheme val="minor"/>
    </font>
    <font>
      <sz val="10"/>
      <color theme="0" tint="-0.34998626667073579"/>
      <name val="ArialMT"/>
      <family val="2"/>
    </font>
    <font>
      <b/>
      <sz val="10"/>
      <color theme="0" tint="-0.34998626667073579"/>
      <name val="ArialMT"/>
    </font>
    <font>
      <i/>
      <sz val="12"/>
      <name val="Arial"/>
      <family val="2"/>
    </font>
    <font>
      <i/>
      <sz val="12"/>
      <color theme="0" tint="-0.34998626667073579"/>
      <name val="Arial"/>
      <family val="2"/>
    </font>
    <font>
      <i/>
      <sz val="12"/>
      <color theme="1"/>
      <name val="Arial"/>
      <family val="2"/>
    </font>
    <font>
      <i/>
      <sz val="12"/>
      <color theme="1"/>
      <name val="ArialMT"/>
      <family val="2"/>
    </font>
    <font>
      <b/>
      <i/>
      <sz val="12"/>
      <color theme="1"/>
      <name val="Arial"/>
      <family val="2"/>
    </font>
    <font>
      <i/>
      <sz val="10"/>
      <color theme="0" tint="-0.34998626667073579"/>
      <name val="Arial"/>
      <family val="2"/>
    </font>
    <font>
      <b/>
      <sz val="12"/>
      <color rgb="FF000000"/>
      <name val="Arial"/>
      <family val="2"/>
    </font>
    <font>
      <sz val="12"/>
      <color theme="1"/>
      <name val="ArialMT"/>
    </font>
    <font>
      <sz val="8"/>
      <name val="ArialMT"/>
      <family val="2"/>
    </font>
    <font>
      <b/>
      <sz val="12"/>
      <color theme="0"/>
      <name val="ArialMT"/>
    </font>
    <font>
      <b/>
      <sz val="11"/>
      <color rgb="FFFFFFFF"/>
      <name val="Aptos Narrow"/>
      <family val="2"/>
    </font>
    <font>
      <b/>
      <sz val="11"/>
      <color rgb="FF000000"/>
      <name val="Aptos Narrow"/>
      <family val="2"/>
    </font>
    <font>
      <sz val="10"/>
      <color theme="0" tint="-0.499984740745262"/>
      <name val="ArialMT"/>
      <family val="2"/>
    </font>
    <font>
      <sz val="12"/>
      <color theme="0"/>
      <name val="Arial"/>
      <family val="2"/>
    </font>
    <font>
      <sz val="12"/>
      <color rgb="FF000000"/>
      <name val="ArialMT"/>
      <family val="2"/>
    </font>
    <font>
      <sz val="10"/>
      <color theme="0" tint="-0.249977111117893"/>
      <name val="Arial"/>
      <family val="2"/>
    </font>
    <font>
      <u/>
      <sz val="12"/>
      <color theme="1"/>
      <name val="ArialMT"/>
      <family val="2"/>
    </font>
    <font>
      <sz val="12"/>
      <name val="Aptos Narrow"/>
      <family val="2"/>
      <scheme val="minor"/>
    </font>
    <font>
      <sz val="12"/>
      <color theme="0"/>
      <name val="ArialMT"/>
      <family val="2"/>
    </font>
    <font>
      <sz val="10"/>
      <color theme="0" tint="-0.34998626667073579"/>
      <name val="ArialMT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595959"/>
        <bgColor rgb="FF000000"/>
      </patternFill>
    </fill>
    <fill>
      <patternFill patternType="solid">
        <fgColor rgb="FFE8E8E8"/>
        <bgColor rgb="FF000000"/>
      </patternFill>
    </fill>
    <fill>
      <patternFill patternType="solid">
        <fgColor indexed="9"/>
        <bgColor indexed="64"/>
      </patternFill>
    </fill>
  </fills>
  <borders count="47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medium">
        <color theme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/>
      <top style="thin">
        <color rgb="FFFF0000"/>
      </top>
      <bottom/>
      <diagonal/>
    </border>
    <border>
      <left/>
      <right/>
      <top/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double">
        <color rgb="FFFF0000"/>
      </bottom>
      <diagonal/>
    </border>
    <border>
      <left/>
      <right/>
      <top style="thin">
        <color rgb="FFFF0000"/>
      </top>
      <bottom style="double">
        <color rgb="FFFF0000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0"/>
      </bottom>
      <diagonal/>
    </border>
    <border>
      <left/>
      <right style="thin">
        <color theme="1"/>
      </right>
      <top style="thin">
        <color indexed="64"/>
      </top>
      <bottom style="double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FFFFFF"/>
      </bottom>
      <diagonal/>
    </border>
    <border>
      <left/>
      <right/>
      <top/>
      <bottom style="double">
        <color theme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0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332">
    <xf numFmtId="0" fontId="0" fillId="0" borderId="0" xfId="0"/>
    <xf numFmtId="0" fontId="1" fillId="0" borderId="0" xfId="0" applyFont="1"/>
    <xf numFmtId="3" fontId="1" fillId="0" borderId="0" xfId="0" applyNumberFormat="1" applyFont="1"/>
    <xf numFmtId="9" fontId="0" fillId="0" borderId="0" xfId="1" applyFont="1"/>
    <xf numFmtId="9" fontId="0" fillId="0" borderId="0" xfId="0" applyNumberFormat="1"/>
    <xf numFmtId="2" fontId="0" fillId="0" borderId="0" xfId="0" applyNumberFormat="1"/>
    <xf numFmtId="165" fontId="0" fillId="0" borderId="0" xfId="0" applyNumberFormat="1"/>
    <xf numFmtId="165" fontId="0" fillId="0" borderId="2" xfId="0" applyNumberFormat="1" applyBorder="1"/>
    <xf numFmtId="0" fontId="5" fillId="0" borderId="0" xfId="3" applyFont="1" applyProtection="1">
      <protection locked="0"/>
    </xf>
    <xf numFmtId="0" fontId="0" fillId="0" borderId="0" xfId="0" applyProtection="1">
      <protection locked="0"/>
    </xf>
    <xf numFmtId="0" fontId="5" fillId="0" borderId="0" xfId="3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9" fillId="0" borderId="0" xfId="3" applyFont="1" applyProtection="1">
      <protection locked="0"/>
    </xf>
    <xf numFmtId="168" fontId="0" fillId="0" borderId="0" xfId="1" applyNumberFormat="1" applyFont="1"/>
    <xf numFmtId="0" fontId="1" fillId="0" borderId="9" xfId="0" applyFont="1" applyBorder="1"/>
    <xf numFmtId="165" fontId="1" fillId="0" borderId="9" xfId="0" applyNumberFormat="1" applyFont="1" applyBorder="1"/>
    <xf numFmtId="166" fontId="6" fillId="0" borderId="10" xfId="3" applyNumberFormat="1" applyFont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11" fillId="0" borderId="1" xfId="0" applyFont="1" applyBorder="1"/>
    <xf numFmtId="0" fontId="0" fillId="0" borderId="13" xfId="0" applyBorder="1"/>
    <xf numFmtId="0" fontId="0" fillId="0" borderId="14" xfId="0" applyBorder="1"/>
    <xf numFmtId="0" fontId="11" fillId="0" borderId="16" xfId="0" applyFont="1" applyBorder="1"/>
    <xf numFmtId="0" fontId="15" fillId="0" borderId="15" xfId="0" applyFont="1" applyBorder="1"/>
    <xf numFmtId="0" fontId="16" fillId="0" borderId="0" xfId="0" applyFont="1" applyProtection="1">
      <protection locked="0"/>
    </xf>
    <xf numFmtId="9" fontId="16" fillId="0" borderId="0" xfId="1" applyFont="1" applyFill="1" applyBorder="1" applyProtection="1">
      <protection locked="0"/>
    </xf>
    <xf numFmtId="0" fontId="16" fillId="0" borderId="0" xfId="0" applyFont="1"/>
    <xf numFmtId="0" fontId="27" fillId="6" borderId="0" xfId="0" applyFont="1" applyFill="1" applyAlignment="1" applyProtection="1">
      <alignment vertical="center"/>
      <protection locked="0"/>
    </xf>
    <xf numFmtId="0" fontId="20" fillId="8" borderId="3" xfId="0" applyFont="1" applyFill="1" applyBorder="1" applyAlignment="1" applyProtection="1">
      <alignment horizontal="centerContinuous" wrapText="1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173" fontId="18" fillId="0" borderId="0" xfId="2" applyNumberFormat="1" applyFont="1" applyFill="1" applyBorder="1" applyProtection="1">
      <protection locked="0"/>
    </xf>
    <xf numFmtId="9" fontId="22" fillId="0" borderId="0" xfId="1" quotePrefix="1" applyFont="1" applyAlignment="1" applyProtection="1">
      <alignment horizontal="left" indent="1"/>
      <protection locked="0"/>
    </xf>
    <xf numFmtId="9" fontId="18" fillId="0" borderId="0" xfId="1" applyFont="1" applyFill="1" applyBorder="1" applyProtection="1">
      <protection locked="0"/>
    </xf>
    <xf numFmtId="173" fontId="16" fillId="0" borderId="0" xfId="2" applyNumberFormat="1" applyFont="1" applyFill="1" applyBorder="1" applyProtection="1">
      <protection locked="0"/>
    </xf>
    <xf numFmtId="0" fontId="20" fillId="8" borderId="20" xfId="0" applyFont="1" applyFill="1" applyBorder="1" applyAlignment="1" applyProtection="1">
      <alignment horizontal="centerContinuous" wrapText="1"/>
      <protection locked="0"/>
    </xf>
    <xf numFmtId="0" fontId="16" fillId="0" borderId="19" xfId="0" applyFont="1" applyBorder="1"/>
    <xf numFmtId="0" fontId="0" fillId="0" borderId="19" xfId="0" applyBorder="1"/>
    <xf numFmtId="173" fontId="18" fillId="0" borderId="19" xfId="2" applyNumberFormat="1" applyFont="1" applyFill="1" applyBorder="1" applyProtection="1">
      <protection locked="0"/>
    </xf>
    <xf numFmtId="0" fontId="0" fillId="0" borderId="16" xfId="0" applyBorder="1"/>
    <xf numFmtId="0" fontId="15" fillId="0" borderId="16" xfId="0" applyFont="1" applyBorder="1"/>
    <xf numFmtId="0" fontId="1" fillId="0" borderId="12" xfId="0" applyFont="1" applyBorder="1"/>
    <xf numFmtId="0" fontId="3" fillId="6" borderId="18" xfId="0" applyFont="1" applyFill="1" applyBorder="1" applyAlignment="1" applyProtection="1">
      <alignment vertical="center"/>
      <protection locked="0"/>
    </xf>
    <xf numFmtId="0" fontId="12" fillId="0" borderId="0" xfId="0" applyFont="1"/>
    <xf numFmtId="0" fontId="12" fillId="0" borderId="3" xfId="0" applyFont="1" applyBorder="1"/>
    <xf numFmtId="9" fontId="33" fillId="0" borderId="0" xfId="1" quotePrefix="1" applyFont="1" applyAlignment="1" applyProtection="1">
      <alignment horizontal="left" indent="1"/>
      <protection locked="0"/>
    </xf>
    <xf numFmtId="9" fontId="34" fillId="0" borderId="0" xfId="1" applyFont="1" applyAlignment="1" applyProtection="1">
      <alignment horizontal="center" vertical="center"/>
      <protection locked="0"/>
    </xf>
    <xf numFmtId="3" fontId="35" fillId="0" borderId="0" xfId="1" applyNumberFormat="1" applyFont="1" applyFill="1" applyBorder="1" applyProtection="1">
      <protection locked="0"/>
    </xf>
    <xf numFmtId="3" fontId="35" fillId="0" borderId="19" xfId="1" applyNumberFormat="1" applyFont="1" applyFill="1" applyBorder="1" applyProtection="1">
      <protection locked="0"/>
    </xf>
    <xf numFmtId="165" fontId="36" fillId="0" borderId="0" xfId="0" applyNumberFormat="1" applyFont="1"/>
    <xf numFmtId="165" fontId="36" fillId="0" borderId="19" xfId="0" applyNumberFormat="1" applyFont="1" applyBorder="1"/>
    <xf numFmtId="173" fontId="35" fillId="0" borderId="0" xfId="2" applyNumberFormat="1" applyFont="1" applyFill="1" applyBorder="1" applyProtection="1">
      <protection locked="0"/>
    </xf>
    <xf numFmtId="9" fontId="35" fillId="0" borderId="19" xfId="1" applyFont="1" applyFill="1" applyBorder="1" applyProtection="1">
      <protection locked="0"/>
    </xf>
    <xf numFmtId="168" fontId="35" fillId="0" borderId="0" xfId="1" applyNumberFormat="1" applyFont="1" applyFill="1" applyProtection="1">
      <protection locked="0"/>
    </xf>
    <xf numFmtId="0" fontId="20" fillId="8" borderId="0" xfId="0" applyFont="1" applyFill="1" applyProtection="1">
      <protection locked="0"/>
    </xf>
    <xf numFmtId="43" fontId="25" fillId="0" borderId="19" xfId="2" applyFont="1" applyFill="1" applyBorder="1" applyProtection="1">
      <protection locked="0"/>
    </xf>
    <xf numFmtId="0" fontId="35" fillId="0" borderId="0" xfId="0" applyFont="1" applyAlignment="1" applyProtection="1">
      <alignment horizontal="left" indent="1"/>
      <protection locked="0"/>
    </xf>
    <xf numFmtId="174" fontId="35" fillId="0" borderId="0" xfId="1" applyNumberFormat="1" applyFont="1" applyFill="1" applyBorder="1" applyProtection="1">
      <protection locked="0"/>
    </xf>
    <xf numFmtId="174" fontId="35" fillId="0" borderId="19" xfId="1" applyNumberFormat="1" applyFont="1" applyFill="1" applyBorder="1" applyProtection="1">
      <protection locked="0"/>
    </xf>
    <xf numFmtId="174" fontId="37" fillId="0" borderId="0" xfId="1" applyNumberFormat="1" applyFont="1" applyFill="1" applyBorder="1" applyProtection="1">
      <protection locked="0"/>
    </xf>
    <xf numFmtId="174" fontId="35" fillId="0" borderId="0" xfId="1" applyNumberFormat="1" applyFont="1" applyFill="1" applyBorder="1" applyAlignment="1" applyProtection="1">
      <alignment horizontal="right"/>
      <protection locked="0"/>
    </xf>
    <xf numFmtId="165" fontId="35" fillId="0" borderId="0" xfId="1" applyNumberFormat="1" applyFont="1" applyFill="1" applyAlignment="1" applyProtection="1">
      <alignment horizontal="right"/>
      <protection locked="0"/>
    </xf>
    <xf numFmtId="165" fontId="35" fillId="0" borderId="19" xfId="1" applyNumberFormat="1" applyFont="1" applyFill="1" applyBorder="1" applyAlignment="1" applyProtection="1">
      <alignment horizontal="right"/>
      <protection locked="0"/>
    </xf>
    <xf numFmtId="174" fontId="35" fillId="0" borderId="0" xfId="1" applyNumberFormat="1" applyFont="1" applyFill="1" applyAlignment="1" applyProtection="1">
      <alignment horizontal="right"/>
      <protection locked="0"/>
    </xf>
    <xf numFmtId="174" fontId="35" fillId="0" borderId="19" xfId="1" applyNumberFormat="1" applyFont="1" applyFill="1" applyBorder="1" applyAlignment="1" applyProtection="1">
      <alignment horizontal="right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165" fontId="0" fillId="0" borderId="19" xfId="0" applyNumberFormat="1" applyBorder="1"/>
    <xf numFmtId="0" fontId="27" fillId="6" borderId="3" xfId="0" applyFont="1" applyFill="1" applyBorder="1" applyAlignment="1" applyProtection="1">
      <alignment vertical="center"/>
      <protection locked="0"/>
    </xf>
    <xf numFmtId="0" fontId="42" fillId="11" borderId="0" xfId="0" applyFont="1" applyFill="1"/>
    <xf numFmtId="0" fontId="0" fillId="2" borderId="0" xfId="0" applyFill="1"/>
    <xf numFmtId="0" fontId="0" fillId="2" borderId="19" xfId="0" applyFill="1" applyBorder="1"/>
    <xf numFmtId="0" fontId="0" fillId="2" borderId="18" xfId="0" applyFill="1" applyBorder="1"/>
    <xf numFmtId="0" fontId="1" fillId="0" borderId="1" xfId="0" applyFont="1" applyBorder="1"/>
    <xf numFmtId="165" fontId="1" fillId="0" borderId="1" xfId="0" applyNumberFormat="1" applyFont="1" applyBorder="1"/>
    <xf numFmtId="165" fontId="1" fillId="4" borderId="0" xfId="0" applyNumberFormat="1" applyFont="1" applyFill="1"/>
    <xf numFmtId="165" fontId="1" fillId="4" borderId="25" xfId="0" applyNumberFormat="1" applyFont="1" applyFill="1" applyBorder="1"/>
    <xf numFmtId="0" fontId="25" fillId="9" borderId="0" xfId="0" applyFont="1" applyFill="1" applyProtection="1">
      <protection locked="0"/>
    </xf>
    <xf numFmtId="164" fontId="0" fillId="2" borderId="0" xfId="0" applyNumberFormat="1" applyFill="1"/>
    <xf numFmtId="0" fontId="43" fillId="12" borderId="30" xfId="0" applyFont="1" applyFill="1" applyBorder="1" applyAlignment="1" applyProtection="1">
      <alignment vertical="center"/>
      <protection locked="0"/>
    </xf>
    <xf numFmtId="0" fontId="15" fillId="0" borderId="0" xfId="0" applyFont="1"/>
    <xf numFmtId="0" fontId="1" fillId="0" borderId="32" xfId="0" applyFont="1" applyBorder="1"/>
    <xf numFmtId="3" fontId="0" fillId="0" borderId="0" xfId="0" applyNumberFormat="1"/>
    <xf numFmtId="3" fontId="1" fillId="0" borderId="1" xfId="0" applyNumberFormat="1" applyFont="1" applyBorder="1"/>
    <xf numFmtId="3" fontId="1" fillId="0" borderId="12" xfId="0" applyNumberFormat="1" applyFont="1" applyBorder="1"/>
    <xf numFmtId="3" fontId="1" fillId="0" borderId="32" xfId="0" applyNumberFormat="1" applyFont="1" applyBorder="1"/>
    <xf numFmtId="164" fontId="45" fillId="0" borderId="0" xfId="0" applyNumberFormat="1" applyFont="1"/>
    <xf numFmtId="0" fontId="45" fillId="0" borderId="0" xfId="0" applyFont="1"/>
    <xf numFmtId="0" fontId="16" fillId="10" borderId="0" xfId="0" applyFont="1" applyFill="1" applyProtection="1">
      <protection locked="0"/>
    </xf>
    <xf numFmtId="0" fontId="16" fillId="10" borderId="0" xfId="0" applyFont="1" applyFill="1" applyAlignment="1" applyProtection="1">
      <alignment horizontal="right"/>
      <protection locked="0"/>
    </xf>
    <xf numFmtId="14" fontId="16" fillId="2" borderId="0" xfId="0" applyNumberFormat="1" applyFont="1" applyFill="1"/>
    <xf numFmtId="0" fontId="27" fillId="7" borderId="39" xfId="0" applyFont="1" applyFill="1" applyBorder="1"/>
    <xf numFmtId="9" fontId="16" fillId="0" borderId="0" xfId="0" applyNumberFormat="1" applyFont="1"/>
    <xf numFmtId="9" fontId="25" fillId="0" borderId="39" xfId="0" applyNumberFormat="1" applyFont="1" applyBorder="1"/>
    <xf numFmtId="2" fontId="16" fillId="0" borderId="0" xfId="0" applyNumberFormat="1" applyFont="1"/>
    <xf numFmtId="2" fontId="25" fillId="0" borderId="39" xfId="0" applyNumberFormat="1" applyFont="1" applyBorder="1"/>
    <xf numFmtId="0" fontId="25" fillId="0" borderId="39" xfId="0" applyFont="1" applyBorder="1"/>
    <xf numFmtId="9" fontId="16" fillId="0" borderId="0" xfId="1" applyFont="1" applyFill="1"/>
    <xf numFmtId="0" fontId="27" fillId="6" borderId="18" xfId="0" applyFont="1" applyFill="1" applyBorder="1" applyAlignment="1" applyProtection="1">
      <alignment vertical="center"/>
      <protection locked="0"/>
    </xf>
    <xf numFmtId="0" fontId="47" fillId="0" borderId="16" xfId="0" applyFont="1" applyBorder="1"/>
    <xf numFmtId="0" fontId="47" fillId="0" borderId="0" xfId="0" applyFont="1"/>
    <xf numFmtId="0" fontId="16" fillId="0" borderId="34" xfId="0" applyFont="1" applyBorder="1" applyProtection="1">
      <protection locked="0"/>
    </xf>
    <xf numFmtId="179" fontId="16" fillId="14" borderId="36" xfId="0" applyNumberFormat="1" applyFont="1" applyFill="1" applyBorder="1" applyProtection="1">
      <protection locked="0"/>
    </xf>
    <xf numFmtId="179" fontId="16" fillId="14" borderId="37" xfId="0" applyNumberFormat="1" applyFont="1" applyFill="1" applyBorder="1" applyProtection="1">
      <protection locked="0"/>
    </xf>
    <xf numFmtId="2" fontId="16" fillId="14" borderId="36" xfId="0" applyNumberFormat="1" applyFont="1" applyFill="1" applyBorder="1" applyAlignment="1" applyProtection="1">
      <alignment horizontal="right" indent="2"/>
      <protection locked="0"/>
    </xf>
    <xf numFmtId="2" fontId="16" fillId="10" borderId="0" xfId="0" applyNumberFormat="1" applyFont="1" applyFill="1" applyAlignment="1" applyProtection="1">
      <alignment horizontal="right" indent="2"/>
      <protection locked="0"/>
    </xf>
    <xf numFmtId="2" fontId="16" fillId="0" borderId="0" xfId="0" applyNumberFormat="1" applyFont="1" applyAlignment="1" applyProtection="1">
      <alignment horizontal="right" indent="2"/>
      <protection locked="0"/>
    </xf>
    <xf numFmtId="0" fontId="27" fillId="6" borderId="0" xfId="0" applyFont="1" applyFill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Continuous"/>
      <protection locked="0"/>
    </xf>
    <xf numFmtId="0" fontId="27" fillId="6" borderId="0" xfId="0" applyFont="1" applyFill="1" applyAlignment="1" applyProtection="1">
      <alignment horizontal="centerContinuous"/>
      <protection locked="0"/>
    </xf>
    <xf numFmtId="0" fontId="27" fillId="6" borderId="24" xfId="0" applyFont="1" applyFill="1" applyBorder="1" applyAlignment="1" applyProtection="1">
      <alignment horizontal="centerContinuous" vertical="center"/>
      <protection locked="0"/>
    </xf>
    <xf numFmtId="0" fontId="27" fillId="6" borderId="0" xfId="0" applyFont="1" applyFill="1" applyAlignment="1" applyProtection="1">
      <alignment horizontal="centerContinuous" vertical="center"/>
      <protection locked="0"/>
    </xf>
    <xf numFmtId="0" fontId="27" fillId="6" borderId="3" xfId="0" applyFont="1" applyFill="1" applyBorder="1" applyAlignment="1" applyProtection="1">
      <alignment horizontal="left"/>
      <protection locked="0"/>
    </xf>
    <xf numFmtId="176" fontId="27" fillId="6" borderId="33" xfId="0" applyNumberFormat="1" applyFont="1" applyFill="1" applyBorder="1" applyAlignment="1" applyProtection="1">
      <alignment horizontal="center" vertical="center"/>
      <protection locked="0"/>
    </xf>
    <xf numFmtId="0" fontId="27" fillId="6" borderId="33" xfId="0" applyFont="1" applyFill="1" applyBorder="1" applyAlignment="1" applyProtection="1">
      <alignment horizontal="center" vertical="center"/>
      <protection locked="0"/>
    </xf>
    <xf numFmtId="2" fontId="22" fillId="14" borderId="37" xfId="0" applyNumberFormat="1" applyFont="1" applyFill="1" applyBorder="1" applyAlignment="1" applyProtection="1">
      <alignment horizontal="right" indent="2"/>
      <protection locked="0"/>
    </xf>
    <xf numFmtId="2" fontId="22" fillId="14" borderId="36" xfId="0" applyNumberFormat="1" applyFont="1" applyFill="1" applyBorder="1" applyAlignment="1" applyProtection="1">
      <alignment horizontal="right" indent="2"/>
      <protection locked="0"/>
    </xf>
    <xf numFmtId="173" fontId="16" fillId="10" borderId="0" xfId="2" applyNumberFormat="1" applyFont="1" applyFill="1" applyBorder="1" applyProtection="1">
      <protection locked="0"/>
    </xf>
    <xf numFmtId="180" fontId="0" fillId="0" borderId="0" xfId="0" applyNumberFormat="1"/>
    <xf numFmtId="9" fontId="0" fillId="0" borderId="19" xfId="1" applyFont="1" applyBorder="1"/>
    <xf numFmtId="168" fontId="0" fillId="0" borderId="19" xfId="1" applyNumberFormat="1" applyFont="1" applyBorder="1"/>
    <xf numFmtId="9" fontId="0" fillId="0" borderId="19" xfId="0" applyNumberFormat="1" applyBorder="1"/>
    <xf numFmtId="10" fontId="0" fillId="0" borderId="19" xfId="0" applyNumberFormat="1" applyBorder="1"/>
    <xf numFmtId="2" fontId="0" fillId="0" borderId="19" xfId="0" applyNumberFormat="1" applyBorder="1"/>
    <xf numFmtId="0" fontId="3" fillId="6" borderId="42" xfId="0" applyFont="1" applyFill="1" applyBorder="1" applyAlignment="1" applyProtection="1">
      <alignment vertical="center"/>
      <protection locked="0"/>
    </xf>
    <xf numFmtId="0" fontId="3" fillId="6" borderId="41" xfId="0" applyFont="1" applyFill="1" applyBorder="1" applyAlignment="1" applyProtection="1">
      <alignment vertical="center"/>
      <protection locked="0"/>
    </xf>
    <xf numFmtId="0" fontId="0" fillId="0" borderId="39" xfId="0" applyBorder="1"/>
    <xf numFmtId="0" fontId="0" fillId="0" borderId="43" xfId="0" applyBorder="1"/>
    <xf numFmtId="2" fontId="0" fillId="0" borderId="22" xfId="0" applyNumberFormat="1" applyBorder="1"/>
    <xf numFmtId="0" fontId="0" fillId="0" borderId="39" xfId="0" applyBorder="1" applyAlignment="1">
      <alignment horizontal="left"/>
    </xf>
    <xf numFmtId="0" fontId="0" fillId="0" borderId="43" xfId="0" applyBorder="1" applyAlignment="1">
      <alignment horizontal="left"/>
    </xf>
    <xf numFmtId="0" fontId="1" fillId="0" borderId="39" xfId="0" applyFont="1" applyBorder="1" applyAlignment="1">
      <alignment horizontal="left"/>
    </xf>
    <xf numFmtId="9" fontId="1" fillId="0" borderId="19" xfId="1" applyFont="1" applyBorder="1"/>
    <xf numFmtId="10" fontId="0" fillId="0" borderId="19" xfId="1" applyNumberFormat="1" applyFont="1" applyBorder="1"/>
    <xf numFmtId="3" fontId="0" fillId="0" borderId="19" xfId="1" applyNumberFormat="1" applyFont="1" applyBorder="1"/>
    <xf numFmtId="181" fontId="0" fillId="0" borderId="19" xfId="0" applyNumberFormat="1" applyBorder="1"/>
    <xf numFmtId="181" fontId="0" fillId="0" borderId="22" xfId="0" applyNumberFormat="1" applyBorder="1"/>
    <xf numFmtId="0" fontId="0" fillId="0" borderId="40" xfId="0" applyBorder="1"/>
    <xf numFmtId="0" fontId="0" fillId="0" borderId="44" xfId="0" applyBorder="1"/>
    <xf numFmtId="0" fontId="0" fillId="5" borderId="40" xfId="0" applyFill="1" applyBorder="1"/>
    <xf numFmtId="0" fontId="3" fillId="6" borderId="45" xfId="0" applyFont="1" applyFill="1" applyBorder="1" applyAlignment="1" applyProtection="1">
      <alignment vertical="center"/>
      <protection locked="0"/>
    </xf>
    <xf numFmtId="0" fontId="0" fillId="0" borderId="22" xfId="0" applyBorder="1"/>
    <xf numFmtId="0" fontId="27" fillId="7" borderId="38" xfId="2" applyNumberFormat="1" applyFont="1" applyFill="1" applyBorder="1" applyAlignment="1" applyProtection="1">
      <protection locked="0"/>
    </xf>
    <xf numFmtId="0" fontId="3" fillId="6" borderId="18" xfId="0" applyFont="1" applyFill="1" applyBorder="1" applyAlignment="1">
      <alignment vertical="center"/>
    </xf>
    <xf numFmtId="0" fontId="30" fillId="8" borderId="3" xfId="0" applyFont="1" applyFill="1" applyBorder="1" applyAlignment="1">
      <alignment horizontal="centerContinuous" wrapText="1"/>
    </xf>
    <xf numFmtId="0" fontId="30" fillId="8" borderId="20" xfId="0" applyFont="1" applyFill="1" applyBorder="1" applyAlignment="1">
      <alignment horizontal="centerContinuous" wrapText="1"/>
    </xf>
    <xf numFmtId="0" fontId="3" fillId="7" borderId="3" xfId="2" applyNumberFormat="1" applyFont="1" applyFill="1" applyBorder="1" applyAlignment="1" applyProtection="1">
      <alignment horizontal="centerContinuous"/>
    </xf>
    <xf numFmtId="0" fontId="3" fillId="7" borderId="24" xfId="2" applyNumberFormat="1" applyFont="1" applyFill="1" applyBorder="1" applyAlignment="1" applyProtection="1">
      <alignment horizontal="centerContinuous"/>
    </xf>
    <xf numFmtId="0" fontId="14" fillId="0" borderId="0" xfId="0" applyFont="1"/>
    <xf numFmtId="0" fontId="14" fillId="0" borderId="0" xfId="0" applyFont="1" applyAlignment="1">
      <alignment horizontal="left"/>
    </xf>
    <xf numFmtId="0" fontId="40" fillId="5" borderId="3" xfId="0" applyFont="1" applyFill="1" applyBorder="1"/>
    <xf numFmtId="0" fontId="40" fillId="5" borderId="20" xfId="0" applyFont="1" applyFill="1" applyBorder="1"/>
    <xf numFmtId="0" fontId="10" fillId="3" borderId="3" xfId="0" applyFont="1" applyFill="1" applyBorder="1"/>
    <xf numFmtId="0" fontId="10" fillId="3" borderId="0" xfId="0" applyFont="1" applyFill="1"/>
    <xf numFmtId="0" fontId="31" fillId="0" borderId="0" xfId="0" applyFont="1" applyAlignment="1">
      <alignment horizontal="left"/>
    </xf>
    <xf numFmtId="165" fontId="0" fillId="0" borderId="0" xfId="0" applyNumberFormat="1" applyAlignment="1">
      <alignment horizontal="right"/>
    </xf>
    <xf numFmtId="165" fontId="0" fillId="0" borderId="19" xfId="0" applyNumberFormat="1" applyBorder="1" applyAlignment="1">
      <alignment horizontal="right"/>
    </xf>
    <xf numFmtId="0" fontId="31" fillId="0" borderId="18" xfId="0" applyFont="1" applyBorder="1" applyAlignment="1">
      <alignment horizontal="left"/>
    </xf>
    <xf numFmtId="165" fontId="0" fillId="0" borderId="18" xfId="0" applyNumberFormat="1" applyBorder="1" applyAlignment="1">
      <alignment horizontal="right"/>
    </xf>
    <xf numFmtId="165" fontId="0" fillId="0" borderId="22" xfId="0" applyNumberFormat="1" applyBorder="1" applyAlignment="1">
      <alignment horizontal="right"/>
    </xf>
    <xf numFmtId="165" fontId="0" fillId="0" borderId="18" xfId="0" applyNumberFormat="1" applyBorder="1"/>
    <xf numFmtId="0" fontId="1" fillId="0" borderId="11" xfId="0" applyFont="1" applyBorder="1"/>
    <xf numFmtId="0" fontId="32" fillId="0" borderId="0" xfId="0" applyFont="1" applyAlignment="1">
      <alignment horizontal="left"/>
    </xf>
    <xf numFmtId="165" fontId="1" fillId="0" borderId="0" xfId="0" applyNumberFormat="1" applyFont="1" applyAlignment="1">
      <alignment horizontal="right"/>
    </xf>
    <xf numFmtId="165" fontId="1" fillId="0" borderId="19" xfId="0" applyNumberFormat="1" applyFont="1" applyBorder="1" applyAlignment="1">
      <alignment horizontal="right"/>
    </xf>
    <xf numFmtId="0" fontId="0" fillId="0" borderId="18" xfId="0" applyBorder="1"/>
    <xf numFmtId="165" fontId="1" fillId="0" borderId="0" xfId="0" applyNumberFormat="1" applyFont="1"/>
    <xf numFmtId="165" fontId="1" fillId="0" borderId="19" xfId="0" applyNumberFormat="1" applyFont="1" applyBorder="1"/>
    <xf numFmtId="0" fontId="32" fillId="0" borderId="12" xfId="0" applyFont="1" applyBorder="1" applyAlignment="1">
      <alignment horizontal="left"/>
    </xf>
    <xf numFmtId="165" fontId="1" fillId="0" borderId="12" xfId="0" applyNumberFormat="1" applyFont="1" applyBorder="1" applyAlignment="1">
      <alignment horizontal="right"/>
    </xf>
    <xf numFmtId="165" fontId="1" fillId="0" borderId="23" xfId="0" applyNumberFormat="1" applyFont="1" applyBorder="1" applyAlignment="1">
      <alignment horizontal="right"/>
    </xf>
    <xf numFmtId="0" fontId="20" fillId="9" borderId="0" xfId="0" applyFont="1" applyFill="1" applyAlignment="1">
      <alignment vertical="center"/>
    </xf>
    <xf numFmtId="169" fontId="16" fillId="0" borderId="0" xfId="0" applyNumberFormat="1" applyFont="1"/>
    <xf numFmtId="170" fontId="19" fillId="0" borderId="0" xfId="0" applyNumberFormat="1" applyFont="1" applyAlignment="1">
      <alignment horizontal="left"/>
    </xf>
    <xf numFmtId="171" fontId="16" fillId="0" borderId="0" xfId="0" applyNumberFormat="1" applyFont="1" applyAlignment="1">
      <alignment horizontal="right"/>
    </xf>
    <xf numFmtId="0" fontId="20" fillId="0" borderId="9" xfId="0" applyFont="1" applyBorder="1" applyAlignment="1">
      <alignment horizontal="left" indent="1"/>
    </xf>
    <xf numFmtId="0" fontId="16" fillId="0" borderId="9" xfId="0" applyFont="1" applyBorder="1"/>
    <xf numFmtId="0" fontId="20" fillId="0" borderId="11" xfId="0" applyFont="1" applyBorder="1"/>
    <xf numFmtId="168" fontId="16" fillId="0" borderId="11" xfId="1" applyNumberFormat="1" applyFont="1" applyFill="1" applyBorder="1" applyProtection="1"/>
    <xf numFmtId="170" fontId="23" fillId="0" borderId="9" xfId="0" applyNumberFormat="1" applyFont="1" applyBorder="1" applyAlignment="1">
      <alignment horizontal="left"/>
    </xf>
    <xf numFmtId="10" fontId="16" fillId="0" borderId="0" xfId="1" applyNumberFormat="1" applyFont="1" applyFill="1" applyProtection="1"/>
    <xf numFmtId="170" fontId="23" fillId="0" borderId="0" xfId="0" applyNumberFormat="1" applyFont="1" applyAlignment="1">
      <alignment horizontal="left"/>
    </xf>
    <xf numFmtId="0" fontId="20" fillId="0" borderId="0" xfId="0" applyFont="1"/>
    <xf numFmtId="0" fontId="16" fillId="0" borderId="0" xfId="0" applyFont="1" applyAlignment="1">
      <alignment horizontal="left" indent="1"/>
    </xf>
    <xf numFmtId="172" fontId="16" fillId="0" borderId="0" xfId="2" applyNumberFormat="1" applyFont="1" applyBorder="1" applyProtection="1"/>
    <xf numFmtId="9" fontId="16" fillId="0" borderId="0" xfId="1" applyFont="1" applyFill="1" applyBorder="1" applyProtection="1"/>
    <xf numFmtId="0" fontId="16" fillId="0" borderId="9" xfId="0" applyFont="1" applyBorder="1" applyAlignment="1">
      <alignment horizontal="left" indent="2"/>
    </xf>
    <xf numFmtId="172" fontId="16" fillId="0" borderId="9" xfId="2" applyNumberFormat="1" applyFont="1" applyFill="1" applyBorder="1" applyProtection="1"/>
    <xf numFmtId="168" fontId="16" fillId="0" borderId="9" xfId="1" applyNumberFormat="1" applyFont="1" applyFill="1" applyBorder="1" applyProtection="1"/>
    <xf numFmtId="170" fontId="19" fillId="0" borderId="11" xfId="0" applyNumberFormat="1" applyFont="1" applyBorder="1" applyAlignment="1">
      <alignment horizontal="left"/>
    </xf>
    <xf numFmtId="170" fontId="24" fillId="0" borderId="0" xfId="0" applyNumberFormat="1" applyFont="1"/>
    <xf numFmtId="0" fontId="20" fillId="10" borderId="1" xfId="0" applyFont="1" applyFill="1" applyBorder="1" applyAlignment="1">
      <alignment vertical="center"/>
    </xf>
    <xf numFmtId="168" fontId="16" fillId="0" borderId="12" xfId="1" applyNumberFormat="1" applyFont="1" applyFill="1" applyBorder="1" applyProtection="1"/>
    <xf numFmtId="0" fontId="27" fillId="6" borderId="0" xfId="0" applyFont="1" applyFill="1" applyAlignment="1">
      <alignment vertical="center"/>
    </xf>
    <xf numFmtId="0" fontId="20" fillId="8" borderId="3" xfId="0" applyFont="1" applyFill="1" applyBorder="1" applyAlignment="1">
      <alignment horizontal="centerContinuous" wrapText="1"/>
    </xf>
    <xf numFmtId="0" fontId="20" fillId="8" borderId="20" xfId="0" applyFont="1" applyFill="1" applyBorder="1" applyAlignment="1">
      <alignment horizontal="centerContinuous" wrapText="1"/>
    </xf>
    <xf numFmtId="0" fontId="16" fillId="2" borderId="0" xfId="0" applyFont="1" applyFill="1"/>
    <xf numFmtId="0" fontId="16" fillId="2" borderId="19" xfId="0" applyFont="1" applyFill="1" applyBorder="1"/>
    <xf numFmtId="0" fontId="27" fillId="3" borderId="0" xfId="0" applyFont="1" applyFill="1"/>
    <xf numFmtId="3" fontId="16" fillId="0" borderId="0" xfId="0" applyNumberFormat="1" applyFont="1"/>
    <xf numFmtId="3" fontId="16" fillId="0" borderId="19" xfId="0" applyNumberFormat="1" applyFont="1" applyBorder="1"/>
    <xf numFmtId="0" fontId="25" fillId="0" borderId="0" xfId="0" applyFont="1"/>
    <xf numFmtId="0" fontId="26" fillId="0" borderId="0" xfId="0" applyFont="1"/>
    <xf numFmtId="3" fontId="25" fillId="0" borderId="0" xfId="0" applyNumberFormat="1" applyFont="1"/>
    <xf numFmtId="3" fontId="25" fillId="0" borderId="19" xfId="0" applyNumberFormat="1" applyFont="1" applyBorder="1"/>
    <xf numFmtId="3" fontId="16" fillId="0" borderId="18" xfId="0" applyNumberFormat="1" applyFont="1" applyBorder="1"/>
    <xf numFmtId="0" fontId="16" fillId="0" borderId="1" xfId="0" applyFont="1" applyBorder="1"/>
    <xf numFmtId="0" fontId="14" fillId="0" borderId="1" xfId="0" applyFont="1" applyBorder="1"/>
    <xf numFmtId="3" fontId="16" fillId="0" borderId="1" xfId="0" applyNumberFormat="1" applyFont="1" applyBorder="1"/>
    <xf numFmtId="3" fontId="16" fillId="0" borderId="21" xfId="0" applyNumberFormat="1" applyFont="1" applyBorder="1"/>
    <xf numFmtId="3" fontId="16" fillId="0" borderId="17" xfId="0" applyNumberFormat="1" applyFont="1" applyBorder="1"/>
    <xf numFmtId="9" fontId="16" fillId="0" borderId="0" xfId="1" applyFont="1" applyProtection="1"/>
    <xf numFmtId="0" fontId="25" fillId="0" borderId="1" xfId="0" applyFont="1" applyBorder="1"/>
    <xf numFmtId="0" fontId="26" fillId="0" borderId="1" xfId="0" applyFont="1" applyBorder="1"/>
    <xf numFmtId="3" fontId="25" fillId="0" borderId="1" xfId="0" applyNumberFormat="1" applyFont="1" applyBorder="1"/>
    <xf numFmtId="3" fontId="25" fillId="0" borderId="21" xfId="0" applyNumberFormat="1" applyFont="1" applyBorder="1"/>
    <xf numFmtId="0" fontId="3" fillId="6" borderId="0" xfId="0" applyFont="1" applyFill="1" applyAlignment="1">
      <alignment horizontal="center" vertical="center"/>
    </xf>
    <xf numFmtId="167" fontId="8" fillId="0" borderId="0" xfId="2" applyNumberFormat="1" applyFont="1" applyFill="1" applyBorder="1" applyProtection="1"/>
    <xf numFmtId="166" fontId="5" fillId="0" borderId="0" xfId="3" applyNumberFormat="1" applyFont="1"/>
    <xf numFmtId="168" fontId="7" fillId="0" borderId="4" xfId="1" applyNumberFormat="1" applyFont="1" applyFill="1" applyBorder="1" applyProtection="1"/>
    <xf numFmtId="4" fontId="5" fillId="0" borderId="5" xfId="3" applyNumberFormat="1" applyFont="1" applyBorder="1"/>
    <xf numFmtId="4" fontId="5" fillId="0" borderId="6" xfId="3" applyNumberFormat="1" applyFont="1" applyBorder="1"/>
    <xf numFmtId="4" fontId="5" fillId="0" borderId="0" xfId="3" applyNumberFormat="1" applyFont="1"/>
    <xf numFmtId="4" fontId="5" fillId="0" borderId="7" xfId="3" applyNumberFormat="1" applyFont="1" applyBorder="1"/>
    <xf numFmtId="4" fontId="5" fillId="8" borderId="0" xfId="3" applyNumberFormat="1" applyFont="1" applyFill="1"/>
    <xf numFmtId="166" fontId="7" fillId="0" borderId="8" xfId="1" applyNumberFormat="1" applyFont="1" applyFill="1" applyBorder="1" applyProtection="1"/>
    <xf numFmtId="0" fontId="39" fillId="9" borderId="0" xfId="3" applyFont="1" applyFill="1" applyAlignment="1">
      <alignment horizontal="left"/>
    </xf>
    <xf numFmtId="0" fontId="29" fillId="9" borderId="0" xfId="3" applyFont="1" applyFill="1" applyAlignment="1">
      <alignment horizontal="left"/>
    </xf>
    <xf numFmtId="0" fontId="27" fillId="6" borderId="0" xfId="0" applyFont="1" applyFill="1"/>
    <xf numFmtId="0" fontId="46" fillId="6" borderId="0" xfId="0" applyFont="1" applyFill="1" applyAlignment="1">
      <alignment horizontal="right"/>
    </xf>
    <xf numFmtId="0" fontId="33" fillId="0" borderId="0" xfId="0" applyFont="1" applyAlignment="1">
      <alignment vertical="top"/>
    </xf>
    <xf numFmtId="0" fontId="16" fillId="0" borderId="26" xfId="0" applyFont="1" applyBorder="1"/>
    <xf numFmtId="175" fontId="20" fillId="8" borderId="27" xfId="2" applyNumberFormat="1" applyFont="1" applyFill="1" applyBorder="1" applyAlignment="1" applyProtection="1">
      <alignment horizontal="center"/>
    </xf>
    <xf numFmtId="176" fontId="27" fillId="7" borderId="28" xfId="2" applyNumberFormat="1" applyFont="1" applyFill="1" applyBorder="1" applyAlignment="1" applyProtection="1">
      <alignment horizontal="center"/>
    </xf>
    <xf numFmtId="0" fontId="16" fillId="10" borderId="0" xfId="0" applyFont="1" applyFill="1"/>
    <xf numFmtId="0" fontId="16" fillId="10" borderId="0" xfId="0" applyFont="1" applyFill="1" applyAlignment="1">
      <alignment horizontal="right"/>
    </xf>
    <xf numFmtId="177" fontId="22" fillId="0" borderId="0" xfId="0" applyNumberFormat="1" applyFont="1"/>
    <xf numFmtId="173" fontId="22" fillId="0" borderId="0" xfId="0" applyNumberFormat="1" applyFont="1"/>
    <xf numFmtId="173" fontId="16" fillId="0" borderId="29" xfId="2" applyNumberFormat="1" applyFont="1" applyFill="1" applyBorder="1" applyProtection="1"/>
    <xf numFmtId="177" fontId="16" fillId="0" borderId="0" xfId="0" applyNumberFormat="1" applyFont="1"/>
    <xf numFmtId="173" fontId="22" fillId="10" borderId="0" xfId="2" applyNumberFormat="1" applyFont="1" applyFill="1" applyBorder="1" applyAlignment="1" applyProtection="1">
      <alignment horizontal="right"/>
    </xf>
    <xf numFmtId="0" fontId="16" fillId="0" borderId="0" xfId="0" applyFont="1" applyAlignment="1">
      <alignment horizontal="right"/>
    </xf>
    <xf numFmtId="178" fontId="16" fillId="0" borderId="29" xfId="2" applyNumberFormat="1" applyFont="1" applyFill="1" applyBorder="1" applyProtection="1"/>
    <xf numFmtId="173" fontId="16" fillId="10" borderId="0" xfId="2" applyNumberFormat="1" applyFont="1" applyFill="1" applyAlignment="1" applyProtection="1">
      <alignment horizontal="right"/>
    </xf>
    <xf numFmtId="0" fontId="25" fillId="10" borderId="9" xfId="0" applyFont="1" applyFill="1" applyBorder="1"/>
    <xf numFmtId="173" fontId="25" fillId="0" borderId="11" xfId="2" applyNumberFormat="1" applyFont="1" applyFill="1" applyBorder="1" applyProtection="1"/>
    <xf numFmtId="0" fontId="16" fillId="9" borderId="0" xfId="0" applyFont="1" applyFill="1" applyAlignment="1">
      <alignment horizontal="right"/>
    </xf>
    <xf numFmtId="2" fontId="16" fillId="9" borderId="29" xfId="2" applyNumberFormat="1" applyFont="1" applyFill="1" applyBorder="1" applyProtection="1"/>
    <xf numFmtId="2" fontId="16" fillId="10" borderId="0" xfId="0" applyNumberFormat="1" applyFont="1" applyFill="1" applyAlignment="1">
      <alignment horizontal="right"/>
    </xf>
    <xf numFmtId="0" fontId="25" fillId="8" borderId="0" xfId="0" applyFont="1" applyFill="1"/>
    <xf numFmtId="173" fontId="25" fillId="8" borderId="0" xfId="0" applyNumberFormat="1" applyFont="1" applyFill="1" applyAlignment="1">
      <alignment horizontal="right"/>
    </xf>
    <xf numFmtId="2" fontId="25" fillId="8" borderId="0" xfId="0" applyNumberFormat="1" applyFont="1" applyFill="1" applyAlignment="1">
      <alignment horizontal="right"/>
    </xf>
    <xf numFmtId="0" fontId="48" fillId="0" borderId="0" xfId="0" applyFont="1"/>
    <xf numFmtId="0" fontId="25" fillId="8" borderId="0" xfId="0" applyFont="1" applyFill="1" applyAlignment="1">
      <alignment horizontal="right"/>
    </xf>
    <xf numFmtId="0" fontId="1" fillId="8" borderId="0" xfId="0" applyFont="1" applyFill="1"/>
    <xf numFmtId="0" fontId="25" fillId="10" borderId="0" xfId="0" applyFont="1" applyFill="1"/>
    <xf numFmtId="0" fontId="0" fillId="0" borderId="0" xfId="0" applyProtection="1">
      <protection hidden="1"/>
    </xf>
    <xf numFmtId="180" fontId="0" fillId="0" borderId="0" xfId="0" applyNumberFormat="1" applyProtection="1">
      <protection hidden="1"/>
    </xf>
    <xf numFmtId="168" fontId="0" fillId="0" borderId="0" xfId="1" applyNumberFormat="1" applyFont="1" applyProtection="1">
      <protection locked="0"/>
    </xf>
    <xf numFmtId="165" fontId="36" fillId="0" borderId="0" xfId="0" applyNumberFormat="1" applyFont="1" applyProtection="1">
      <protection locked="0"/>
    </xf>
    <xf numFmtId="165" fontId="0" fillId="0" borderId="0" xfId="0" applyNumberFormat="1" applyProtection="1">
      <protection locked="0"/>
    </xf>
    <xf numFmtId="165" fontId="1" fillId="4" borderId="0" xfId="0" applyNumberFormat="1" applyFont="1" applyFill="1" applyProtection="1">
      <protection locked="0"/>
    </xf>
    <xf numFmtId="165" fontId="0" fillId="4" borderId="0" xfId="0" applyNumberFormat="1" applyFill="1" applyProtection="1">
      <protection locked="0"/>
    </xf>
    <xf numFmtId="0" fontId="1" fillId="4" borderId="0" xfId="0" applyFont="1" applyFill="1" applyProtection="1">
      <protection locked="0"/>
    </xf>
    <xf numFmtId="0" fontId="3" fillId="6" borderId="0" xfId="0" applyFont="1" applyFill="1" applyAlignment="1" applyProtection="1">
      <alignment vertical="center"/>
      <protection locked="0"/>
    </xf>
    <xf numFmtId="0" fontId="31" fillId="0" borderId="0" xfId="0" applyFont="1"/>
    <xf numFmtId="0" fontId="31" fillId="0" borderId="2" xfId="0" applyFont="1" applyBorder="1"/>
    <xf numFmtId="0" fontId="1" fillId="0" borderId="2" xfId="0" applyFont="1" applyBorder="1"/>
    <xf numFmtId="2" fontId="1" fillId="0" borderId="0" xfId="0" applyNumberFormat="1" applyFont="1"/>
    <xf numFmtId="2" fontId="1" fillId="0" borderId="2" xfId="0" applyNumberFormat="1" applyFont="1" applyBorder="1"/>
    <xf numFmtId="2" fontId="6" fillId="0" borderId="10" xfId="3" applyNumberFormat="1" applyFont="1" applyBorder="1" applyAlignment="1" applyProtection="1">
      <alignment horizontal="center"/>
      <protection locked="0"/>
    </xf>
    <xf numFmtId="2" fontId="5" fillId="0" borderId="0" xfId="3" applyNumberFormat="1" applyFont="1"/>
    <xf numFmtId="2" fontId="7" fillId="0" borderId="4" xfId="1" applyNumberFormat="1" applyFont="1" applyFill="1" applyBorder="1" applyProtection="1"/>
    <xf numFmtId="10" fontId="5" fillId="0" borderId="5" xfId="3" applyNumberFormat="1" applyFont="1" applyBorder="1"/>
    <xf numFmtId="10" fontId="5" fillId="0" borderId="6" xfId="3" applyNumberFormat="1" applyFont="1" applyBorder="1"/>
    <xf numFmtId="10" fontId="5" fillId="0" borderId="0" xfId="3" applyNumberFormat="1" applyFont="1"/>
    <xf numFmtId="10" fontId="5" fillId="0" borderId="7" xfId="3" applyNumberFormat="1" applyFont="1" applyBorder="1"/>
    <xf numFmtId="10" fontId="5" fillId="8" borderId="0" xfId="3" applyNumberFormat="1" applyFont="1" applyFill="1"/>
    <xf numFmtId="10" fontId="8" fillId="0" borderId="0" xfId="2" applyNumberFormat="1" applyFont="1" applyFill="1" applyBorder="1" applyProtection="1"/>
    <xf numFmtId="182" fontId="1" fillId="0" borderId="9" xfId="0" applyNumberFormat="1" applyFont="1" applyBorder="1"/>
    <xf numFmtId="182" fontId="8" fillId="0" borderId="0" xfId="2" applyNumberFormat="1" applyFont="1" applyFill="1" applyBorder="1" applyProtection="1"/>
    <xf numFmtId="182" fontId="5" fillId="0" borderId="5" xfId="3" applyNumberFormat="1" applyFont="1" applyBorder="1"/>
    <xf numFmtId="182" fontId="5" fillId="0" borderId="6" xfId="3" applyNumberFormat="1" applyFont="1" applyBorder="1"/>
    <xf numFmtId="182" fontId="5" fillId="0" borderId="0" xfId="3" applyNumberFormat="1" applyFont="1"/>
    <xf numFmtId="182" fontId="5" fillId="0" borderId="7" xfId="3" applyNumberFormat="1" applyFont="1" applyBorder="1"/>
    <xf numFmtId="182" fontId="5" fillId="8" borderId="0" xfId="3" applyNumberFormat="1" applyFont="1" applyFill="1"/>
    <xf numFmtId="166" fontId="0" fillId="0" borderId="0" xfId="0" applyNumberFormat="1"/>
    <xf numFmtId="10" fontId="0" fillId="0" borderId="46" xfId="0" applyNumberFormat="1" applyBorder="1"/>
    <xf numFmtId="166" fontId="0" fillId="0" borderId="7" xfId="0" applyNumberFormat="1" applyBorder="1"/>
    <xf numFmtId="10" fontId="0" fillId="0" borderId="7" xfId="0" applyNumberFormat="1" applyBorder="1"/>
    <xf numFmtId="168" fontId="0" fillId="9" borderId="7" xfId="0" applyNumberFormat="1" applyFill="1" applyBorder="1"/>
    <xf numFmtId="10" fontId="0" fillId="9" borderId="0" xfId="0" applyNumberFormat="1" applyFill="1"/>
    <xf numFmtId="10" fontId="0" fillId="0" borderId="0" xfId="1" applyNumberFormat="1" applyFont="1"/>
    <xf numFmtId="10" fontId="0" fillId="9" borderId="40" xfId="1" applyNumberFormat="1" applyFont="1" applyFill="1" applyBorder="1"/>
    <xf numFmtId="2" fontId="0" fillId="9" borderId="7" xfId="0" applyNumberFormat="1" applyFill="1" applyBorder="1"/>
    <xf numFmtId="2" fontId="0" fillId="0" borderId="7" xfId="0" applyNumberFormat="1" applyBorder="1"/>
    <xf numFmtId="2" fontId="0" fillId="0" borderId="46" xfId="0" applyNumberFormat="1" applyBorder="1"/>
    <xf numFmtId="2" fontId="0" fillId="9" borderId="0" xfId="0" applyNumberFormat="1" applyFill="1"/>
    <xf numFmtId="2" fontId="0" fillId="0" borderId="0" xfId="1" applyNumberFormat="1" applyFont="1"/>
    <xf numFmtId="2" fontId="0" fillId="9" borderId="40" xfId="1" applyNumberFormat="1" applyFont="1" applyFill="1" applyBorder="1"/>
    <xf numFmtId="0" fontId="49" fillId="0" borderId="0" xfId="0" applyFont="1"/>
    <xf numFmtId="2" fontId="0" fillId="14" borderId="34" xfId="0" applyNumberFormat="1" applyFill="1" applyBorder="1" applyAlignment="1" applyProtection="1">
      <alignment horizontal="right" indent="2"/>
      <protection locked="0"/>
    </xf>
    <xf numFmtId="2" fontId="50" fillId="14" borderId="34" xfId="0" applyNumberFormat="1" applyFont="1" applyFill="1" applyBorder="1" applyAlignment="1" applyProtection="1">
      <alignment horizontal="right" indent="2"/>
      <protection locked="0"/>
    </xf>
    <xf numFmtId="2" fontId="0" fillId="14" borderId="36" xfId="0" applyNumberFormat="1" applyFill="1" applyBorder="1" applyAlignment="1" applyProtection="1">
      <alignment horizontal="right" indent="2"/>
      <protection locked="0"/>
    </xf>
    <xf numFmtId="2" fontId="50" fillId="14" borderId="37" xfId="0" applyNumberFormat="1" applyFont="1" applyFill="1" applyBorder="1" applyAlignment="1" applyProtection="1">
      <alignment horizontal="right" indent="2"/>
      <protection locked="0"/>
    </xf>
    <xf numFmtId="2" fontId="50" fillId="14" borderId="36" xfId="0" applyNumberFormat="1" applyFont="1" applyFill="1" applyBorder="1" applyAlignment="1" applyProtection="1">
      <alignment horizontal="right" indent="2"/>
      <protection locked="0"/>
    </xf>
    <xf numFmtId="0" fontId="0" fillId="0" borderId="34" xfId="0" applyBorder="1" applyProtection="1">
      <protection locked="0"/>
    </xf>
    <xf numFmtId="179" fontId="0" fillId="14" borderId="34" xfId="0" applyNumberFormat="1" applyFill="1" applyBorder="1" applyProtection="1">
      <protection locked="0"/>
    </xf>
    <xf numFmtId="179" fontId="0" fillId="14" borderId="35" xfId="0" applyNumberFormat="1" applyFill="1" applyBorder="1" applyProtection="1">
      <protection locked="0"/>
    </xf>
    <xf numFmtId="179" fontId="0" fillId="14" borderId="36" xfId="0" applyNumberFormat="1" applyFill="1" applyBorder="1" applyProtection="1">
      <protection locked="0"/>
    </xf>
    <xf numFmtId="179" fontId="0" fillId="14" borderId="37" xfId="0" applyNumberFormat="1" applyFill="1" applyBorder="1" applyProtection="1">
      <protection locked="0"/>
    </xf>
    <xf numFmtId="2" fontId="22" fillId="14" borderId="35" xfId="0" applyNumberFormat="1" applyFont="1" applyFill="1" applyBorder="1" applyAlignment="1" applyProtection="1">
      <alignment horizontal="right" indent="2"/>
      <protection locked="0"/>
    </xf>
    <xf numFmtId="0" fontId="13" fillId="0" borderId="0" xfId="0" applyFont="1" applyAlignment="1" applyProtection="1">
      <alignment horizontal="left" indent="1"/>
      <protection locked="0"/>
    </xf>
    <xf numFmtId="0" fontId="51" fillId="6" borderId="0" xfId="0" applyFont="1" applyFill="1" applyAlignment="1">
      <alignment horizontal="center"/>
    </xf>
    <xf numFmtId="0" fontId="52" fillId="0" borderId="0" xfId="0" applyFont="1"/>
    <xf numFmtId="182" fontId="16" fillId="10" borderId="0" xfId="2" applyNumberFormat="1" applyFont="1" applyFill="1" applyBorder="1" applyProtection="1"/>
    <xf numFmtId="182" fontId="16" fillId="9" borderId="40" xfId="0" applyNumberFormat="1" applyFont="1" applyFill="1" applyBorder="1" applyAlignment="1">
      <alignment horizontal="center"/>
    </xf>
    <xf numFmtId="182" fontId="16" fillId="0" borderId="0" xfId="0" applyNumberFormat="1" applyFont="1"/>
    <xf numFmtId="182" fontId="0" fillId="0" borderId="0" xfId="0" applyNumberFormat="1"/>
    <xf numFmtId="182" fontId="0" fillId="9" borderId="40" xfId="0" applyNumberFormat="1" applyFill="1" applyBorder="1"/>
    <xf numFmtId="182" fontId="16" fillId="9" borderId="40" xfId="2" applyNumberFormat="1" applyFont="1" applyFill="1" applyBorder="1" applyProtection="1"/>
    <xf numFmtId="182" fontId="16" fillId="9" borderId="40" xfId="0" applyNumberFormat="1" applyFont="1" applyFill="1" applyBorder="1"/>
    <xf numFmtId="182" fontId="16" fillId="10" borderId="0" xfId="0" applyNumberFormat="1" applyFont="1" applyFill="1"/>
    <xf numFmtId="182" fontId="0" fillId="10" borderId="0" xfId="0" applyNumberFormat="1" applyFill="1"/>
    <xf numFmtId="0" fontId="27" fillId="6" borderId="3" xfId="0" quotePrefix="1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</xf>
    <xf numFmtId="0" fontId="3" fillId="7" borderId="0" xfId="3" applyFont="1" applyFill="1" applyAlignment="1">
      <alignment horizontal="center" vertical="center" textRotation="90" wrapText="1"/>
    </xf>
    <xf numFmtId="0" fontId="3" fillId="7" borderId="3" xfId="3" applyFont="1" applyFill="1" applyBorder="1" applyAlignment="1">
      <alignment horizontal="center"/>
    </xf>
    <xf numFmtId="0" fontId="27" fillId="6" borderId="3" xfId="0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  <protection locked="0"/>
    </xf>
    <xf numFmtId="0" fontId="8" fillId="2" borderId="3" xfId="2" applyNumberFormat="1" applyFont="1" applyFill="1" applyBorder="1" applyAlignment="1" applyProtection="1">
      <alignment horizontal="center"/>
      <protection locked="0"/>
    </xf>
    <xf numFmtId="0" fontId="44" fillId="13" borderId="31" xfId="0" applyFont="1" applyFill="1" applyBorder="1" applyAlignment="1" applyProtection="1">
      <alignment horizontal="center"/>
      <protection locked="0"/>
    </xf>
    <xf numFmtId="0" fontId="25" fillId="2" borderId="3" xfId="2" applyNumberFormat="1" applyFont="1" applyFill="1" applyBorder="1" applyAlignment="1" applyProtection="1">
      <alignment horizontal="center"/>
      <protection locked="0"/>
    </xf>
  </cellXfs>
  <cellStyles count="4">
    <cellStyle name="Comma" xfId="2" builtinId="3"/>
    <cellStyle name="Normal" xfId="0" builtinId="0"/>
    <cellStyle name="Normal 2" xfId="3" xr:uid="{297C488F-6C55-0E43-BB8B-4BCD26099488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06/relationships/richStyles" Target="richData/richStyles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Array" Target="richData/rdarray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17/06/relationships/rdSupportingPropertyBag" Target="richData/rdsupporting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17/06/relationships/rdSupportingPropertyBagStructure" Target="richData/rdsupportingpropertybag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DCF!$O$109</c:f>
          <c:strCache>
            <c:ptCount val="1"/>
            <c:pt idx="0">
              <c:v>Growth Rate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DCF!$P$110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DCF!$O$111:$O$113</c:f>
              <c:strCache>
                <c:ptCount val="3"/>
                <c:pt idx="0">
                  <c:v>Input perpetual Growth</c:v>
                </c:pt>
                <c:pt idx="1">
                  <c:v>Implied growth rate EV/EBITDA</c:v>
                </c:pt>
                <c:pt idx="2">
                  <c:v>Implied growth rate EV/Revenue</c:v>
                </c:pt>
              </c:strCache>
            </c:strRef>
          </c:cat>
          <c:val>
            <c:numRef>
              <c:f>DCF!$T$111:$T$113</c:f>
              <c:numCache>
                <c:formatCode>0.00%</c:formatCode>
                <c:ptCount val="3"/>
                <c:pt idx="0">
                  <c:v>9.9999999999999985E-3</c:v>
                </c:pt>
                <c:pt idx="1">
                  <c:v>5.669542531989568E-2</c:v>
                </c:pt>
                <c:pt idx="2">
                  <c:v>5.6766313943727151E-2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B82-1841-BA38-D6DA9E75E09F}"/>
            </c:ext>
          </c:extLst>
        </c:ser>
        <c:ser>
          <c:idx val="1"/>
          <c:order val="1"/>
          <c:tx>
            <c:strRef>
              <c:f>DCF!$Q$110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77992A3-FC9B-3D44-A9B6-13E1DAB773A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B82-1841-BA38-D6DA9E75E0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2618CE0-8676-3640-BFB3-DD68A66BDE6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B82-1841-BA38-D6DA9E75E0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21D0D86-F36C-9E4D-8CE0-872B1F4AB5E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B82-1841-BA38-D6DA9E75E0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DCF!$O$111:$O$113</c:f>
              <c:strCache>
                <c:ptCount val="3"/>
                <c:pt idx="0">
                  <c:v>Input perpetual Growth</c:v>
                </c:pt>
                <c:pt idx="1">
                  <c:v>Implied growth rate EV/EBITDA</c:v>
                </c:pt>
                <c:pt idx="2">
                  <c:v>Implied growth rate EV/Revenue</c:v>
                </c:pt>
              </c:strCache>
            </c:strRef>
          </c:cat>
          <c:val>
            <c:numRef>
              <c:f>DCF!$U$111:$U$113</c:f>
              <c:numCache>
                <c:formatCode>0.00%</c:formatCode>
                <c:ptCount val="3"/>
                <c:pt idx="0">
                  <c:v>5.000000000000001E-3</c:v>
                </c:pt>
                <c:pt idx="1">
                  <c:v>5.0708886238314752E-3</c:v>
                </c:pt>
                <c:pt idx="2">
                  <c:v>5.0000000000000044E-3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DCF!$Q$111:$Q$113</c15:f>
                <c15:dlblRangeCache>
                  <c:ptCount val="3"/>
                  <c:pt idx="0">
                    <c:v>1,5%</c:v>
                  </c:pt>
                  <c:pt idx="1">
                    <c:v>6,18%</c:v>
                  </c:pt>
                  <c:pt idx="2">
                    <c:v>6,18%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7B82-1841-BA38-D6DA9E75E09F}"/>
            </c:ext>
          </c:extLst>
        </c:ser>
        <c:ser>
          <c:idx val="2"/>
          <c:order val="2"/>
          <c:tx>
            <c:strRef>
              <c:f>DCF!$R$110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968DF36-DC4F-F449-9486-2F7AB03D9A5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7B82-1841-BA38-D6DA9E75E0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3E36432-FB73-1249-87CD-CA68F7E9BEC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B82-1841-BA38-D6DA9E75E0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128A16D-8E50-4B40-A3DF-323FA6731D6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B82-1841-BA38-D6DA9E75E0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DCF!$O$111:$O$113</c:f>
              <c:strCache>
                <c:ptCount val="3"/>
                <c:pt idx="0">
                  <c:v>Input perpetual Growth</c:v>
                </c:pt>
                <c:pt idx="1">
                  <c:v>Implied growth rate EV/EBITDA</c:v>
                </c:pt>
                <c:pt idx="2">
                  <c:v>Implied growth rate EV/Revenue</c:v>
                </c:pt>
              </c:strCache>
            </c:strRef>
          </c:cat>
          <c:val>
            <c:numRef>
              <c:f>DCF!$V$111:$V$113</c:f>
              <c:numCache>
                <c:formatCode>0.00%</c:formatCode>
                <c:ptCount val="3"/>
                <c:pt idx="0">
                  <c:v>4.9999999999999975E-3</c:v>
                </c:pt>
                <c:pt idx="1">
                  <c:v>5.0646606517722459E-3</c:v>
                </c:pt>
                <c:pt idx="2">
                  <c:v>5.0000000000000044E-3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DCF!$R$111:$R$113</c15:f>
                <c15:dlblRangeCache>
                  <c:ptCount val="3"/>
                  <c:pt idx="0">
                    <c:v>2,00% </c:v>
                  </c:pt>
                  <c:pt idx="1">
                    <c:v>6,68%</c:v>
                  </c:pt>
                  <c:pt idx="2">
                    <c:v>6,68%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7B82-1841-BA38-D6DA9E75E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DCF!$O$163</c:f>
          <c:strCache>
            <c:ptCount val="1"/>
            <c:pt idx="0">
              <c:v>Exit EV/EBITDA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DCF!$P$110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5B09E90-5AF7-AB42-A29E-A2A58DF6602B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36CFA37-2295-1845-A82C-CF3A8352429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5C52A9F-BE6C-034C-8D33-1813D8DA614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B34FB4A-BFAC-6D4B-A552-4BB9107BAB0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DCF!$O$165:$O$168</c:f>
              <c:strCache>
                <c:ptCount val="4"/>
                <c:pt idx="0">
                  <c:v>Input exit EV/EBITDA</c:v>
                </c:pt>
                <c:pt idx="1">
                  <c:v>Implied Y0 EV/EBITDA using perpetual growth rate</c:v>
                </c:pt>
                <c:pt idx="2">
                  <c:v>Implied Y0 EV/EBITDA using EV/Revenue</c:v>
                </c:pt>
                <c:pt idx="3">
                  <c:v>Competitors</c:v>
                </c:pt>
              </c:strCache>
            </c:strRef>
          </c:cat>
          <c:val>
            <c:numRef>
              <c:f>DCF!$T$165:$T$168</c:f>
              <c:numCache>
                <c:formatCode>0.00</c:formatCode>
                <c:ptCount val="4"/>
                <c:pt idx="0">
                  <c:v>207.64592762233039</c:v>
                </c:pt>
                <c:pt idx="1">
                  <c:v>9.0992993772289346</c:v>
                </c:pt>
                <c:pt idx="2">
                  <c:v>46.565450678889221</c:v>
                </c:pt>
                <c:pt idx="3">
                  <c:v>7.1084778829121396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DCF!$P$165:$P$168</c15:f>
                <c15:dlblRangeCache>
                  <c:ptCount val="4"/>
                  <c:pt idx="0">
                    <c:v>207,65</c:v>
                  </c:pt>
                  <c:pt idx="1">
                    <c:v>9,10</c:v>
                  </c:pt>
                  <c:pt idx="2">
                    <c:v>46,57</c:v>
                  </c:pt>
                  <c:pt idx="3">
                    <c:v>7,11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274-1448-B29E-CCB927ADE78B}"/>
            </c:ext>
          </c:extLst>
        </c:ser>
        <c:ser>
          <c:idx val="1"/>
          <c:order val="1"/>
          <c:tx>
            <c:strRef>
              <c:f>DCF!$Q$110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1F69361-98F1-AB43-B916-DBC3F0E52B63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1EFF369-CCA2-5847-ACB0-26269C27289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911CF5C-F4D7-9D40-9542-4D9F5BF5BF7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4B42E3-3255-D847-97CA-5543070D789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DCF!$O$165:$O$168</c:f>
              <c:strCache>
                <c:ptCount val="4"/>
                <c:pt idx="0">
                  <c:v>Input exit EV/EBITDA</c:v>
                </c:pt>
                <c:pt idx="1">
                  <c:v>Implied Y0 EV/EBITDA using perpetual growth rate</c:v>
                </c:pt>
                <c:pt idx="2">
                  <c:v>Implied Y0 EV/EBITDA using EV/Revenue</c:v>
                </c:pt>
                <c:pt idx="3">
                  <c:v>Competitors</c:v>
                </c:pt>
              </c:strCache>
            </c:strRef>
          </c:cat>
          <c:val>
            <c:numRef>
              <c:f>DCF!$U$165:$U$168</c:f>
              <c:numCache>
                <c:formatCode>0.00</c:formatCode>
                <c:ptCount val="4"/>
                <c:pt idx="0">
                  <c:v>10</c:v>
                </c:pt>
                <c:pt idx="1">
                  <c:v>1.8356480513733722</c:v>
                </c:pt>
                <c:pt idx="2">
                  <c:v>20.928432252320405</c:v>
                </c:pt>
                <c:pt idx="3">
                  <c:v>12.455531155985014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DCF!$Q$165:$Q$168</c15:f>
                <c15:dlblRangeCache>
                  <c:ptCount val="4"/>
                  <c:pt idx="0">
                    <c:v>217,65</c:v>
                  </c:pt>
                  <c:pt idx="1">
                    <c:v>10,93</c:v>
                  </c:pt>
                  <c:pt idx="2">
                    <c:v>67,49</c:v>
                  </c:pt>
                  <c:pt idx="3">
                    <c:v>19,56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B274-1448-B29E-CCB927ADE78B}"/>
            </c:ext>
          </c:extLst>
        </c:ser>
        <c:ser>
          <c:idx val="2"/>
          <c:order val="2"/>
          <c:tx>
            <c:strRef>
              <c:f>DCF!$R$110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CD05E3FF-509F-E14C-B431-4EBE4A01B88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D9D6B19-51E8-DB43-BC5E-D8FF01F590B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28DFB70-D0B8-524D-8974-61AE6E11AF0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A18E6DF-367D-E34F-9B40-C78B1534426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DCF!$O$165:$O$168</c:f>
              <c:strCache>
                <c:ptCount val="4"/>
                <c:pt idx="0">
                  <c:v>Input exit EV/EBITDA</c:v>
                </c:pt>
                <c:pt idx="1">
                  <c:v>Implied Y0 EV/EBITDA using perpetual growth rate</c:v>
                </c:pt>
                <c:pt idx="2">
                  <c:v>Implied Y0 EV/EBITDA using EV/Revenue</c:v>
                </c:pt>
                <c:pt idx="3">
                  <c:v>Competitors</c:v>
                </c:pt>
              </c:strCache>
            </c:strRef>
          </c:cat>
          <c:val>
            <c:numRef>
              <c:f>DCF!$V$165:$V$168</c:f>
              <c:numCache>
                <c:formatCode>0.00</c:formatCode>
                <c:ptCount val="4"/>
                <c:pt idx="0">
                  <c:v>10</c:v>
                </c:pt>
                <c:pt idx="1">
                  <c:v>2.7947608684547181</c:v>
                </c:pt>
                <c:pt idx="2">
                  <c:v>21.518279520888512</c:v>
                </c:pt>
                <c:pt idx="3">
                  <c:v>43.935425896060273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DCF!$R$165:$R$168</c15:f>
                <c15:dlblRangeCache>
                  <c:ptCount val="4"/>
                  <c:pt idx="0">
                    <c:v>227,65</c:v>
                  </c:pt>
                  <c:pt idx="1">
                    <c:v>13,73</c:v>
                  </c:pt>
                  <c:pt idx="2">
                    <c:v>89,01</c:v>
                  </c:pt>
                  <c:pt idx="3">
                    <c:v>63,50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B274-1448-B29E-CCB927ADE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DCF!$O$216</c:f>
          <c:strCache>
            <c:ptCount val="1"/>
            <c:pt idx="0">
              <c:v>Exit EV/Revenue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DCF!$P$110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6429CDA-77F1-A04A-8158-922552274158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30353E7-2183-3A4C-B1A2-F6A393069A4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269866C-9284-4641-9AC4-6915B02BC56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215BD73-EE75-F648-B678-96A4BA05F4D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DCF!$O$218:$O$221</c:f>
              <c:strCache>
                <c:ptCount val="4"/>
                <c:pt idx="0">
                  <c:v>Input exit EV/Revenue</c:v>
                </c:pt>
                <c:pt idx="1">
                  <c:v>Implied Y0 EV/Revenue using perpetual growth rate</c:v>
                </c:pt>
                <c:pt idx="2">
                  <c:v>Implied Y0 EV/Reneue using EV/EBITDA</c:v>
                </c:pt>
                <c:pt idx="3">
                  <c:v>Competitors</c:v>
                </c:pt>
              </c:strCache>
            </c:strRef>
          </c:cat>
          <c:val>
            <c:numRef>
              <c:f>DCF!$T$218:$T$221</c:f>
              <c:numCache>
                <c:formatCode>0.00</c:formatCode>
                <c:ptCount val="4"/>
                <c:pt idx="0">
                  <c:v>23.276731579056147</c:v>
                </c:pt>
                <c:pt idx="1">
                  <c:v>1.3912272388525655</c:v>
                </c:pt>
                <c:pt idx="2">
                  <c:v>45.218573094980577</c:v>
                </c:pt>
                <c:pt idx="3">
                  <c:v>0.62616964917634632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DCF!$P$218:$P$221</c15:f>
                <c15:dlblRangeCache>
                  <c:ptCount val="4"/>
                  <c:pt idx="0">
                    <c:v>23,28</c:v>
                  </c:pt>
                  <c:pt idx="1">
                    <c:v>1,39</c:v>
                  </c:pt>
                  <c:pt idx="2">
                    <c:v>45,22</c:v>
                  </c:pt>
                  <c:pt idx="3">
                    <c:v>0,63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B548-0642-9C6A-46C3541DFCD3}"/>
            </c:ext>
          </c:extLst>
        </c:ser>
        <c:ser>
          <c:idx val="1"/>
          <c:order val="1"/>
          <c:tx>
            <c:strRef>
              <c:f>DCF!$Q$110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EB801AE-0D15-C941-94EB-A00517ECF23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E2F9454-B96D-4D42-A8A6-BD7FEF5C998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79BD4F1-E108-E042-A09D-3B38E583D91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F8FD08-A7C5-5043-99AD-D1DD42D1243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DCF!$O$218:$O$221</c:f>
              <c:strCache>
                <c:ptCount val="4"/>
                <c:pt idx="0">
                  <c:v>Input exit EV/Revenue</c:v>
                </c:pt>
                <c:pt idx="1">
                  <c:v>Implied Y0 EV/Revenue using perpetual growth rate</c:v>
                </c:pt>
                <c:pt idx="2">
                  <c:v>Implied Y0 EV/Reneue using EV/EBITDA</c:v>
                </c:pt>
                <c:pt idx="3">
                  <c:v>Competitors</c:v>
                </c:pt>
              </c:strCache>
            </c:strRef>
          </c:cat>
          <c:val>
            <c:numRef>
              <c:f>DCF!$U$218:$U$221</c:f>
              <c:numCache>
                <c:formatCode>0.00</c:formatCode>
                <c:ptCount val="4"/>
                <c:pt idx="0">
                  <c:v>10</c:v>
                </c:pt>
                <c:pt idx="1">
                  <c:v>0.28065936333605879</c:v>
                </c:pt>
                <c:pt idx="2">
                  <c:v>2.8494812642309313</c:v>
                </c:pt>
                <c:pt idx="3">
                  <c:v>7.0500935898252877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DCF!$Q$218:$Q$221</c15:f>
                <c15:dlblRangeCache>
                  <c:ptCount val="4"/>
                  <c:pt idx="0">
                    <c:v>33,28</c:v>
                  </c:pt>
                  <c:pt idx="1">
                    <c:v>1,67</c:v>
                  </c:pt>
                  <c:pt idx="2">
                    <c:v>48,07</c:v>
                  </c:pt>
                  <c:pt idx="3">
                    <c:v>7,68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B548-0642-9C6A-46C3541DFCD3}"/>
            </c:ext>
          </c:extLst>
        </c:ser>
        <c:ser>
          <c:idx val="2"/>
          <c:order val="2"/>
          <c:tx>
            <c:strRef>
              <c:f>DCF!$R$110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D681B80-CE9C-904E-9B5E-51F073F95B21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F2586F7-B749-2447-AFBD-4F2D8705899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5F2BBE8-51B9-F547-B709-D7C241F32FC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9B082C8-F8E4-C44F-9EBA-F9053B50B99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DCF!$O$218:$O$221</c:f>
              <c:strCache>
                <c:ptCount val="4"/>
                <c:pt idx="0">
                  <c:v>Input exit EV/Revenue</c:v>
                </c:pt>
                <c:pt idx="1">
                  <c:v>Implied Y0 EV/Revenue using perpetual growth rate</c:v>
                </c:pt>
                <c:pt idx="2">
                  <c:v>Implied Y0 EV/Reneue using EV/EBITDA</c:v>
                </c:pt>
                <c:pt idx="3">
                  <c:v>Competitors</c:v>
                </c:pt>
              </c:strCache>
            </c:strRef>
          </c:cat>
          <c:val>
            <c:numRef>
              <c:f>DCF!$V$218:$V$221</c:f>
              <c:numCache>
                <c:formatCode>0.00</c:formatCode>
                <c:ptCount val="4"/>
                <c:pt idx="0">
                  <c:v>10</c:v>
                </c:pt>
                <c:pt idx="1">
                  <c:v>0.42730184875591326</c:v>
                </c:pt>
                <c:pt idx="2">
                  <c:v>2.9245581088415946</c:v>
                </c:pt>
                <c:pt idx="3">
                  <c:v>7.4439996966093451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DCF!$R$218:$R$221</c15:f>
                <c15:dlblRangeCache>
                  <c:ptCount val="4"/>
                  <c:pt idx="0">
                    <c:v>43,28</c:v>
                  </c:pt>
                  <c:pt idx="1">
                    <c:v>2,10</c:v>
                  </c:pt>
                  <c:pt idx="2">
                    <c:v>50,99</c:v>
                  </c:pt>
                  <c:pt idx="3">
                    <c:v>15,12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B548-0642-9C6A-46C3541DF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Charts!$AT$4</c:f>
          <c:strCache>
            <c:ptCount val="1"/>
            <c:pt idx="0">
              <c:v>Valuation Football Field: Apple Inc.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Charts!$AZ$5</c:f>
              <c:strCache>
                <c:ptCount val="1"/>
                <c:pt idx="0">
                  <c:v>0 to min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81F347E-52CB-E147-B834-6BE2894F956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FC2DAF2-F0AF-3849-ADEC-789B332DBD1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2867F5C-9988-6944-A902-4BCD729323E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8CB5D63-C0D8-D047-8C8B-6F6369BC6A5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CEA4B9E-D74C-4343-8586-A831A140864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ADC01D7-9FDF-1E42-B96F-498296193EB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78-1D4F-B33F-7A58B640387E}"/>
                </c:ext>
              </c:extLst>
            </c:dLbl>
            <c:numFmt formatCode="#,##0.0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 using Perpetual Growth</c:v>
                </c:pt>
                <c:pt idx="2">
                  <c:v>EV/Revenue LTM</c:v>
                </c:pt>
                <c:pt idx="3">
                  <c:v>EV/Revenue FY1</c:v>
                </c:pt>
                <c:pt idx="4">
                  <c:v>EV/EBITDA LTM</c:v>
                </c:pt>
                <c:pt idx="5">
                  <c:v>EV/EBITDA FY1</c:v>
                </c:pt>
              </c:strCache>
            </c:strRef>
          </c:cat>
          <c:val>
            <c:numRef>
              <c:f>Charts!$AZ$6:$AZ$11</c:f>
              <c:numCache>
                <c:formatCode>#,##0.00\ "€"</c:formatCode>
                <c:ptCount val="6"/>
                <c:pt idx="0">
                  <c:v>120</c:v>
                </c:pt>
                <c:pt idx="1">
                  <c:v>9.8607521877802</c:v>
                </c:pt>
                <c:pt idx="2">
                  <c:v>5.2317010134954325</c:v>
                </c:pt>
                <c:pt idx="3">
                  <c:v>6.1397677233364991</c:v>
                </c:pt>
                <c:pt idx="4">
                  <c:v>9.4542757678391212</c:v>
                </c:pt>
                <c:pt idx="5">
                  <c:v>11.267852647938845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Charts!$AV$6:$AV$11</c15:f>
                <c15:dlblRangeCache>
                  <c:ptCount val="6"/>
                  <c:pt idx="0">
                    <c:v>120,00 €</c:v>
                  </c:pt>
                  <c:pt idx="1">
                    <c:v>9,86 €</c:v>
                  </c:pt>
                  <c:pt idx="2">
                    <c:v>5,23 €</c:v>
                  </c:pt>
                  <c:pt idx="3">
                    <c:v>6,14 €</c:v>
                  </c:pt>
                  <c:pt idx="4">
                    <c:v>9,45 €</c:v>
                  </c:pt>
                  <c:pt idx="5">
                    <c:v>11,27 €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778-1D4F-B33F-7A58B640387E}"/>
            </c:ext>
          </c:extLst>
        </c:ser>
        <c:ser>
          <c:idx val="1"/>
          <c:order val="1"/>
          <c:tx>
            <c:strRef>
              <c:f>Charts!$BA$5</c:f>
              <c:strCache>
                <c:ptCount val="1"/>
                <c:pt idx="0">
                  <c:v>Min to Avg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2D3D759-007C-4D41-8EEE-0AAF9B88891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5C0AA8A-D1BE-6A4A-95AA-ADB7477A9B7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AF08ED8-C66E-EB49-A680-96DBF2F42C8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B54E3C7-B744-604A-9E76-FF9DCB55593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5034136-7B42-1D42-9D27-1C960C2DFBB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CDA3FEF-CF2B-7A4B-B296-988685DB8A9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 using Perpetual Growth</c:v>
                </c:pt>
                <c:pt idx="2">
                  <c:v>EV/Revenue LTM</c:v>
                </c:pt>
                <c:pt idx="3">
                  <c:v>EV/Revenue FY1</c:v>
                </c:pt>
                <c:pt idx="4">
                  <c:v>EV/EBITDA LTM</c:v>
                </c:pt>
                <c:pt idx="5">
                  <c:v>EV/EBITDA FY1</c:v>
                </c:pt>
              </c:strCache>
            </c:strRef>
          </c:cat>
          <c:val>
            <c:numRef>
              <c:f>Charts!$BA$6:$BA$11</c:f>
              <c:numCache>
                <c:formatCode>#,##0.00\ "€"</c:formatCode>
                <c:ptCount val="6"/>
                <c:pt idx="0">
                  <c:v>80</c:v>
                </c:pt>
                <c:pt idx="1">
                  <c:v>1.790157294337817</c:v>
                </c:pt>
                <c:pt idx="2">
                  <c:v>47.253542026061233</c:v>
                </c:pt>
                <c:pt idx="3">
                  <c:v>46.442708836646453</c:v>
                </c:pt>
                <c:pt idx="4">
                  <c:v>19.69996990616696</c:v>
                </c:pt>
                <c:pt idx="5">
                  <c:v>24.464956170517951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Charts!$AW$6:$AW$11</c15:f>
                <c15:dlblRangeCache>
                  <c:ptCount val="6"/>
                  <c:pt idx="0">
                    <c:v>200,00 €</c:v>
                  </c:pt>
                  <c:pt idx="1">
                    <c:v>11,65 €</c:v>
                  </c:pt>
                  <c:pt idx="2">
                    <c:v>52,49 €</c:v>
                  </c:pt>
                  <c:pt idx="3">
                    <c:v>52,58 €</c:v>
                  </c:pt>
                  <c:pt idx="4">
                    <c:v>29,15 €</c:v>
                  </c:pt>
                  <c:pt idx="5">
                    <c:v>35,73 €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778-1D4F-B33F-7A58B640387E}"/>
            </c:ext>
          </c:extLst>
        </c:ser>
        <c:ser>
          <c:idx val="2"/>
          <c:order val="2"/>
          <c:tx>
            <c:strRef>
              <c:f>Charts!$BB$5</c:f>
              <c:strCache>
                <c:ptCount val="1"/>
                <c:pt idx="0">
                  <c:v>Avg to Max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7FA19BC-6C5B-CD4E-BDDD-F81E9C4A8908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282C036-978C-004F-B992-B3407EF0B37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1C20287-314D-9F43-8FFE-942E5BE9DCC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542D2C-60A8-F840-BAEA-3D258B74FD4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194C154-E9BE-6342-92E8-F626E3DF14F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CB5069C-A914-0343-A288-FC1594BD616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78-1D4F-B33F-7A58B640387E}"/>
                </c:ext>
              </c:extLst>
            </c:dLbl>
            <c:numFmt formatCode="_-[$$-409]* #,##0.00_ ;_-[$$-409]* \-#,##0.00\ ;_-[$$-409]* &quot;-&quot;??_ ;_-@_ 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 using Perpetual Growth</c:v>
                </c:pt>
                <c:pt idx="2">
                  <c:v>EV/Revenue LTM</c:v>
                </c:pt>
                <c:pt idx="3">
                  <c:v>EV/Revenue FY1</c:v>
                </c:pt>
                <c:pt idx="4">
                  <c:v>EV/EBITDA LTM</c:v>
                </c:pt>
                <c:pt idx="5">
                  <c:v>EV/EBITDA FY1</c:v>
                </c:pt>
              </c:strCache>
            </c:strRef>
          </c:cat>
          <c:val>
            <c:numRef>
              <c:f>Charts!$BB$6:$BB$11</c:f>
              <c:numCache>
                <c:formatCode>#,##0.00\ "€"</c:formatCode>
                <c:ptCount val="6"/>
                <c:pt idx="0">
                  <c:v>80</c:v>
                </c:pt>
                <c:pt idx="1">
                  <c:v>2.7255015202129727</c:v>
                </c:pt>
                <c:pt idx="2">
                  <c:v>45.195562515145213</c:v>
                </c:pt>
                <c:pt idx="3">
                  <c:v>41.920227279073643</c:v>
                </c:pt>
                <c:pt idx="4">
                  <c:v>34.009297097748316</c:v>
                </c:pt>
                <c:pt idx="5">
                  <c:v>43.114356016221016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Charts!$AX$6:$AX$11</c15:f>
                <c15:dlblRangeCache>
                  <c:ptCount val="6"/>
                  <c:pt idx="0">
                    <c:v>280,00 €</c:v>
                  </c:pt>
                  <c:pt idx="1">
                    <c:v>14,38 €</c:v>
                  </c:pt>
                  <c:pt idx="2">
                    <c:v>97,68 €</c:v>
                  </c:pt>
                  <c:pt idx="3">
                    <c:v>94,50 €</c:v>
                  </c:pt>
                  <c:pt idx="4">
                    <c:v>63,16 €</c:v>
                  </c:pt>
                  <c:pt idx="5">
                    <c:v>78,85 €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5124175"/>
        <c:axId val="1491097231"/>
      </c:barChart>
      <c:scatterChart>
        <c:scatterStyle val="lineMarker"/>
        <c:varyColors val="0"/>
        <c:ser>
          <c:idx val="3"/>
          <c:order val="3"/>
          <c:tx>
            <c:v>Current Price</c:v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0"/>
              <c:numFmt formatCode="#,##0.0\ &quot;€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E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C6F-B54C-B7C3-BBE1E8481AD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78-1D4F-B33F-7A58B640387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Charts!$AV$13:$AX$13</c:f>
              <c:numCache>
                <c:formatCode>#,##0.00\ "€"</c:formatCode>
                <c:ptCount val="3"/>
                <c:pt idx="0">
                  <c:v>213.49</c:v>
                </c:pt>
                <c:pt idx="1">
                  <c:v>213.49</c:v>
                </c:pt>
                <c:pt idx="2">
                  <c:v>213.49</c:v>
                </c:pt>
              </c:numCache>
            </c:numRef>
          </c:xVal>
          <c:yVal>
            <c:numRef>
              <c:f>Charts!$AZ$13:$BB$13</c:f>
              <c:numCache>
                <c:formatCode>#,##0.00\ "€"</c:formatCode>
                <c:ptCount val="3"/>
                <c:pt idx="0">
                  <c:v>1000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954879"/>
        <c:axId val="1568866911"/>
      </c:scatterChart>
      <c:catAx>
        <c:axId val="535124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1491097231"/>
        <c:crosses val="autoZero"/>
        <c:auto val="1"/>
        <c:lblAlgn val="ctr"/>
        <c:lblOffset val="900"/>
        <c:noMultiLvlLbl val="0"/>
      </c:catAx>
      <c:valAx>
        <c:axId val="1491097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#0\ &quot;$&quot;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535124175"/>
        <c:crosses val="autoZero"/>
        <c:crossBetween val="between"/>
      </c:valAx>
      <c:valAx>
        <c:axId val="1568866911"/>
        <c:scaling>
          <c:orientation val="minMax"/>
          <c:max val="1000"/>
        </c:scaling>
        <c:delete val="1"/>
        <c:axPos val="r"/>
        <c:numFmt formatCode="#,##0.00\ &quot;€&quot;" sourceLinked="1"/>
        <c:majorTickMark val="out"/>
        <c:minorTickMark val="none"/>
        <c:tickLblPos val="nextTo"/>
        <c:crossAx val="1568954879"/>
        <c:crosses val="max"/>
        <c:crossBetween val="midCat"/>
      </c:valAx>
      <c:valAx>
        <c:axId val="1568954879"/>
        <c:scaling>
          <c:orientation val="minMax"/>
        </c:scaling>
        <c:delete val="1"/>
        <c:axPos val="b"/>
        <c:numFmt formatCode="#,##0.00\ &quot;€&quot;" sourceLinked="1"/>
        <c:majorTickMark val="out"/>
        <c:minorTickMark val="none"/>
        <c:tickLblPos val="nextTo"/>
        <c:crossAx val="1568866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12700</xdr:colOff>
      <xdr:row>90</xdr:row>
      <xdr:rowOff>0</xdr:rowOff>
    </xdr:from>
    <xdr:to>
      <xdr:col>17</xdr:col>
      <xdr:colOff>2425700</xdr:colOff>
      <xdr:row>107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2B1B08D-1780-7EAC-B1F9-7F7F5B93F8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19539</xdr:colOff>
      <xdr:row>143</xdr:row>
      <xdr:rowOff>97692</xdr:rowOff>
    </xdr:from>
    <xdr:to>
      <xdr:col>17</xdr:col>
      <xdr:colOff>2432539</xdr:colOff>
      <xdr:row>161</xdr:row>
      <xdr:rowOff>12699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E079A6F-2BC0-004A-9084-741AC78AA8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196</xdr:row>
      <xdr:rowOff>160462</xdr:rowOff>
    </xdr:from>
    <xdr:to>
      <xdr:col>17</xdr:col>
      <xdr:colOff>2413000</xdr:colOff>
      <xdr:row>214</xdr:row>
      <xdr:rowOff>91193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60A8C8D-AFCF-3F46-9E72-9E43A85611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6985</xdr:colOff>
      <xdr:row>19</xdr:row>
      <xdr:rowOff>8866</xdr:rowOff>
    </xdr:from>
    <xdr:to>
      <xdr:col>18</xdr:col>
      <xdr:colOff>851142</xdr:colOff>
      <xdr:row>43</xdr:row>
      <xdr:rowOff>131720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2BF68936-558F-E5A8-EB88-05ED416D54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" c="5">
    <v t="i">0</v>
    <v t="i">1</v>
    <v t="i">2</v>
    <v t="i">3</v>
    <v t="i">4</v>
  </a>
  <a r="1" c="5">
    <v>227.48</v>
    <v>220.84</v>
    <v>216.98</v>
    <v>209.68</v>
    <v>213.49</v>
  </a>
</arrayData>
</file>

<file path=xl/richData/rdrichvalue.xml><?xml version="1.0" encoding="utf-8"?>
<rvData xmlns="http://schemas.microsoft.com/office/spreadsheetml/2017/richdata" count="2">
  <rv s="0">
    <fb>213.49</fb>
    <v>0</v>
  </rv>
  <rv s="1">
    <v>1</v>
    <v>AAPL</v>
    <v>Daily</v>
    <v>45726</v>
    <v>45733</v>
    <v>0</v>
    <v>1</v>
    <v>638775072000000000,638778036813799572,0</v>
    <v>0</v>
    <v>a1mou2</v>
    <v>XNAS:AAPL</v>
    <v>1</v>
  </rv>
</rvData>
</file>

<file path=xl/richData/rdrichvaluestructure.xml><?xml version="1.0" encoding="utf-8"?>
<rvStructures xmlns="http://schemas.microsoft.com/office/spreadsheetml/2017/richdata" count="2">
  <s t="_formattednumber">
    <k n="_Format" t="sp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2">
    <spb s="0">
      <v>1</v>
    </spb>
    <spb s="1">
      <v>2</v>
      <v>1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d/m/yy"/>
    </x:dxf>
    <x:dxf>
      <x:numFmt numFmtId="0" formatCode="General"/>
    </x:dxf>
  </dxfs>
  <richProperties>
    <rPr n="NumberFormat" t="s"/>
  </richProperties>
  <richStyles>
    <rSty dxfid="1">
      <rpv i="0">_([$$-en-US]* #,##0.00_);_([$$-en-US]* (#,##0.00);_([$$-en-US]* "-"??_);_(@_)</rpv>
    </rSty>
    <rSty dxfid="0"/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XFD23"/>
  <sheetViews>
    <sheetView topLeftCell="B1" zoomScale="78" workbookViewId="0">
      <selection activeCell="E26" sqref="E26"/>
    </sheetView>
  </sheetViews>
  <sheetFormatPr baseColWidth="10" defaultRowHeight="16"/>
  <cols>
    <col min="2" max="2" width="24" bestFit="1" customWidth="1"/>
    <col min="3" max="3" width="4.28515625" bestFit="1" customWidth="1"/>
    <col min="6" max="6" width="38" bestFit="1" customWidth="1"/>
    <col min="7" max="7" width="13.5703125" bestFit="1" customWidth="1"/>
  </cols>
  <sheetData>
    <row r="2" spans="2:16384" ht="21" thickBot="1">
      <c r="B2" s="38" t="s">
        <v>235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23" t="s">
        <v>235</v>
      </c>
      <c r="C4" s="263"/>
      <c r="D4" s="124"/>
    </row>
    <row r="5" spans="2:16384">
      <c r="B5" s="125"/>
      <c r="C5" s="313" t="s">
        <v>151</v>
      </c>
      <c r="D5" s="35"/>
    </row>
    <row r="6" spans="2:16384">
      <c r="B6" s="130" t="s">
        <v>93</v>
      </c>
      <c r="C6" s="264" t="s">
        <v>155</v>
      </c>
      <c r="D6" s="131">
        <v>0.1</v>
      </c>
    </row>
    <row r="7" spans="2:16384">
      <c r="B7" s="128"/>
      <c r="C7" s="264"/>
      <c r="D7" s="35"/>
    </row>
    <row r="8" spans="2:16384">
      <c r="B8" s="128" t="s">
        <v>86</v>
      </c>
      <c r="C8" s="264" t="s">
        <v>155</v>
      </c>
      <c r="D8" s="118">
        <f>Average_Gross_Margin</f>
        <v>0.72014242893006786</v>
      </c>
    </row>
    <row r="9" spans="2:16384">
      <c r="B9" s="128" t="s">
        <v>94</v>
      </c>
      <c r="C9" s="264" t="s">
        <v>155</v>
      </c>
      <c r="D9" s="118">
        <f>Growth_Sales</f>
        <v>0.1</v>
      </c>
    </row>
    <row r="10" spans="2:16384">
      <c r="B10" s="128" t="s">
        <v>96</v>
      </c>
      <c r="C10" s="264" t="s">
        <v>155</v>
      </c>
      <c r="D10" s="120">
        <v>0.02</v>
      </c>
    </row>
    <row r="11" spans="2:16384">
      <c r="B11" s="128"/>
      <c r="C11" s="264"/>
      <c r="D11" s="35"/>
    </row>
    <row r="12" spans="2:16384">
      <c r="B12" s="128" t="s">
        <v>118</v>
      </c>
      <c r="C12" s="264" t="s">
        <v>155</v>
      </c>
      <c r="D12" s="120">
        <v>0.03</v>
      </c>
    </row>
    <row r="13" spans="2:16384">
      <c r="B13" s="128" t="s">
        <v>119</v>
      </c>
      <c r="C13" s="264" t="s">
        <v>155</v>
      </c>
      <c r="D13" s="120">
        <v>0.02</v>
      </c>
    </row>
    <row r="14" spans="2:16384">
      <c r="B14" s="128"/>
      <c r="C14" s="264"/>
      <c r="D14" s="35"/>
    </row>
    <row r="15" spans="2:16384">
      <c r="B15" s="128" t="s">
        <v>236</v>
      </c>
      <c r="C15" s="264" t="s">
        <v>155</v>
      </c>
      <c r="D15" s="121">
        <v>1.4999999999999999E-2</v>
      </c>
    </row>
    <row r="16" spans="2:16384">
      <c r="B16" s="128"/>
      <c r="C16" s="264"/>
      <c r="D16" s="35"/>
    </row>
    <row r="17" spans="2:4">
      <c r="B17" s="128" t="s">
        <v>95</v>
      </c>
      <c r="C17" s="264" t="s">
        <v>155</v>
      </c>
      <c r="D17" s="120">
        <f>30%</f>
        <v>0.3</v>
      </c>
    </row>
    <row r="18" spans="2:4">
      <c r="B18" s="128" t="s">
        <v>237</v>
      </c>
      <c r="C18" s="264" t="s">
        <v>155</v>
      </c>
      <c r="D18" s="118">
        <f>ABS(Latest_Interest/Total_Debt_FY_minu1)</f>
        <v>2.7139874739039668E-2</v>
      </c>
    </row>
    <row r="19" spans="2:4">
      <c r="B19" s="128"/>
      <c r="C19" s="264"/>
      <c r="D19" s="35"/>
    </row>
    <row r="20" spans="2:4">
      <c r="B20" s="128" t="s">
        <v>240</v>
      </c>
      <c r="C20" s="264" t="s">
        <v>154</v>
      </c>
      <c r="D20" s="122">
        <f>Average_Inventory_Turnover</f>
        <v>5.4574954602297057</v>
      </c>
    </row>
    <row r="21" spans="2:4">
      <c r="B21" s="128" t="s">
        <v>238</v>
      </c>
      <c r="C21" s="264" t="s">
        <v>154</v>
      </c>
      <c r="D21" s="122">
        <f>Average_Receivables_Turnover</f>
        <v>26.392398910547467</v>
      </c>
    </row>
    <row r="22" spans="2:4">
      <c r="B22" s="129" t="s">
        <v>239</v>
      </c>
      <c r="C22" s="265" t="s">
        <v>154</v>
      </c>
      <c r="D22" s="127">
        <f>Average_Payable_Turnover</f>
        <v>4.2024952811418705</v>
      </c>
    </row>
    <row r="23" spans="2:4">
      <c r="C23" s="5"/>
    </row>
  </sheetData>
  <dataValidations count="12">
    <dataValidation type="custom" errorStyle="warning" allowBlank="1" showInputMessage="1" showErrorMessage="1" errorTitle="Low interest rate" error="The interest rate is 0% or lower. Note that this can lead to unexpected behavior in the DCF." sqref="D18" xr:uid="{974884FC-E1AB-A84E-83DB-C6576FC432F4}">
      <formula1>$D$18&gt;0</formula1>
    </dataValidation>
    <dataValidation type="decimal" errorStyle="warning" allowBlank="1" showInputMessage="1" showErrorMessage="1" errorTitle="Low/High tax rate" error="The tax rate is &lt;0% or &gt;100%. Note that this can lead to unexpected behavior in the DCF." sqref="D17" xr:uid="{52C25F15-2CFA-D744-8130-E9C7202DCDC4}">
      <formula1>0</formula1>
      <formula2>1</formula2>
    </dataValidation>
    <dataValidation type="custom" errorStyle="warning" allowBlank="1" showInputMessage="1" showErrorMessage="1" errorTitle="High perpetuity growth" error="The perpetuity growth is above 3%. Assuming a yearly GDP growth of 3%, this is unrealistic. The company would eventually become bigger than the entire economy." sqref="D15" xr:uid="{B76FCBEC-53CB-AF40-9E1C-73442E02CA1B}">
      <formula1>$D$15&lt;0.03</formula1>
    </dataValidation>
    <dataValidation type="decimal" allowBlank="1" showErrorMessage="1" errorTitle="Negative COGS/Revenue" error="The Gross margin might negative (COGS will be recorded as an income). This is not possible._x000a_The Gross margin might be greater than 1, meaning the company looses money on every sale." promptTitle="COGS/Revenues" prompt="Ratio of Cost of Goods sold for the duration of the DCF" sqref="D8" xr:uid="{3D3C1DED-6FA8-5C41-9795-3233E26D1E46}">
      <formula1>0</formula1>
      <formula2>1</formula2>
    </dataValidation>
    <dataValidation type="decimal" errorStyle="warning" operator="greaterThan" allowBlank="1" showInputMessage="1" showErrorMessage="1" errorTitle="Negative Turnover" error="Turnover cant be negative" sqref="D20 D22 D21" xr:uid="{A8576CDB-BB4E-A14D-ACD7-B70A4A633958}">
      <formula1>0</formula1>
    </dataValidation>
    <dataValidation type="custom" errorStyle="warning" allowBlank="1" showInputMessage="1" showErrorMessage="1" errorTitle="Interest rate is 0% or lower" error="The interest rate is 0% or lower. Note that this can lead to unexpected behavior in the DCF." sqref="F22" xr:uid="{9ABC4E6A-D4D3-FB45-BC5A-E08F49F49931}">
      <formula1>D18&gt;0</formula1>
    </dataValidation>
    <dataValidation type="custom" errorStyle="warning" allowBlank="1" showInputMessage="1" showErrorMessage="1" errorTitle="Low interest rate" error="The interest rate is 0% or lower. Note that this can lead to unexpected behavior in the DCF." sqref="E25" xr:uid="{F49FAA67-6921-B741-A8FA-7A8B6C74ADFE}">
      <formula1>D18&lt;0</formula1>
    </dataValidation>
    <dataValidation type="decimal" errorStyle="warning" operator="lessThan" allowBlank="1" showErrorMessage="1" errorTitle="High Growth of Sales" error="The Growth of Sales inputted is higher than 10%. This might lead to unrealistically high revenues in the future." promptTitle="Growth of Sales" prompt="Constant value of growth of the Sales for the duration of the DCF." sqref="D6" xr:uid="{04158E66-F0FF-1241-B75E-38B068170DA7}">
      <formula1>0.1</formula1>
    </dataValidation>
    <dataValidation type="decimal" errorStyle="warning" allowBlank="1" showErrorMessage="1" errorTitle="Untypical Growth SG&amp;A" error="The SG&amp;A is either shrinking at more than 10% or growing more than 5% than the Sales. This can lead to unrealistic forecasts." promptTitle="Untypical Growth SG&amp;A" prompt="The SG&amp;A is either shrinking at more than 10% or growing more than 5% than the Sales. This can lead to unrealistic forecasts." sqref="D9" xr:uid="{4D54FC8E-7193-5447-BCB0-1FE4FE1719D8}">
      <formula1>-0.1</formula1>
      <formula2>$D$6+0.05</formula2>
    </dataValidation>
    <dataValidation type="decimal" errorStyle="warning" allowBlank="1" showInputMessage="1" showErrorMessage="1" errorTitle="Unusual Non-operating result" error="The growth of the non-operating result is changing mroe than 10% YoY. This might lead to excessive or very low non-operating results in the future." sqref="D10" xr:uid="{3551A21C-094C-8749-BC3F-07CA726B5EC9}">
      <formula1>-0.1</formula1>
      <formula2>0.1</formula2>
    </dataValidation>
    <dataValidation type="decimal" errorStyle="warning" allowBlank="1" showErrorMessage="1" errorTitle="Unaligned Growth PPE" error="The difference between growth of PPE and Sales is more than 10%. This means very high changes in efficiency of PPE, where the PPE generates much higher or much lower relative revenues in the future." sqref="D12" xr:uid="{4D309BDE-0545-6444-80F8-F27B27ADB57E}">
      <formula1>D6-0.1</formula1>
      <formula2>D6+0.1</formula2>
    </dataValidation>
    <dataValidation type="decimal" errorStyle="warning" allowBlank="1" showInputMessage="1" showErrorMessage="1" errorTitle="Unusual growth rate ONWC" error="The ONWC grows/shrinks more than 10% faster than the sales." sqref="D13" xr:uid="{4C2B2D33-B634-1A45-9FF0-D6DC86760DD1}">
      <formula1>D6-0.1</formula1>
      <formula2>D4+0.1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XFD483"/>
  <sheetViews>
    <sheetView tabSelected="1" topLeftCell="B1" zoomScale="66" workbookViewId="0">
      <selection activeCell="K165" sqref="K165"/>
    </sheetView>
  </sheetViews>
  <sheetFormatPr baseColWidth="10" defaultRowHeight="16" outlineLevelRow="1"/>
  <cols>
    <col min="2" max="2" width="54" bestFit="1" customWidth="1"/>
    <col min="3" max="3" width="15" bestFit="1" customWidth="1"/>
    <col min="4" max="4" width="10.85546875" bestFit="1" customWidth="1"/>
    <col min="5" max="5" width="11.5703125" bestFit="1" customWidth="1"/>
    <col min="6" max="7" width="10.85546875" bestFit="1" customWidth="1"/>
    <col min="8" max="8" width="24.28515625" bestFit="1" customWidth="1"/>
    <col min="9" max="9" width="14" bestFit="1" customWidth="1"/>
    <col min="10" max="14" width="10.85546875" bestFit="1" customWidth="1"/>
    <col min="15" max="15" width="43" bestFit="1" customWidth="1"/>
    <col min="16" max="16" width="19.140625" bestFit="1" customWidth="1"/>
    <col min="17" max="17" width="26.7109375" bestFit="1" customWidth="1"/>
    <col min="18" max="18" width="27.42578125" bestFit="1" customWidth="1"/>
  </cols>
  <sheetData>
    <row r="2" spans="1:16" s="37" customFormat="1" ht="21" outlineLevel="1" thickBot="1">
      <c r="A2"/>
      <c r="B2" s="38" t="s">
        <v>162</v>
      </c>
    </row>
    <row r="3" spans="1:16" ht="17" thickTop="1"/>
    <row r="4" spans="1:16" s="42" customFormat="1">
      <c r="A4"/>
      <c r="B4" s="142" t="s">
        <v>162</v>
      </c>
      <c r="C4" s="142"/>
      <c r="D4" s="143"/>
      <c r="E4" s="144"/>
      <c r="F4" s="145" t="s">
        <v>149</v>
      </c>
      <c r="G4" s="146"/>
      <c r="H4" s="145"/>
      <c r="I4" s="145"/>
      <c r="J4" s="145"/>
      <c r="K4" s="145"/>
      <c r="L4" s="145"/>
      <c r="M4" s="145"/>
      <c r="N4" s="145"/>
      <c r="O4" s="145"/>
    </row>
    <row r="5" spans="1:16" s="41" customFormat="1">
      <c r="A5"/>
      <c r="B5" s="147" t="s">
        <v>150</v>
      </c>
      <c r="C5" s="148" t="s">
        <v>151</v>
      </c>
      <c r="D5" s="149">
        <f>Start_Year-1</f>
        <v>2022</v>
      </c>
      <c r="E5" s="150">
        <f>Start_Year</f>
        <v>2023</v>
      </c>
      <c r="F5" s="151">
        <f t="shared" ref="F5:O5" si="0">IF(COLUMN()-COLUMN($E$5)&lt;=Years_Forecasted, E5+1, "")</f>
        <v>2024</v>
      </c>
      <c r="G5" s="152">
        <f t="shared" si="0"/>
        <v>2025</v>
      </c>
      <c r="H5" s="152">
        <f t="shared" si="0"/>
        <v>2026</v>
      </c>
      <c r="I5" s="152" t="str">
        <f t="shared" si="0"/>
        <v/>
      </c>
      <c r="J5" s="152" t="str">
        <f t="shared" si="0"/>
        <v/>
      </c>
      <c r="K5" s="152" t="str">
        <f t="shared" si="0"/>
        <v/>
      </c>
      <c r="L5" s="152" t="str">
        <f t="shared" si="0"/>
        <v/>
      </c>
      <c r="M5" s="152" t="str">
        <f t="shared" si="0"/>
        <v/>
      </c>
      <c r="N5" s="152" t="str">
        <f t="shared" si="0"/>
        <v/>
      </c>
      <c r="O5" s="152" t="str">
        <f t="shared" si="0"/>
        <v/>
      </c>
    </row>
    <row r="6" spans="1:16">
      <c r="B6" t="s">
        <v>44</v>
      </c>
      <c r="C6" s="153" t="s">
        <v>163</v>
      </c>
      <c r="D6" s="154">
        <f>'Income Statement Historic'!D6</f>
        <v>81462</v>
      </c>
      <c r="E6" s="155">
        <f>'Income Statement Historic'!C6</f>
        <v>96773</v>
      </c>
      <c r="F6" s="6">
        <f t="shared" ref="F6:O6" si="1">IF(F5="","",E6*(1+F29))</f>
        <v>106450.3</v>
      </c>
      <c r="G6" s="6">
        <f t="shared" si="1"/>
        <v>117095.33000000002</v>
      </c>
      <c r="H6" s="6">
        <f>IF(H5="","",G6*(1+H29))</f>
        <v>128804.86300000003</v>
      </c>
      <c r="I6" s="6" t="str">
        <f t="shared" si="1"/>
        <v/>
      </c>
      <c r="J6" s="6" t="str">
        <f t="shared" si="1"/>
        <v/>
      </c>
      <c r="K6" s="6" t="str">
        <f t="shared" si="1"/>
        <v/>
      </c>
      <c r="L6" s="6" t="str">
        <f t="shared" si="1"/>
        <v/>
      </c>
      <c r="M6" s="6" t="str">
        <f t="shared" si="1"/>
        <v/>
      </c>
      <c r="N6" s="6" t="str">
        <f t="shared" si="1"/>
        <v/>
      </c>
      <c r="O6" s="6" t="str">
        <f t="shared" si="1"/>
        <v/>
      </c>
    </row>
    <row r="7" spans="1:16">
      <c r="B7" t="s">
        <v>45</v>
      </c>
      <c r="C7" s="156" t="s">
        <v>163</v>
      </c>
      <c r="D7" s="157">
        <f>'Income Statement Historic'!D7</f>
        <v>56862</v>
      </c>
      <c r="E7" s="158">
        <f>'Income Statement Historic'!C7</f>
        <v>74446</v>
      </c>
      <c r="F7" s="159">
        <f>IF(F5="","",F6*F30)</f>
        <v>76659.377602334411</v>
      </c>
      <c r="G7" s="159">
        <f t="shared" ref="G7:O7" si="2">IF(G5="","",G6*G30)</f>
        <v>84325.315362567853</v>
      </c>
      <c r="H7" s="159">
        <f t="shared" si="2"/>
        <v>92757.846898824646</v>
      </c>
      <c r="I7" s="159" t="str">
        <f t="shared" si="2"/>
        <v/>
      </c>
      <c r="J7" s="159" t="str">
        <f t="shared" si="2"/>
        <v/>
      </c>
      <c r="K7" s="159" t="str">
        <f t="shared" si="2"/>
        <v/>
      </c>
      <c r="L7" s="159" t="str">
        <f t="shared" si="2"/>
        <v/>
      </c>
      <c r="M7" s="159" t="str">
        <f t="shared" si="2"/>
        <v/>
      </c>
      <c r="N7" s="159" t="str">
        <f t="shared" si="2"/>
        <v/>
      </c>
      <c r="O7" s="159" t="str">
        <f t="shared" si="2"/>
        <v/>
      </c>
    </row>
    <row r="8" spans="1:16" outlineLevel="1">
      <c r="B8" s="160" t="s">
        <v>164</v>
      </c>
      <c r="C8" s="161" t="s">
        <v>163</v>
      </c>
      <c r="D8" s="162">
        <f>IF(D6="","",D6-D7)</f>
        <v>24600</v>
      </c>
      <c r="E8" s="163">
        <f>IF(E6="","",E6-E7)</f>
        <v>22327</v>
      </c>
      <c r="F8" s="162">
        <f t="shared" ref="F8:O8" si="3">IF(F6="","",F6-F7)</f>
        <v>29790.922397665592</v>
      </c>
      <c r="G8" s="162">
        <f t="shared" si="3"/>
        <v>32770.014637432163</v>
      </c>
      <c r="H8" s="162">
        <f t="shared" si="3"/>
        <v>36047.016101175381</v>
      </c>
      <c r="I8" s="162" t="str">
        <f t="shared" si="3"/>
        <v/>
      </c>
      <c r="J8" s="162" t="str">
        <f t="shared" si="3"/>
        <v/>
      </c>
      <c r="K8" s="162" t="str">
        <f t="shared" si="3"/>
        <v/>
      </c>
      <c r="L8" s="162" t="str">
        <f t="shared" si="3"/>
        <v/>
      </c>
      <c r="M8" s="162" t="str">
        <f t="shared" si="3"/>
        <v/>
      </c>
      <c r="N8" s="162" t="str">
        <f t="shared" si="3"/>
        <v/>
      </c>
      <c r="O8" s="162" t="str">
        <f t="shared" si="3"/>
        <v/>
      </c>
    </row>
    <row r="9" spans="1:16" outlineLevel="1">
      <c r="B9" s="1"/>
      <c r="C9" s="161"/>
      <c r="D9" s="162"/>
      <c r="E9" s="163"/>
      <c r="F9" s="162"/>
      <c r="G9" s="162"/>
      <c r="H9" s="162"/>
      <c r="I9" s="162"/>
      <c r="J9" s="162"/>
      <c r="K9" s="162"/>
      <c r="L9" s="162"/>
      <c r="M9" s="162"/>
      <c r="N9" s="162"/>
      <c r="O9" s="162"/>
    </row>
    <row r="10" spans="1:16">
      <c r="B10" s="164" t="s">
        <v>47</v>
      </c>
      <c r="C10" s="156" t="s">
        <v>163</v>
      </c>
      <c r="D10" s="157">
        <f>'Income Statement Historic'!D9</f>
        <v>7021</v>
      </c>
      <c r="E10" s="158">
        <f>'Income Statement Historic'!C9</f>
        <v>8769</v>
      </c>
      <c r="F10" s="159">
        <f>IF(F5="","",E10*(1+F31))</f>
        <v>9645.9000000000015</v>
      </c>
      <c r="G10" s="159">
        <f t="shared" ref="G10:O10" si="4">IF(G5="","",F10*(1+G31))</f>
        <v>10610.490000000002</v>
      </c>
      <c r="H10" s="159">
        <f>IF(H5="","",G10*(1+H31))</f>
        <v>11671.539000000002</v>
      </c>
      <c r="I10" s="159" t="str">
        <f t="shared" si="4"/>
        <v/>
      </c>
      <c r="J10" s="159" t="str">
        <f t="shared" si="4"/>
        <v/>
      </c>
      <c r="K10" s="159" t="str">
        <f t="shared" si="4"/>
        <v/>
      </c>
      <c r="L10" s="159" t="str">
        <f t="shared" si="4"/>
        <v/>
      </c>
      <c r="M10" s="159" t="str">
        <f t="shared" si="4"/>
        <v/>
      </c>
      <c r="N10" s="159" t="str">
        <f t="shared" si="4"/>
        <v/>
      </c>
      <c r="O10" s="159" t="str">
        <f t="shared" si="4"/>
        <v/>
      </c>
    </row>
    <row r="11" spans="1:16">
      <c r="B11" s="1" t="s">
        <v>49</v>
      </c>
      <c r="C11" s="161" t="s">
        <v>163</v>
      </c>
      <c r="D11" s="162">
        <f>IF(D8="","",D8-D10)</f>
        <v>17579</v>
      </c>
      <c r="E11" s="163">
        <f t="shared" ref="E11:O11" si="5">IF(E8="","",E8-E10)</f>
        <v>13558</v>
      </c>
      <c r="F11" s="162">
        <f t="shared" si="5"/>
        <v>20145.022397665591</v>
      </c>
      <c r="G11" s="162">
        <f t="shared" si="5"/>
        <v>22159.524637432161</v>
      </c>
      <c r="H11" s="162">
        <f t="shared" si="5"/>
        <v>24375.477101175376</v>
      </c>
      <c r="I11" s="162" t="str">
        <f t="shared" si="5"/>
        <v/>
      </c>
      <c r="J11" s="162" t="str">
        <f t="shared" si="5"/>
        <v/>
      </c>
      <c r="K11" s="162" t="str">
        <f t="shared" si="5"/>
        <v/>
      </c>
      <c r="L11" s="162" t="str">
        <f t="shared" si="5"/>
        <v/>
      </c>
      <c r="M11" s="162" t="str">
        <f t="shared" si="5"/>
        <v/>
      </c>
      <c r="N11" s="162" t="str">
        <f t="shared" si="5"/>
        <v/>
      </c>
      <c r="O11" s="162" t="str">
        <f t="shared" si="5"/>
        <v/>
      </c>
    </row>
    <row r="12" spans="1:16">
      <c r="C12" s="153"/>
      <c r="D12" s="154"/>
      <c r="E12" s="155"/>
      <c r="F12" s="6"/>
      <c r="G12" s="6"/>
      <c r="H12" s="6"/>
      <c r="I12" s="6"/>
      <c r="J12" s="6"/>
      <c r="K12" s="6"/>
      <c r="L12" s="6"/>
      <c r="M12" s="6"/>
      <c r="N12" s="6"/>
      <c r="O12" s="6"/>
    </row>
    <row r="13" spans="1:16">
      <c r="B13" t="s">
        <v>50</v>
      </c>
      <c r="C13" s="153" t="s">
        <v>163</v>
      </c>
      <c r="D13" s="154">
        <f>'Income Statement Historic'!D12</f>
        <v>114</v>
      </c>
      <c r="E13" s="155">
        <f>'Income Statement Historic'!C12</f>
        <v>1238</v>
      </c>
      <c r="F13" s="6">
        <f>IF(F5="","",E13*(1+F33))</f>
        <v>1262.76</v>
      </c>
      <c r="G13" s="6">
        <f t="shared" ref="G13:O13" si="6">IF(G5="","",F13*(1+G33))</f>
        <v>1288.0152</v>
      </c>
      <c r="H13" s="6">
        <f>IF(H5="","",G13*(1+H33))</f>
        <v>1313.7755040000002</v>
      </c>
      <c r="I13" s="6" t="str">
        <f t="shared" si="6"/>
        <v/>
      </c>
      <c r="J13" s="6" t="str">
        <f t="shared" si="6"/>
        <v/>
      </c>
      <c r="K13" s="6" t="str">
        <f t="shared" si="6"/>
        <v/>
      </c>
      <c r="L13" s="6" t="str">
        <f t="shared" si="6"/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</row>
    <row r="14" spans="1:16" ht="18">
      <c r="B14" s="164" t="s">
        <v>51</v>
      </c>
      <c r="C14" s="156" t="s">
        <v>163</v>
      </c>
      <c r="D14" s="157">
        <f>'Income Statement Historic'!D13</f>
        <v>-36</v>
      </c>
      <c r="E14" s="158">
        <f>'Income Statement Historic'!C13</f>
        <v>0</v>
      </c>
      <c r="F14" s="159">
        <f>IF(F5="","",0)</f>
        <v>0</v>
      </c>
      <c r="G14" s="159">
        <f t="shared" ref="G14:O14" si="7">IF(G5="","",0)</f>
        <v>0</v>
      </c>
      <c r="H14" s="159">
        <f t="shared" si="7"/>
        <v>0</v>
      </c>
      <c r="I14" s="159" t="str">
        <f t="shared" si="7"/>
        <v/>
      </c>
      <c r="J14" s="159" t="str">
        <f t="shared" si="7"/>
        <v/>
      </c>
      <c r="K14" s="159" t="str">
        <f t="shared" si="7"/>
        <v/>
      </c>
      <c r="L14" s="159" t="str">
        <f t="shared" si="7"/>
        <v/>
      </c>
      <c r="M14" s="159" t="str">
        <f t="shared" si="7"/>
        <v/>
      </c>
      <c r="N14" s="159" t="str">
        <f t="shared" si="7"/>
        <v/>
      </c>
      <c r="O14" s="159" t="str">
        <f t="shared" si="7"/>
        <v/>
      </c>
      <c r="P14" s="172">
        <v>1</v>
      </c>
    </row>
    <row r="15" spans="1:16">
      <c r="B15" s="1" t="s">
        <v>192</v>
      </c>
      <c r="C15" s="153" t="s">
        <v>163</v>
      </c>
      <c r="D15" s="165">
        <f>IF(D5&lt;&gt;"",SUM(D11:D14),"")</f>
        <v>17657</v>
      </c>
      <c r="E15" s="166">
        <f t="shared" ref="E15:O15" si="8">IF(E5&lt;&gt;"",SUM(E11:E14),"")</f>
        <v>14796</v>
      </c>
      <c r="F15" s="165">
        <f t="shared" si="8"/>
        <v>21407.782397665589</v>
      </c>
      <c r="G15" s="165">
        <f t="shared" si="8"/>
        <v>23447.539837432163</v>
      </c>
      <c r="H15" s="165">
        <f t="shared" si="8"/>
        <v>25689.252605175378</v>
      </c>
      <c r="I15" s="165" t="str">
        <f t="shared" si="8"/>
        <v/>
      </c>
      <c r="J15" s="165" t="str">
        <f t="shared" si="8"/>
        <v/>
      </c>
      <c r="K15" s="165" t="str">
        <f t="shared" si="8"/>
        <v/>
      </c>
      <c r="L15" s="165" t="str">
        <f t="shared" si="8"/>
        <v/>
      </c>
      <c r="M15" s="165" t="str">
        <f t="shared" si="8"/>
        <v/>
      </c>
      <c r="N15" s="165" t="str">
        <f t="shared" si="8"/>
        <v/>
      </c>
      <c r="O15" s="165" t="str">
        <f t="shared" si="8"/>
        <v/>
      </c>
    </row>
    <row r="16" spans="1:16">
      <c r="D16" s="6"/>
      <c r="E16" s="65"/>
      <c r="F16" s="6"/>
      <c r="G16" s="6"/>
      <c r="H16" s="6"/>
      <c r="I16" s="6"/>
      <c r="J16" s="6"/>
      <c r="K16" s="6"/>
      <c r="L16" s="6"/>
      <c r="M16" s="6"/>
      <c r="N16" s="6"/>
      <c r="O16" s="6"/>
    </row>
    <row r="17" spans="1:16">
      <c r="B17" s="164" t="s">
        <v>48</v>
      </c>
      <c r="C17" s="156" t="s">
        <v>163</v>
      </c>
      <c r="D17" s="157">
        <f t="shared" ref="D17:O17" ca="1" si="9">D32</f>
        <v>3747</v>
      </c>
      <c r="E17" s="158">
        <f t="shared" ca="1" si="9"/>
        <v>4667</v>
      </c>
      <c r="F17" s="157">
        <f t="shared" ca="1" si="9"/>
        <v>5632.9396725001388</v>
      </c>
      <c r="G17" s="157">
        <f t="shared" ca="1" si="9"/>
        <v>6627.8575351752816</v>
      </c>
      <c r="H17" s="157">
        <f t="shared" ca="1" si="9"/>
        <v>7652.6229337306795</v>
      </c>
      <c r="I17" s="157" t="str">
        <f t="shared" si="9"/>
        <v/>
      </c>
      <c r="J17" s="157" t="str">
        <f t="shared" si="9"/>
        <v/>
      </c>
      <c r="K17" s="157" t="str">
        <f>K32</f>
        <v/>
      </c>
      <c r="L17" s="157" t="str">
        <f t="shared" si="9"/>
        <v/>
      </c>
      <c r="M17" s="157" t="str">
        <f t="shared" si="9"/>
        <v/>
      </c>
      <c r="N17" s="157" t="str">
        <f t="shared" si="9"/>
        <v/>
      </c>
      <c r="O17" s="157" t="str">
        <f t="shared" si="9"/>
        <v/>
      </c>
    </row>
    <row r="18" spans="1:16">
      <c r="B18" s="1" t="s">
        <v>1</v>
      </c>
      <c r="C18" s="161" t="s">
        <v>163</v>
      </c>
      <c r="D18" s="162">
        <f ca="1">IF(D11="","",D15-D17)</f>
        <v>13910</v>
      </c>
      <c r="E18" s="163">
        <f t="shared" ref="E18:O18" ca="1" si="10">IF(E11="","",E15-E17)</f>
        <v>10129</v>
      </c>
      <c r="F18" s="162">
        <f t="shared" ca="1" si="10"/>
        <v>15774.84272516545</v>
      </c>
      <c r="G18" s="162">
        <f t="shared" ca="1" si="10"/>
        <v>16819.682302256882</v>
      </c>
      <c r="H18" s="162">
        <f t="shared" ca="1" si="10"/>
        <v>18036.629671444698</v>
      </c>
      <c r="I18" s="162" t="str">
        <f t="shared" si="10"/>
        <v/>
      </c>
      <c r="J18" s="162" t="str">
        <f t="shared" si="10"/>
        <v/>
      </c>
      <c r="K18" s="162" t="str">
        <f t="shared" si="10"/>
        <v/>
      </c>
      <c r="L18" s="162" t="str">
        <f t="shared" si="10"/>
        <v/>
      </c>
      <c r="M18" s="162" t="str">
        <f t="shared" si="10"/>
        <v/>
      </c>
      <c r="N18" s="162" t="str">
        <f t="shared" si="10"/>
        <v/>
      </c>
      <c r="O18" s="162" t="str">
        <f t="shared" si="10"/>
        <v/>
      </c>
    </row>
    <row r="19" spans="1:16">
      <c r="B19" s="1"/>
      <c r="C19" s="161"/>
      <c r="D19" s="162"/>
      <c r="E19" s="163"/>
      <c r="F19" s="162"/>
      <c r="G19" s="162"/>
      <c r="H19" s="162"/>
      <c r="I19" s="162"/>
      <c r="J19" s="162"/>
      <c r="K19" s="162"/>
      <c r="L19" s="162"/>
      <c r="M19" s="162"/>
      <c r="N19" s="162"/>
      <c r="O19" s="162"/>
    </row>
    <row r="20" spans="1:16" ht="18">
      <c r="B20" s="164" t="s">
        <v>52</v>
      </c>
      <c r="C20" s="156" t="s">
        <v>163</v>
      </c>
      <c r="D20" s="157">
        <f>'Income Statement Historic'!D15</f>
        <v>-191</v>
      </c>
      <c r="E20" s="158">
        <f>'Income Statement Historic'!C15</f>
        <v>-156</v>
      </c>
      <c r="F20" s="159">
        <f>IF(F5="","",-Total_Debt_FY0*F35)</f>
        <v>-259.81002087682674</v>
      </c>
      <c r="G20" s="159">
        <f t="shared" ref="G20:O20" si="11">IF(G5="","",-Total_Debt_FY0*G35)</f>
        <v>-259.81002087682674</v>
      </c>
      <c r="H20" s="159">
        <f>IF(H5="","",-Total_Debt_FY0*H35)</f>
        <v>-259.81002087682674</v>
      </c>
      <c r="I20" s="159" t="str">
        <f t="shared" si="11"/>
        <v/>
      </c>
      <c r="J20" s="159" t="str">
        <f t="shared" si="11"/>
        <v/>
      </c>
      <c r="K20" s="159" t="str">
        <f t="shared" si="11"/>
        <v/>
      </c>
      <c r="L20" s="159" t="str">
        <f t="shared" si="11"/>
        <v/>
      </c>
      <c r="M20" s="159" t="str">
        <f t="shared" si="11"/>
        <v/>
      </c>
      <c r="N20" s="159" t="str">
        <f t="shared" si="11"/>
        <v/>
      </c>
      <c r="O20" s="159" t="str">
        <f t="shared" si="11"/>
        <v/>
      </c>
      <c r="P20" s="172">
        <v>2</v>
      </c>
    </row>
    <row r="21" spans="1:16">
      <c r="B21" s="1" t="s">
        <v>53</v>
      </c>
      <c r="C21" s="161" t="s">
        <v>163</v>
      </c>
      <c r="D21" s="162">
        <f ca="1">IF(D18="","",SUM(D18:D20))</f>
        <v>13719</v>
      </c>
      <c r="E21" s="163">
        <f t="shared" ref="E21:O21" ca="1" si="12">IF(E18="","",SUM(E18:E20))</f>
        <v>9973</v>
      </c>
      <c r="F21" s="162">
        <f t="shared" ca="1" si="12"/>
        <v>15515.032704288624</v>
      </c>
      <c r="G21" s="162">
        <f t="shared" ca="1" si="12"/>
        <v>16559.872281380056</v>
      </c>
      <c r="H21" s="162">
        <f t="shared" ca="1" si="12"/>
        <v>17776.819650567872</v>
      </c>
      <c r="I21" s="162" t="str">
        <f t="shared" si="12"/>
        <v/>
      </c>
      <c r="J21" s="162" t="str">
        <f t="shared" si="12"/>
        <v/>
      </c>
      <c r="K21" s="162" t="str">
        <f t="shared" si="12"/>
        <v/>
      </c>
      <c r="L21" s="162" t="str">
        <f t="shared" si="12"/>
        <v/>
      </c>
      <c r="M21" s="162" t="str">
        <f t="shared" si="12"/>
        <v/>
      </c>
      <c r="N21" s="162" t="str">
        <f t="shared" si="12"/>
        <v/>
      </c>
      <c r="O21" s="162" t="str">
        <f t="shared" si="12"/>
        <v/>
      </c>
    </row>
    <row r="22" spans="1:16">
      <c r="B22" s="1"/>
      <c r="C22" s="161"/>
      <c r="D22" s="162"/>
      <c r="E22" s="163"/>
      <c r="F22" s="162"/>
      <c r="G22" s="162"/>
      <c r="H22" s="162"/>
      <c r="I22" s="162"/>
      <c r="J22" s="162"/>
      <c r="K22" s="162"/>
      <c r="L22" s="162"/>
      <c r="M22" s="162"/>
      <c r="N22" s="162"/>
      <c r="O22" s="162"/>
    </row>
    <row r="23" spans="1:16">
      <c r="B23" t="s">
        <v>54</v>
      </c>
      <c r="C23" s="153" t="s">
        <v>163</v>
      </c>
      <c r="D23" s="154">
        <f>-'Income Statement Historic'!D17</f>
        <v>-1132</v>
      </c>
      <c r="E23" s="155">
        <f>-'Income Statement Historic'!C17</f>
        <v>5001</v>
      </c>
      <c r="F23" s="6">
        <f ca="1">IF(F5="","",-F21*F34)</f>
        <v>-4654.5098112865871</v>
      </c>
      <c r="G23" s="6">
        <f t="shared" ref="G23:O23" ca="1" si="13">IF(G5="","",-G21*G34)</f>
        <v>-4967.9616844140164</v>
      </c>
      <c r="H23" s="6">
        <f t="shared" ca="1" si="13"/>
        <v>-5333.0458951703613</v>
      </c>
      <c r="I23" s="6" t="str">
        <f t="shared" si="13"/>
        <v/>
      </c>
      <c r="J23" s="6" t="str">
        <f t="shared" si="13"/>
        <v/>
      </c>
      <c r="K23" s="6" t="str">
        <f t="shared" si="13"/>
        <v/>
      </c>
      <c r="L23" s="6" t="str">
        <f t="shared" si="13"/>
        <v/>
      </c>
      <c r="M23" s="6" t="str">
        <f t="shared" si="13"/>
        <v/>
      </c>
      <c r="N23" s="6" t="str">
        <f t="shared" si="13"/>
        <v/>
      </c>
      <c r="O23" s="6" t="str">
        <f t="shared" si="13"/>
        <v/>
      </c>
    </row>
    <row r="24" spans="1:16" ht="17" thickBot="1">
      <c r="B24" s="39" t="s">
        <v>55</v>
      </c>
      <c r="C24" s="167" t="s">
        <v>163</v>
      </c>
      <c r="D24" s="168">
        <f ca="1">IF(D21="","",SUM(D21:D23))</f>
        <v>12587</v>
      </c>
      <c r="E24" s="169">
        <f t="shared" ref="E24:O24" ca="1" si="14">IF(E21="","",SUM(E21:E23))</f>
        <v>14974</v>
      </c>
      <c r="F24" s="168">
        <f t="shared" ca="1" si="14"/>
        <v>10860.522893002037</v>
      </c>
      <c r="G24" s="168">
        <f t="shared" ca="1" si="14"/>
        <v>11591.91059696604</v>
      </c>
      <c r="H24" s="168">
        <f t="shared" ca="1" si="14"/>
        <v>12443.773755397509</v>
      </c>
      <c r="I24" s="168" t="str">
        <f t="shared" si="14"/>
        <v/>
      </c>
      <c r="J24" s="168" t="str">
        <f t="shared" si="14"/>
        <v/>
      </c>
      <c r="K24" s="168" t="str">
        <f t="shared" si="14"/>
        <v/>
      </c>
      <c r="L24" s="168" t="str">
        <f t="shared" si="14"/>
        <v/>
      </c>
      <c r="M24" s="168" t="str">
        <f t="shared" si="14"/>
        <v/>
      </c>
      <c r="N24" s="168" t="str">
        <f t="shared" si="14"/>
        <v/>
      </c>
      <c r="O24" s="168" t="str">
        <f t="shared" si="14"/>
        <v/>
      </c>
    </row>
    <row r="25" spans="1:16" ht="17" thickTop="1">
      <c r="E25" s="35"/>
    </row>
    <row r="26" spans="1:16">
      <c r="E26" s="35"/>
    </row>
    <row r="27" spans="1:16">
      <c r="B27" s="52" t="s">
        <v>165</v>
      </c>
      <c r="C27" s="63" t="s">
        <v>151</v>
      </c>
      <c r="D27" s="25"/>
      <c r="E27" s="34"/>
      <c r="F27" s="25"/>
      <c r="G27" s="25"/>
      <c r="H27" s="25"/>
      <c r="I27" s="25"/>
      <c r="J27" s="25"/>
      <c r="K27" s="25"/>
      <c r="L27" s="25"/>
      <c r="M27" s="25"/>
      <c r="N27" s="25"/>
      <c r="O27" s="25"/>
    </row>
    <row r="28" spans="1:16">
      <c r="B28" s="23"/>
      <c r="C28" s="17"/>
      <c r="D28" s="23"/>
      <c r="E28" s="53"/>
      <c r="F28" s="23"/>
      <c r="G28" s="23"/>
      <c r="H28" s="23"/>
      <c r="I28" s="23"/>
      <c r="J28" s="23"/>
      <c r="K28" s="25"/>
      <c r="L28" s="25"/>
      <c r="M28" s="25"/>
      <c r="N28" s="25"/>
      <c r="O28" s="25"/>
    </row>
    <row r="29" spans="1:16">
      <c r="B29" s="54" t="s">
        <v>166</v>
      </c>
      <c r="C29" s="64" t="s">
        <v>155</v>
      </c>
      <c r="D29" s="55"/>
      <c r="E29" s="56">
        <f>(E6-D6)/D6</f>
        <v>0.18795266504627925</v>
      </c>
      <c r="F29" s="57">
        <f t="shared" ref="F29:O29" si="15">IF(F5&lt;&gt;"",Growth_Sales,"")</f>
        <v>0.1</v>
      </c>
      <c r="G29" s="57">
        <f t="shared" si="15"/>
        <v>0.1</v>
      </c>
      <c r="H29" s="57">
        <f t="shared" si="15"/>
        <v>0.1</v>
      </c>
      <c r="I29" s="57" t="str">
        <f t="shared" si="15"/>
        <v/>
      </c>
      <c r="J29" s="57" t="str">
        <f t="shared" si="15"/>
        <v/>
      </c>
      <c r="K29" s="57" t="str">
        <f t="shared" si="15"/>
        <v/>
      </c>
      <c r="L29" s="57" t="str">
        <f t="shared" si="15"/>
        <v/>
      </c>
      <c r="M29" s="57" t="str">
        <f t="shared" si="15"/>
        <v/>
      </c>
      <c r="N29" s="57" t="str">
        <f t="shared" si="15"/>
        <v/>
      </c>
      <c r="O29" s="57" t="str">
        <f t="shared" si="15"/>
        <v/>
      </c>
    </row>
    <row r="30" spans="1:16">
      <c r="B30" s="54" t="s">
        <v>167</v>
      </c>
      <c r="C30" s="64" t="s">
        <v>155</v>
      </c>
      <c r="D30" s="55">
        <f>D7/D6</f>
        <v>0.69801870810930244</v>
      </c>
      <c r="E30" s="56">
        <f>E7/E6</f>
        <v>0.76928482117946118</v>
      </c>
      <c r="F30" s="55">
        <f t="shared" ref="F30:O30" si="16">IF(F5&lt;&gt;"",Gross_Margin,"")</f>
        <v>0.72014242893006786</v>
      </c>
      <c r="G30" s="55">
        <f t="shared" si="16"/>
        <v>0.72014242893006786</v>
      </c>
      <c r="H30" s="55">
        <f t="shared" si="16"/>
        <v>0.72014242893006786</v>
      </c>
      <c r="I30" s="55" t="str">
        <f t="shared" si="16"/>
        <v/>
      </c>
      <c r="J30" s="55" t="str">
        <f t="shared" si="16"/>
        <v/>
      </c>
      <c r="K30" s="55" t="str">
        <f t="shared" si="16"/>
        <v/>
      </c>
      <c r="L30" s="55" t="str">
        <f t="shared" si="16"/>
        <v/>
      </c>
      <c r="M30" s="55" t="str">
        <f t="shared" si="16"/>
        <v/>
      </c>
      <c r="N30" s="55" t="str">
        <f t="shared" si="16"/>
        <v/>
      </c>
      <c r="O30" s="55" t="str">
        <f t="shared" si="16"/>
        <v/>
      </c>
    </row>
    <row r="31" spans="1:16">
      <c r="B31" s="54" t="s">
        <v>168</v>
      </c>
      <c r="C31" s="64" t="s">
        <v>155</v>
      </c>
      <c r="D31" s="58"/>
      <c r="E31" s="56">
        <f>(E10-D10)/D10</f>
        <v>0.24896738356359494</v>
      </c>
      <c r="F31" s="58">
        <f t="shared" ref="F31:O31" si="17">IF(F5&lt;&gt;"",Growth_SGA,"")</f>
        <v>0.1</v>
      </c>
      <c r="G31" s="58">
        <f t="shared" si="17"/>
        <v>0.1</v>
      </c>
      <c r="H31" s="58">
        <f t="shared" si="17"/>
        <v>0.1</v>
      </c>
      <c r="I31" s="58" t="str">
        <f>IF(I5&lt;&gt;"",Growth_SGA,"")</f>
        <v/>
      </c>
      <c r="J31" s="58" t="str">
        <f t="shared" si="17"/>
        <v/>
      </c>
      <c r="K31" s="58" t="str">
        <f>IF(K5&lt;&gt;"",Growth_SGA,"")</f>
        <v/>
      </c>
      <c r="L31" s="58" t="str">
        <f t="shared" si="17"/>
        <v/>
      </c>
      <c r="M31" s="58" t="str">
        <f t="shared" si="17"/>
        <v/>
      </c>
      <c r="N31" s="58" t="str">
        <f t="shared" si="17"/>
        <v/>
      </c>
      <c r="O31" s="58" t="str">
        <f t="shared" si="17"/>
        <v/>
      </c>
    </row>
    <row r="32" spans="1:16" s="6" customFormat="1">
      <c r="A32"/>
      <c r="B32" s="54" t="s">
        <v>169</v>
      </c>
      <c r="C32" s="64" t="s">
        <v>154</v>
      </c>
      <c r="D32" s="59">
        <f ca="1">IF(D5&lt;&gt;"",'PPE &amp; Depreciation Schedule'!D19, "")</f>
        <v>3747</v>
      </c>
      <c r="E32" s="60">
        <f ca="1">IF(E5&lt;&gt;"",'PPE &amp; Depreciation Schedule'!E19, "")</f>
        <v>4667</v>
      </c>
      <c r="F32" s="59">
        <f ca="1">IF(F5&lt;&gt;"",'PPE &amp; Depreciation Schedule'!F19, "")</f>
        <v>5632.9396725001388</v>
      </c>
      <c r="G32" s="59">
        <f ca="1">IF(G5&lt;&gt;"",'PPE &amp; Depreciation Schedule'!G19, "")</f>
        <v>6627.8575351752816</v>
      </c>
      <c r="H32" s="59">
        <f ca="1">IF(H5&lt;&gt;"",'PPE &amp; Depreciation Schedule'!H19, "")</f>
        <v>7652.6229337306795</v>
      </c>
      <c r="I32" s="59" t="str">
        <f>IF(I5&lt;&gt;"",'PPE &amp; Depreciation Schedule'!I19, "")</f>
        <v/>
      </c>
      <c r="J32" s="59" t="str">
        <f>IF(J5&lt;&gt;"",'PPE &amp; Depreciation Schedule'!J19, "")</f>
        <v/>
      </c>
      <c r="K32" s="59" t="str">
        <f>IF(K5&lt;&gt;"",'PPE &amp; Depreciation Schedule'!K19, "")</f>
        <v/>
      </c>
      <c r="L32" s="59" t="str">
        <f>IF(L5&lt;&gt;"",'PPE &amp; Depreciation Schedule'!L19, "")</f>
        <v/>
      </c>
      <c r="M32" s="59" t="str">
        <f>IF(M5&lt;&gt;"",'PPE &amp; Depreciation Schedule'!M19, "")</f>
        <v/>
      </c>
      <c r="N32" s="59" t="str">
        <f>IF(N5&lt;&gt;"",'PPE &amp; Depreciation Schedule'!N19, "")</f>
        <v/>
      </c>
      <c r="O32" s="59" t="str">
        <f>IF(O5&lt;&gt;"",'PPE &amp; Depreciation Schedule'!O19, "")</f>
        <v/>
      </c>
    </row>
    <row r="33" spans="1:16384">
      <c r="B33" s="54" t="s">
        <v>170</v>
      </c>
      <c r="C33" s="64" t="s">
        <v>155</v>
      </c>
      <c r="D33" s="58"/>
      <c r="E33" s="56">
        <f>(E13-D13)/D13</f>
        <v>9.8596491228070171</v>
      </c>
      <c r="F33" s="58">
        <f t="shared" ref="F33:O33" si="18">IF(F5&lt;&gt;"",Growth_Non_Operating,"")</f>
        <v>0.02</v>
      </c>
      <c r="G33" s="58">
        <f t="shared" si="18"/>
        <v>0.02</v>
      </c>
      <c r="H33" s="58">
        <f>IF(H5&lt;&gt;"",Growth_Non_Operating,"")</f>
        <v>0.02</v>
      </c>
      <c r="I33" s="58" t="str">
        <f t="shared" si="18"/>
        <v/>
      </c>
      <c r="J33" s="58" t="str">
        <f t="shared" si="18"/>
        <v/>
      </c>
      <c r="K33" s="58" t="str">
        <f t="shared" si="18"/>
        <v/>
      </c>
      <c r="L33" s="58" t="str">
        <f t="shared" si="18"/>
        <v/>
      </c>
      <c r="M33" s="58" t="str">
        <f t="shared" si="18"/>
        <v/>
      </c>
      <c r="N33" s="58" t="str">
        <f t="shared" si="18"/>
        <v/>
      </c>
      <c r="O33" s="58" t="str">
        <f t="shared" si="18"/>
        <v/>
      </c>
    </row>
    <row r="34" spans="1:16384">
      <c r="B34" s="54" t="s">
        <v>140</v>
      </c>
      <c r="C34" s="64" t="s">
        <v>155</v>
      </c>
      <c r="D34" s="61">
        <f ca="1">ABS(D23/D21)</f>
        <v>8.2513302718857054E-2</v>
      </c>
      <c r="E34" s="62">
        <f ca="1">ABS(E23/E21)</f>
        <v>0.50145392559911761</v>
      </c>
      <c r="F34" s="61">
        <f t="shared" ref="F34:O34" si="19">IF(F5&lt;&gt;"",Tax_Rate,"")</f>
        <v>0.3</v>
      </c>
      <c r="G34" s="61">
        <f t="shared" si="19"/>
        <v>0.3</v>
      </c>
      <c r="H34" s="61">
        <f t="shared" si="19"/>
        <v>0.3</v>
      </c>
      <c r="I34" s="61" t="str">
        <f t="shared" si="19"/>
        <v/>
      </c>
      <c r="J34" s="61" t="str">
        <f t="shared" si="19"/>
        <v/>
      </c>
      <c r="K34" s="61" t="str">
        <f t="shared" si="19"/>
        <v/>
      </c>
      <c r="L34" s="61" t="str">
        <f t="shared" si="19"/>
        <v/>
      </c>
      <c r="M34" s="61" t="str">
        <f t="shared" si="19"/>
        <v/>
      </c>
      <c r="N34" s="61" t="str">
        <f t="shared" si="19"/>
        <v/>
      </c>
      <c r="O34" s="61" t="str">
        <f t="shared" si="19"/>
        <v/>
      </c>
    </row>
    <row r="35" spans="1:16384" ht="17" customHeight="1">
      <c r="B35" s="54" t="s">
        <v>246</v>
      </c>
      <c r="C35" s="64" t="s">
        <v>155</v>
      </c>
      <c r="D35" s="13">
        <f>ABS(D20/'Balance Sheet Historic'!E62)</f>
        <v>2.1525977685112139E-2</v>
      </c>
      <c r="E35" s="119">
        <f>Interest_Rate</f>
        <v>2.7139874739039668E-2</v>
      </c>
      <c r="F35" s="257">
        <f t="shared" ref="F35:O35" si="20">IF(F5&lt;&gt;"",Interest_Rate,"")</f>
        <v>2.7139874739039668E-2</v>
      </c>
      <c r="G35" s="257">
        <f t="shared" si="20"/>
        <v>2.7139874739039668E-2</v>
      </c>
      <c r="H35" s="257">
        <f t="shared" si="20"/>
        <v>2.7139874739039668E-2</v>
      </c>
      <c r="I35" s="257" t="str">
        <f t="shared" si="20"/>
        <v/>
      </c>
      <c r="J35" s="257" t="str">
        <f>IF(J5&lt;&gt;"",Interest_Rate,"")</f>
        <v/>
      </c>
      <c r="K35" s="257" t="str">
        <f t="shared" si="20"/>
        <v/>
      </c>
      <c r="L35" s="257" t="str">
        <f t="shared" si="20"/>
        <v/>
      </c>
      <c r="M35" s="257" t="str">
        <f t="shared" si="20"/>
        <v/>
      </c>
      <c r="N35" s="257" t="str">
        <f t="shared" si="20"/>
        <v/>
      </c>
      <c r="O35" s="257" t="str">
        <f t="shared" si="20"/>
        <v/>
      </c>
    </row>
    <row r="36" spans="1:16384" ht="17" customHeight="1">
      <c r="B36" s="311" t="s">
        <v>283</v>
      </c>
    </row>
    <row r="37" spans="1:16384" ht="17" customHeight="1">
      <c r="B37" s="311" t="s">
        <v>282</v>
      </c>
    </row>
    <row r="38" spans="1:16384" ht="17" customHeight="1"/>
    <row r="39" spans="1:16384" s="18" customFormat="1" ht="21" thickBot="1">
      <c r="A39"/>
      <c r="B39" s="22" t="s">
        <v>156</v>
      </c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  <c r="IV39" s="21"/>
      <c r="IW39" s="21"/>
      <c r="IX39" s="21"/>
      <c r="IY39" s="21"/>
      <c r="IZ39" s="21"/>
      <c r="JA39" s="21"/>
      <c r="JB39" s="21"/>
      <c r="JC39" s="21"/>
      <c r="JD39" s="21"/>
      <c r="JE39" s="21"/>
      <c r="JF39" s="21"/>
      <c r="JG39" s="21"/>
      <c r="JH39" s="21"/>
      <c r="JI39" s="21"/>
      <c r="JJ39" s="21"/>
      <c r="JK39" s="21"/>
      <c r="JL39" s="21"/>
      <c r="JM39" s="21"/>
      <c r="JN39" s="21"/>
      <c r="JO39" s="21"/>
      <c r="JP39" s="21"/>
      <c r="JQ39" s="21"/>
      <c r="JR39" s="21"/>
      <c r="JS39" s="21"/>
      <c r="JT39" s="21"/>
      <c r="JU39" s="21"/>
      <c r="JV39" s="21"/>
      <c r="JW39" s="21"/>
      <c r="JX39" s="21"/>
      <c r="JY39" s="21"/>
      <c r="JZ39" s="21"/>
      <c r="KA39" s="21"/>
      <c r="KB39" s="21"/>
      <c r="KC39" s="21"/>
      <c r="KD39" s="21"/>
      <c r="KE39" s="21"/>
      <c r="KF39" s="21"/>
      <c r="KG39" s="21"/>
      <c r="KH39" s="21"/>
      <c r="KI39" s="21"/>
      <c r="KJ39" s="21"/>
      <c r="KK39" s="21"/>
      <c r="KL39" s="21"/>
      <c r="KM39" s="21"/>
      <c r="KN39" s="21"/>
      <c r="KO39" s="21"/>
      <c r="KP39" s="21"/>
      <c r="KQ39" s="21"/>
      <c r="KR39" s="21"/>
      <c r="KS39" s="21"/>
      <c r="KT39" s="21"/>
      <c r="KU39" s="21"/>
      <c r="KV39" s="21"/>
      <c r="KW39" s="21"/>
      <c r="KX39" s="21"/>
      <c r="KY39" s="21"/>
      <c r="KZ39" s="21"/>
      <c r="LA39" s="21"/>
      <c r="LB39" s="21"/>
      <c r="LC39" s="21"/>
      <c r="LD39" s="21"/>
      <c r="LE39" s="21"/>
      <c r="LF39" s="21"/>
      <c r="LG39" s="21"/>
      <c r="LH39" s="21"/>
      <c r="LI39" s="21"/>
      <c r="LJ39" s="21"/>
      <c r="LK39" s="21"/>
      <c r="LL39" s="21"/>
      <c r="LM39" s="21"/>
      <c r="LN39" s="21"/>
      <c r="LO39" s="21"/>
      <c r="LP39" s="21"/>
      <c r="LQ39" s="21"/>
      <c r="LR39" s="21"/>
      <c r="LS39" s="21"/>
      <c r="LT39" s="21"/>
      <c r="LU39" s="21"/>
      <c r="LV39" s="21"/>
      <c r="LW39" s="21"/>
      <c r="LX39" s="21"/>
      <c r="LY39" s="21"/>
      <c r="LZ39" s="21"/>
      <c r="MA39" s="21"/>
      <c r="MB39" s="21"/>
      <c r="MC39" s="21"/>
      <c r="MD39" s="21"/>
      <c r="ME39" s="21"/>
      <c r="MF39" s="21"/>
      <c r="MG39" s="21"/>
      <c r="MH39" s="21"/>
      <c r="MI39" s="21"/>
      <c r="MJ39" s="21"/>
      <c r="MK39" s="21"/>
      <c r="ML39" s="21"/>
      <c r="MM39" s="21"/>
      <c r="MN39" s="21"/>
      <c r="MO39" s="21"/>
      <c r="MP39" s="21"/>
      <c r="MQ39" s="21"/>
      <c r="MR39" s="21"/>
      <c r="MS39" s="21"/>
      <c r="MT39" s="21"/>
      <c r="MU39" s="21"/>
      <c r="MV39" s="21"/>
      <c r="MW39" s="21"/>
      <c r="MX39" s="21"/>
      <c r="MY39" s="21"/>
      <c r="MZ39" s="21"/>
      <c r="NA39" s="21"/>
      <c r="NB39" s="21"/>
      <c r="NC39" s="21"/>
      <c r="ND39" s="21"/>
      <c r="NE39" s="21"/>
      <c r="NF39" s="21"/>
      <c r="NG39" s="21"/>
      <c r="NH39" s="21"/>
      <c r="NI39" s="21"/>
      <c r="NJ39" s="21"/>
      <c r="NK39" s="21"/>
      <c r="NL39" s="21"/>
      <c r="NM39" s="21"/>
      <c r="NN39" s="21"/>
      <c r="NO39" s="21"/>
      <c r="NP39" s="21"/>
      <c r="NQ39" s="21"/>
      <c r="NR39" s="21"/>
      <c r="NS39" s="21"/>
      <c r="NT39" s="21"/>
      <c r="NU39" s="21"/>
      <c r="NV39" s="21"/>
      <c r="NW39" s="21"/>
      <c r="NX39" s="21"/>
      <c r="NY39" s="21"/>
      <c r="NZ39" s="21"/>
      <c r="OA39" s="21"/>
      <c r="OB39" s="21"/>
      <c r="OC39" s="21"/>
      <c r="OD39" s="21"/>
      <c r="OE39" s="21"/>
      <c r="OF39" s="21"/>
      <c r="OG39" s="21"/>
      <c r="OH39" s="21"/>
      <c r="OI39" s="21"/>
      <c r="OJ39" s="21"/>
      <c r="OK39" s="21"/>
      <c r="OL39" s="21"/>
      <c r="OM39" s="21"/>
      <c r="ON39" s="21"/>
      <c r="OO39" s="21"/>
      <c r="OP39" s="21"/>
      <c r="OQ39" s="21"/>
      <c r="OR39" s="21"/>
      <c r="OS39" s="21"/>
      <c r="OT39" s="21"/>
      <c r="OU39" s="21"/>
      <c r="OV39" s="21"/>
      <c r="OW39" s="21"/>
      <c r="OX39" s="21"/>
      <c r="OY39" s="21"/>
      <c r="OZ39" s="21"/>
      <c r="PA39" s="21"/>
      <c r="PB39" s="21"/>
      <c r="PC39" s="21"/>
      <c r="PD39" s="21"/>
      <c r="PE39" s="21"/>
      <c r="PF39" s="21"/>
      <c r="PG39" s="21"/>
      <c r="PH39" s="21"/>
      <c r="PI39" s="21"/>
      <c r="PJ39" s="21"/>
      <c r="PK39" s="21"/>
      <c r="PL39" s="21"/>
      <c r="PM39" s="21"/>
      <c r="PN39" s="21"/>
      <c r="PO39" s="21"/>
      <c r="PP39" s="21"/>
      <c r="PQ39" s="21"/>
      <c r="PR39" s="21"/>
      <c r="PS39" s="21"/>
      <c r="PT39" s="21"/>
      <c r="PU39" s="21"/>
      <c r="PV39" s="21"/>
      <c r="PW39" s="21"/>
      <c r="PX39" s="21"/>
      <c r="PY39" s="21"/>
      <c r="PZ39" s="21"/>
      <c r="QA39" s="21"/>
      <c r="QB39" s="21"/>
      <c r="QC39" s="21"/>
      <c r="QD39" s="21"/>
      <c r="QE39" s="21"/>
      <c r="QF39" s="21"/>
      <c r="QG39" s="21"/>
      <c r="QH39" s="21"/>
      <c r="QI39" s="21"/>
      <c r="QJ39" s="21"/>
      <c r="QK39" s="21"/>
      <c r="QL39" s="21"/>
      <c r="QM39" s="21"/>
      <c r="QN39" s="21"/>
      <c r="QO39" s="21"/>
      <c r="QP39" s="21"/>
      <c r="QQ39" s="21"/>
      <c r="QR39" s="21"/>
      <c r="QS39" s="21"/>
      <c r="QT39" s="21"/>
      <c r="QU39" s="21"/>
      <c r="QV39" s="21"/>
      <c r="QW39" s="21"/>
      <c r="QX39" s="21"/>
      <c r="QY39" s="21"/>
      <c r="QZ39" s="21"/>
      <c r="RA39" s="21"/>
      <c r="RB39" s="21"/>
      <c r="RC39" s="21"/>
      <c r="RD39" s="21"/>
      <c r="RE39" s="21"/>
      <c r="RF39" s="21"/>
      <c r="RG39" s="21"/>
      <c r="RH39" s="21"/>
      <c r="RI39" s="21"/>
      <c r="RJ39" s="21"/>
      <c r="RK39" s="21"/>
      <c r="RL39" s="21"/>
      <c r="RM39" s="21"/>
      <c r="RN39" s="21"/>
      <c r="RO39" s="21"/>
      <c r="RP39" s="21"/>
      <c r="RQ39" s="21"/>
      <c r="RR39" s="21"/>
      <c r="RS39" s="21"/>
      <c r="RT39" s="21"/>
      <c r="RU39" s="21"/>
      <c r="RV39" s="21"/>
      <c r="RW39" s="21"/>
      <c r="RX39" s="21"/>
      <c r="RY39" s="21"/>
      <c r="RZ39" s="21"/>
      <c r="SA39" s="21"/>
      <c r="SB39" s="21"/>
      <c r="SC39" s="21"/>
      <c r="SD39" s="21"/>
      <c r="SE39" s="21"/>
      <c r="SF39" s="21"/>
      <c r="SG39" s="21"/>
      <c r="SH39" s="21"/>
      <c r="SI39" s="21"/>
      <c r="SJ39" s="21"/>
      <c r="SK39" s="21"/>
      <c r="SL39" s="21"/>
      <c r="SM39" s="21"/>
      <c r="SN39" s="21"/>
      <c r="SO39" s="21"/>
      <c r="SP39" s="21"/>
      <c r="SQ39" s="21"/>
      <c r="SR39" s="21"/>
      <c r="SS39" s="21"/>
      <c r="ST39" s="21"/>
      <c r="SU39" s="21"/>
      <c r="SV39" s="21"/>
      <c r="SW39" s="21"/>
      <c r="SX39" s="21"/>
      <c r="SY39" s="21"/>
      <c r="SZ39" s="21"/>
      <c r="TA39" s="21"/>
      <c r="TB39" s="21"/>
      <c r="TC39" s="21"/>
      <c r="TD39" s="21"/>
      <c r="TE39" s="21"/>
      <c r="TF39" s="21"/>
      <c r="TG39" s="21"/>
      <c r="TH39" s="21"/>
      <c r="TI39" s="21"/>
      <c r="TJ39" s="21"/>
      <c r="TK39" s="21"/>
      <c r="TL39" s="21"/>
      <c r="TM39" s="21"/>
      <c r="TN39" s="21"/>
      <c r="TO39" s="21"/>
      <c r="TP39" s="21"/>
      <c r="TQ39" s="21"/>
      <c r="TR39" s="21"/>
      <c r="TS39" s="21"/>
      <c r="TT39" s="21"/>
      <c r="TU39" s="21"/>
      <c r="TV39" s="21"/>
      <c r="TW39" s="21"/>
      <c r="TX39" s="21"/>
      <c r="TY39" s="21"/>
      <c r="TZ39" s="21"/>
      <c r="UA39" s="21"/>
      <c r="UB39" s="21"/>
      <c r="UC39" s="21"/>
      <c r="UD39" s="21"/>
      <c r="UE39" s="21"/>
      <c r="UF39" s="21"/>
      <c r="UG39" s="21"/>
      <c r="UH39" s="21"/>
      <c r="UI39" s="21"/>
      <c r="UJ39" s="21"/>
      <c r="UK39" s="21"/>
      <c r="UL39" s="21"/>
      <c r="UM39" s="21"/>
      <c r="UN39" s="21"/>
      <c r="UO39" s="21"/>
      <c r="UP39" s="21"/>
      <c r="UQ39" s="21"/>
      <c r="UR39" s="21"/>
      <c r="US39" s="21"/>
      <c r="UT39" s="21"/>
      <c r="UU39" s="21"/>
      <c r="UV39" s="21"/>
      <c r="UW39" s="21"/>
      <c r="UX39" s="21"/>
      <c r="UY39" s="21"/>
      <c r="UZ39" s="21"/>
      <c r="VA39" s="21"/>
      <c r="VB39" s="21"/>
      <c r="VC39" s="21"/>
      <c r="VD39" s="21"/>
      <c r="VE39" s="21"/>
      <c r="VF39" s="21"/>
      <c r="VG39" s="21"/>
      <c r="VH39" s="21"/>
      <c r="VI39" s="21"/>
      <c r="VJ39" s="21"/>
      <c r="VK39" s="21"/>
      <c r="VL39" s="21"/>
      <c r="VM39" s="21"/>
      <c r="VN39" s="21"/>
      <c r="VO39" s="21"/>
      <c r="VP39" s="21"/>
      <c r="VQ39" s="21"/>
      <c r="VR39" s="21"/>
      <c r="VS39" s="21"/>
      <c r="VT39" s="21"/>
      <c r="VU39" s="21"/>
      <c r="VV39" s="21"/>
      <c r="VW39" s="21"/>
      <c r="VX39" s="21"/>
      <c r="VY39" s="21"/>
      <c r="VZ39" s="21"/>
      <c r="WA39" s="21"/>
      <c r="WB39" s="21"/>
      <c r="WC39" s="21"/>
      <c r="WD39" s="21"/>
      <c r="WE39" s="21"/>
      <c r="WF39" s="21"/>
      <c r="WG39" s="21"/>
      <c r="WH39" s="21"/>
      <c r="WI39" s="21"/>
      <c r="WJ39" s="21"/>
      <c r="WK39" s="21"/>
      <c r="WL39" s="21"/>
      <c r="WM39" s="21"/>
      <c r="WN39" s="21"/>
      <c r="WO39" s="21"/>
      <c r="WP39" s="21"/>
      <c r="WQ39" s="21"/>
      <c r="WR39" s="21"/>
      <c r="WS39" s="21"/>
      <c r="WT39" s="21"/>
      <c r="WU39" s="21"/>
      <c r="WV39" s="21"/>
      <c r="WW39" s="21"/>
      <c r="WX39" s="21"/>
      <c r="WY39" s="21"/>
      <c r="WZ39" s="21"/>
      <c r="XA39" s="21"/>
      <c r="XB39" s="21"/>
      <c r="XC39" s="21"/>
      <c r="XD39" s="21"/>
      <c r="XE39" s="21"/>
      <c r="XF39" s="21"/>
      <c r="XG39" s="21"/>
      <c r="XH39" s="21"/>
      <c r="XI39" s="21"/>
      <c r="XJ39" s="21"/>
      <c r="XK39" s="21"/>
      <c r="XL39" s="21"/>
      <c r="XM39" s="21"/>
      <c r="XN39" s="21"/>
      <c r="XO39" s="21"/>
      <c r="XP39" s="21"/>
      <c r="XQ39" s="21"/>
      <c r="XR39" s="21"/>
      <c r="XS39" s="21"/>
      <c r="XT39" s="21"/>
      <c r="XU39" s="21"/>
      <c r="XV39" s="21"/>
      <c r="XW39" s="21"/>
      <c r="XX39" s="21"/>
      <c r="XY39" s="21"/>
      <c r="XZ39" s="21"/>
      <c r="YA39" s="21"/>
      <c r="YB39" s="21"/>
      <c r="YC39" s="21"/>
      <c r="YD39" s="21"/>
      <c r="YE39" s="21"/>
      <c r="YF39" s="21"/>
      <c r="YG39" s="21"/>
      <c r="YH39" s="21"/>
      <c r="YI39" s="21"/>
      <c r="YJ39" s="21"/>
      <c r="YK39" s="21"/>
      <c r="YL39" s="21"/>
      <c r="YM39" s="21"/>
      <c r="YN39" s="21"/>
      <c r="YO39" s="21"/>
      <c r="YP39" s="21"/>
      <c r="YQ39" s="21"/>
      <c r="YR39" s="21"/>
      <c r="YS39" s="21"/>
      <c r="YT39" s="21"/>
      <c r="YU39" s="21"/>
      <c r="YV39" s="21"/>
      <c r="YW39" s="21"/>
      <c r="YX39" s="21"/>
      <c r="YY39" s="21"/>
      <c r="YZ39" s="21"/>
      <c r="ZA39" s="21"/>
      <c r="ZB39" s="21"/>
      <c r="ZC39" s="21"/>
      <c r="ZD39" s="21"/>
      <c r="ZE39" s="21"/>
      <c r="ZF39" s="21"/>
      <c r="ZG39" s="21"/>
      <c r="ZH39" s="21"/>
      <c r="ZI39" s="21"/>
      <c r="ZJ39" s="21"/>
      <c r="ZK39" s="21"/>
      <c r="ZL39" s="21"/>
      <c r="ZM39" s="21"/>
      <c r="ZN39" s="21"/>
      <c r="ZO39" s="21"/>
      <c r="ZP39" s="21"/>
      <c r="ZQ39" s="21"/>
      <c r="ZR39" s="21"/>
      <c r="ZS39" s="21"/>
      <c r="ZT39" s="21"/>
      <c r="ZU39" s="21"/>
      <c r="ZV39" s="21"/>
      <c r="ZW39" s="21"/>
      <c r="ZX39" s="21"/>
      <c r="ZY39" s="21"/>
      <c r="ZZ39" s="21"/>
      <c r="AAA39" s="21"/>
      <c r="AAB39" s="21"/>
      <c r="AAC39" s="21"/>
      <c r="AAD39" s="21"/>
      <c r="AAE39" s="21"/>
      <c r="AAF39" s="21"/>
      <c r="AAG39" s="21"/>
      <c r="AAH39" s="21"/>
      <c r="AAI39" s="21"/>
      <c r="AAJ39" s="21"/>
      <c r="AAK39" s="21"/>
      <c r="AAL39" s="21"/>
      <c r="AAM39" s="21"/>
      <c r="AAN39" s="21"/>
      <c r="AAO39" s="21"/>
      <c r="AAP39" s="21"/>
      <c r="AAQ39" s="21"/>
      <c r="AAR39" s="21"/>
      <c r="AAS39" s="21"/>
      <c r="AAT39" s="21"/>
      <c r="AAU39" s="21"/>
      <c r="AAV39" s="21"/>
      <c r="AAW39" s="21"/>
      <c r="AAX39" s="21"/>
      <c r="AAY39" s="21"/>
      <c r="AAZ39" s="21"/>
      <c r="ABA39" s="21"/>
      <c r="ABB39" s="21"/>
      <c r="ABC39" s="21"/>
      <c r="ABD39" s="21"/>
      <c r="ABE39" s="21"/>
      <c r="ABF39" s="21"/>
      <c r="ABG39" s="21"/>
      <c r="ABH39" s="21"/>
      <c r="ABI39" s="21"/>
      <c r="ABJ39" s="21"/>
      <c r="ABK39" s="21"/>
      <c r="ABL39" s="21"/>
      <c r="ABM39" s="21"/>
      <c r="ABN39" s="21"/>
      <c r="ABO39" s="21"/>
      <c r="ABP39" s="21"/>
      <c r="ABQ39" s="21"/>
      <c r="ABR39" s="21"/>
      <c r="ABS39" s="21"/>
      <c r="ABT39" s="21"/>
      <c r="ABU39" s="21"/>
      <c r="ABV39" s="21"/>
      <c r="ABW39" s="21"/>
      <c r="ABX39" s="21"/>
      <c r="ABY39" s="21"/>
      <c r="ABZ39" s="21"/>
      <c r="ACA39" s="21"/>
      <c r="ACB39" s="21"/>
      <c r="ACC39" s="21"/>
      <c r="ACD39" s="21"/>
      <c r="ACE39" s="21"/>
      <c r="ACF39" s="21"/>
      <c r="ACG39" s="21"/>
      <c r="ACH39" s="21"/>
      <c r="ACI39" s="21"/>
      <c r="ACJ39" s="21"/>
      <c r="ACK39" s="21"/>
      <c r="ACL39" s="21"/>
      <c r="ACM39" s="21"/>
      <c r="ACN39" s="21"/>
      <c r="ACO39" s="21"/>
      <c r="ACP39" s="21"/>
      <c r="ACQ39" s="21"/>
      <c r="ACR39" s="21"/>
      <c r="ACS39" s="21"/>
      <c r="ACT39" s="21"/>
      <c r="ACU39" s="21"/>
      <c r="ACV39" s="21"/>
      <c r="ACW39" s="21"/>
      <c r="ACX39" s="21"/>
      <c r="ACY39" s="21"/>
      <c r="ACZ39" s="21"/>
      <c r="ADA39" s="21"/>
      <c r="ADB39" s="21"/>
      <c r="ADC39" s="21"/>
      <c r="ADD39" s="21"/>
      <c r="ADE39" s="21"/>
      <c r="ADF39" s="21"/>
      <c r="ADG39" s="21"/>
      <c r="ADH39" s="21"/>
      <c r="ADI39" s="21"/>
      <c r="ADJ39" s="21"/>
      <c r="ADK39" s="21"/>
      <c r="ADL39" s="21"/>
      <c r="ADM39" s="21"/>
      <c r="ADN39" s="21"/>
      <c r="ADO39" s="21"/>
      <c r="ADP39" s="21"/>
      <c r="ADQ39" s="21"/>
      <c r="ADR39" s="21"/>
      <c r="ADS39" s="21"/>
      <c r="ADT39" s="21"/>
      <c r="ADU39" s="21"/>
      <c r="ADV39" s="21"/>
      <c r="ADW39" s="21"/>
      <c r="ADX39" s="21"/>
      <c r="ADY39" s="21"/>
      <c r="ADZ39" s="21"/>
      <c r="AEA39" s="21"/>
      <c r="AEB39" s="21"/>
      <c r="AEC39" s="21"/>
      <c r="AED39" s="21"/>
      <c r="AEE39" s="21"/>
      <c r="AEF39" s="21"/>
      <c r="AEG39" s="21"/>
      <c r="AEH39" s="21"/>
      <c r="AEI39" s="21"/>
      <c r="AEJ39" s="21"/>
      <c r="AEK39" s="21"/>
      <c r="AEL39" s="21"/>
      <c r="AEM39" s="21"/>
      <c r="AEN39" s="21"/>
      <c r="AEO39" s="21"/>
      <c r="AEP39" s="21"/>
      <c r="AEQ39" s="21"/>
      <c r="AER39" s="21"/>
      <c r="AES39" s="21"/>
      <c r="AET39" s="21"/>
      <c r="AEU39" s="21"/>
      <c r="AEV39" s="21"/>
      <c r="AEW39" s="21"/>
      <c r="AEX39" s="21"/>
      <c r="AEY39" s="21"/>
      <c r="AEZ39" s="21"/>
      <c r="AFA39" s="21"/>
      <c r="AFB39" s="21"/>
      <c r="AFC39" s="21"/>
      <c r="AFD39" s="21"/>
      <c r="AFE39" s="21"/>
      <c r="AFF39" s="21"/>
      <c r="AFG39" s="21"/>
      <c r="AFH39" s="21"/>
      <c r="AFI39" s="21"/>
      <c r="AFJ39" s="21"/>
      <c r="AFK39" s="21"/>
      <c r="AFL39" s="21"/>
      <c r="AFM39" s="21"/>
      <c r="AFN39" s="21"/>
      <c r="AFO39" s="21"/>
      <c r="AFP39" s="21"/>
      <c r="AFQ39" s="21"/>
      <c r="AFR39" s="21"/>
      <c r="AFS39" s="21"/>
      <c r="AFT39" s="21"/>
      <c r="AFU39" s="21"/>
      <c r="AFV39" s="21"/>
      <c r="AFW39" s="21"/>
      <c r="AFX39" s="21"/>
      <c r="AFY39" s="21"/>
      <c r="AFZ39" s="21"/>
      <c r="AGA39" s="21"/>
      <c r="AGB39" s="21"/>
      <c r="AGC39" s="21"/>
      <c r="AGD39" s="21"/>
      <c r="AGE39" s="21"/>
      <c r="AGF39" s="21"/>
      <c r="AGG39" s="21"/>
      <c r="AGH39" s="21"/>
      <c r="AGI39" s="21"/>
      <c r="AGJ39" s="21"/>
      <c r="AGK39" s="21"/>
      <c r="AGL39" s="21"/>
      <c r="AGM39" s="21"/>
      <c r="AGN39" s="21"/>
      <c r="AGO39" s="21"/>
      <c r="AGP39" s="21"/>
      <c r="AGQ39" s="21"/>
      <c r="AGR39" s="21"/>
      <c r="AGS39" s="21"/>
      <c r="AGT39" s="21"/>
      <c r="AGU39" s="21"/>
      <c r="AGV39" s="21"/>
      <c r="AGW39" s="21"/>
      <c r="AGX39" s="21"/>
      <c r="AGY39" s="21"/>
      <c r="AGZ39" s="21"/>
      <c r="AHA39" s="21"/>
      <c r="AHB39" s="21"/>
      <c r="AHC39" s="21"/>
      <c r="AHD39" s="21"/>
      <c r="AHE39" s="21"/>
      <c r="AHF39" s="21"/>
      <c r="AHG39" s="21"/>
      <c r="AHH39" s="21"/>
      <c r="AHI39" s="21"/>
      <c r="AHJ39" s="21"/>
      <c r="AHK39" s="21"/>
      <c r="AHL39" s="21"/>
      <c r="AHM39" s="21"/>
      <c r="AHN39" s="21"/>
      <c r="AHO39" s="21"/>
      <c r="AHP39" s="21"/>
      <c r="AHQ39" s="21"/>
      <c r="AHR39" s="21"/>
      <c r="AHS39" s="21"/>
      <c r="AHT39" s="21"/>
      <c r="AHU39" s="21"/>
      <c r="AHV39" s="21"/>
      <c r="AHW39" s="21"/>
      <c r="AHX39" s="21"/>
      <c r="AHY39" s="21"/>
      <c r="AHZ39" s="21"/>
      <c r="AIA39" s="21"/>
      <c r="AIB39" s="21"/>
      <c r="AIC39" s="21"/>
      <c r="AID39" s="21"/>
      <c r="AIE39" s="21"/>
      <c r="AIF39" s="21"/>
      <c r="AIG39" s="21"/>
      <c r="AIH39" s="21"/>
      <c r="AII39" s="21"/>
      <c r="AIJ39" s="21"/>
      <c r="AIK39" s="21"/>
      <c r="AIL39" s="21"/>
      <c r="AIM39" s="21"/>
      <c r="AIN39" s="21"/>
      <c r="AIO39" s="21"/>
      <c r="AIP39" s="21"/>
      <c r="AIQ39" s="21"/>
      <c r="AIR39" s="21"/>
      <c r="AIS39" s="21"/>
      <c r="AIT39" s="21"/>
      <c r="AIU39" s="21"/>
      <c r="AIV39" s="21"/>
      <c r="AIW39" s="21"/>
      <c r="AIX39" s="21"/>
      <c r="AIY39" s="21"/>
      <c r="AIZ39" s="21"/>
      <c r="AJA39" s="21"/>
      <c r="AJB39" s="21"/>
      <c r="AJC39" s="21"/>
      <c r="AJD39" s="21"/>
      <c r="AJE39" s="21"/>
      <c r="AJF39" s="21"/>
      <c r="AJG39" s="21"/>
      <c r="AJH39" s="21"/>
      <c r="AJI39" s="21"/>
      <c r="AJJ39" s="21"/>
      <c r="AJK39" s="21"/>
      <c r="AJL39" s="21"/>
      <c r="AJM39" s="21"/>
      <c r="AJN39" s="21"/>
      <c r="AJO39" s="21"/>
      <c r="AJP39" s="21"/>
      <c r="AJQ39" s="21"/>
      <c r="AJR39" s="21"/>
      <c r="AJS39" s="21"/>
      <c r="AJT39" s="21"/>
      <c r="AJU39" s="21"/>
      <c r="AJV39" s="21"/>
      <c r="AJW39" s="21"/>
      <c r="AJX39" s="21"/>
      <c r="AJY39" s="21"/>
      <c r="AJZ39" s="21"/>
      <c r="AKA39" s="21"/>
      <c r="AKB39" s="21"/>
      <c r="AKC39" s="21"/>
      <c r="AKD39" s="21"/>
      <c r="AKE39" s="21"/>
      <c r="AKF39" s="21"/>
      <c r="AKG39" s="21"/>
      <c r="AKH39" s="21"/>
      <c r="AKI39" s="21"/>
      <c r="AKJ39" s="21"/>
      <c r="AKK39" s="21"/>
      <c r="AKL39" s="21"/>
      <c r="AKM39" s="21"/>
      <c r="AKN39" s="21"/>
      <c r="AKO39" s="21"/>
      <c r="AKP39" s="21"/>
      <c r="AKQ39" s="21"/>
      <c r="AKR39" s="21"/>
      <c r="AKS39" s="21"/>
      <c r="AKT39" s="21"/>
      <c r="AKU39" s="21"/>
      <c r="AKV39" s="21"/>
      <c r="AKW39" s="21"/>
      <c r="AKX39" s="21"/>
      <c r="AKY39" s="21"/>
      <c r="AKZ39" s="21"/>
      <c r="ALA39" s="21"/>
      <c r="ALB39" s="21"/>
      <c r="ALC39" s="21"/>
      <c r="ALD39" s="21"/>
      <c r="ALE39" s="21"/>
      <c r="ALF39" s="21"/>
      <c r="ALG39" s="21"/>
      <c r="ALH39" s="21"/>
      <c r="ALI39" s="21"/>
      <c r="ALJ39" s="21"/>
      <c r="ALK39" s="21"/>
      <c r="ALL39" s="21"/>
      <c r="ALM39" s="21"/>
      <c r="ALN39" s="21"/>
      <c r="ALO39" s="21"/>
      <c r="ALP39" s="21"/>
      <c r="ALQ39" s="21"/>
      <c r="ALR39" s="21"/>
      <c r="ALS39" s="21"/>
      <c r="ALT39" s="21"/>
      <c r="ALU39" s="21"/>
      <c r="ALV39" s="21"/>
      <c r="ALW39" s="21"/>
      <c r="ALX39" s="21"/>
      <c r="ALY39" s="21"/>
      <c r="ALZ39" s="21"/>
      <c r="AMA39" s="21"/>
      <c r="AMB39" s="21"/>
      <c r="AMC39" s="21"/>
      <c r="AMD39" s="21"/>
      <c r="AME39" s="21"/>
      <c r="AMF39" s="21"/>
      <c r="AMG39" s="21"/>
      <c r="AMH39" s="21"/>
      <c r="AMI39" s="21"/>
      <c r="AMJ39" s="21"/>
      <c r="AMK39" s="21"/>
      <c r="AML39" s="21"/>
      <c r="AMM39" s="21"/>
      <c r="AMN39" s="21"/>
      <c r="AMO39" s="21"/>
      <c r="AMP39" s="21"/>
      <c r="AMQ39" s="21"/>
      <c r="AMR39" s="21"/>
      <c r="AMS39" s="21"/>
      <c r="AMT39" s="21"/>
      <c r="AMU39" s="21"/>
      <c r="AMV39" s="21"/>
      <c r="AMW39" s="21"/>
      <c r="AMX39" s="21"/>
      <c r="AMY39" s="21"/>
      <c r="AMZ39" s="21"/>
      <c r="ANA39" s="21"/>
      <c r="ANB39" s="21"/>
      <c r="ANC39" s="21"/>
      <c r="AND39" s="21"/>
      <c r="ANE39" s="21"/>
      <c r="ANF39" s="21"/>
      <c r="ANG39" s="21"/>
      <c r="ANH39" s="21"/>
      <c r="ANI39" s="21"/>
      <c r="ANJ39" s="21"/>
      <c r="ANK39" s="21"/>
      <c r="ANL39" s="21"/>
      <c r="ANM39" s="21"/>
      <c r="ANN39" s="21"/>
      <c r="ANO39" s="21"/>
      <c r="ANP39" s="21"/>
      <c r="ANQ39" s="21"/>
      <c r="ANR39" s="21"/>
      <c r="ANS39" s="21"/>
      <c r="ANT39" s="21"/>
      <c r="ANU39" s="21"/>
      <c r="ANV39" s="21"/>
      <c r="ANW39" s="21"/>
      <c r="ANX39" s="21"/>
      <c r="ANY39" s="21"/>
      <c r="ANZ39" s="21"/>
      <c r="AOA39" s="21"/>
      <c r="AOB39" s="21"/>
      <c r="AOC39" s="21"/>
      <c r="AOD39" s="21"/>
      <c r="AOE39" s="21"/>
      <c r="AOF39" s="21"/>
      <c r="AOG39" s="21"/>
      <c r="AOH39" s="21"/>
      <c r="AOI39" s="21"/>
      <c r="AOJ39" s="21"/>
      <c r="AOK39" s="21"/>
      <c r="AOL39" s="21"/>
      <c r="AOM39" s="21"/>
      <c r="AON39" s="21"/>
      <c r="AOO39" s="21"/>
      <c r="AOP39" s="21"/>
      <c r="AOQ39" s="21"/>
      <c r="AOR39" s="21"/>
      <c r="AOS39" s="21"/>
      <c r="AOT39" s="21"/>
      <c r="AOU39" s="21"/>
      <c r="AOV39" s="21"/>
      <c r="AOW39" s="21"/>
      <c r="AOX39" s="21"/>
      <c r="AOY39" s="21"/>
      <c r="AOZ39" s="21"/>
      <c r="APA39" s="21"/>
      <c r="APB39" s="21"/>
      <c r="APC39" s="21"/>
      <c r="APD39" s="21"/>
      <c r="APE39" s="21"/>
      <c r="APF39" s="21"/>
      <c r="APG39" s="21"/>
      <c r="APH39" s="21"/>
      <c r="API39" s="21"/>
      <c r="APJ39" s="21"/>
      <c r="APK39" s="21"/>
      <c r="APL39" s="21"/>
      <c r="APM39" s="21"/>
      <c r="APN39" s="21"/>
      <c r="APO39" s="21"/>
      <c r="APP39" s="21"/>
      <c r="APQ39" s="21"/>
      <c r="APR39" s="21"/>
      <c r="APS39" s="21"/>
      <c r="APT39" s="21"/>
      <c r="APU39" s="21"/>
      <c r="APV39" s="21"/>
      <c r="APW39" s="21"/>
      <c r="APX39" s="21"/>
      <c r="APY39" s="21"/>
      <c r="APZ39" s="21"/>
      <c r="AQA39" s="21"/>
      <c r="AQB39" s="21"/>
      <c r="AQC39" s="21"/>
      <c r="AQD39" s="21"/>
      <c r="AQE39" s="21"/>
      <c r="AQF39" s="21"/>
      <c r="AQG39" s="21"/>
      <c r="AQH39" s="21"/>
      <c r="AQI39" s="21"/>
      <c r="AQJ39" s="21"/>
      <c r="AQK39" s="21"/>
      <c r="AQL39" s="21"/>
      <c r="AQM39" s="21"/>
      <c r="AQN39" s="21"/>
      <c r="AQO39" s="21"/>
      <c r="AQP39" s="21"/>
      <c r="AQQ39" s="21"/>
      <c r="AQR39" s="21"/>
      <c r="AQS39" s="21"/>
      <c r="AQT39" s="21"/>
      <c r="AQU39" s="21"/>
      <c r="AQV39" s="21"/>
      <c r="AQW39" s="21"/>
      <c r="AQX39" s="21"/>
      <c r="AQY39" s="21"/>
      <c r="AQZ39" s="21"/>
      <c r="ARA39" s="21"/>
      <c r="ARB39" s="21"/>
      <c r="ARC39" s="21"/>
      <c r="ARD39" s="21"/>
      <c r="ARE39" s="21"/>
      <c r="ARF39" s="21"/>
      <c r="ARG39" s="21"/>
      <c r="ARH39" s="21"/>
      <c r="ARI39" s="21"/>
      <c r="ARJ39" s="21"/>
      <c r="ARK39" s="21"/>
      <c r="ARL39" s="21"/>
      <c r="ARM39" s="21"/>
      <c r="ARN39" s="21"/>
      <c r="ARO39" s="21"/>
      <c r="ARP39" s="21"/>
      <c r="ARQ39" s="21"/>
      <c r="ARR39" s="21"/>
      <c r="ARS39" s="21"/>
      <c r="ART39" s="21"/>
      <c r="ARU39" s="21"/>
      <c r="ARV39" s="21"/>
      <c r="ARW39" s="21"/>
      <c r="ARX39" s="21"/>
      <c r="ARY39" s="21"/>
      <c r="ARZ39" s="21"/>
      <c r="ASA39" s="21"/>
      <c r="ASB39" s="21"/>
      <c r="ASC39" s="21"/>
      <c r="ASD39" s="21"/>
      <c r="ASE39" s="21"/>
      <c r="ASF39" s="21"/>
      <c r="ASG39" s="21"/>
      <c r="ASH39" s="21"/>
      <c r="ASI39" s="21"/>
      <c r="ASJ39" s="21"/>
      <c r="ASK39" s="21"/>
      <c r="ASL39" s="21"/>
      <c r="ASM39" s="21"/>
      <c r="ASN39" s="21"/>
      <c r="ASO39" s="21"/>
      <c r="ASP39" s="21"/>
      <c r="ASQ39" s="21"/>
      <c r="ASR39" s="21"/>
      <c r="ASS39" s="21"/>
      <c r="AST39" s="21"/>
      <c r="ASU39" s="21"/>
      <c r="ASV39" s="21"/>
      <c r="ASW39" s="21"/>
      <c r="ASX39" s="21"/>
      <c r="ASY39" s="21"/>
      <c r="ASZ39" s="21"/>
      <c r="ATA39" s="21"/>
      <c r="ATB39" s="21"/>
      <c r="ATC39" s="21"/>
      <c r="ATD39" s="21"/>
      <c r="ATE39" s="21"/>
      <c r="ATF39" s="21"/>
      <c r="ATG39" s="21"/>
      <c r="ATH39" s="21"/>
      <c r="ATI39" s="21"/>
      <c r="ATJ39" s="21"/>
      <c r="ATK39" s="21"/>
      <c r="ATL39" s="21"/>
      <c r="ATM39" s="21"/>
      <c r="ATN39" s="21"/>
      <c r="ATO39" s="21"/>
      <c r="ATP39" s="21"/>
      <c r="ATQ39" s="21"/>
      <c r="ATR39" s="21"/>
      <c r="ATS39" s="21"/>
      <c r="ATT39" s="21"/>
      <c r="ATU39" s="21"/>
      <c r="ATV39" s="21"/>
      <c r="ATW39" s="21"/>
      <c r="ATX39" s="21"/>
      <c r="ATY39" s="21"/>
      <c r="ATZ39" s="21"/>
      <c r="AUA39" s="21"/>
      <c r="AUB39" s="21"/>
      <c r="AUC39" s="21"/>
      <c r="AUD39" s="21"/>
      <c r="AUE39" s="21"/>
      <c r="AUF39" s="21"/>
      <c r="AUG39" s="21"/>
      <c r="AUH39" s="21"/>
      <c r="AUI39" s="21"/>
      <c r="AUJ39" s="21"/>
      <c r="AUK39" s="21"/>
      <c r="AUL39" s="21"/>
      <c r="AUM39" s="21"/>
      <c r="AUN39" s="21"/>
      <c r="AUO39" s="21"/>
      <c r="AUP39" s="21"/>
      <c r="AUQ39" s="21"/>
      <c r="AUR39" s="21"/>
      <c r="AUS39" s="21"/>
      <c r="AUT39" s="21"/>
      <c r="AUU39" s="21"/>
      <c r="AUV39" s="21"/>
      <c r="AUW39" s="21"/>
      <c r="AUX39" s="21"/>
      <c r="AUY39" s="21"/>
      <c r="AUZ39" s="21"/>
      <c r="AVA39" s="21"/>
      <c r="AVB39" s="21"/>
      <c r="AVC39" s="21"/>
      <c r="AVD39" s="21"/>
      <c r="AVE39" s="21"/>
      <c r="AVF39" s="21"/>
      <c r="AVG39" s="21"/>
      <c r="AVH39" s="21"/>
      <c r="AVI39" s="21"/>
      <c r="AVJ39" s="21"/>
      <c r="AVK39" s="21"/>
      <c r="AVL39" s="21"/>
      <c r="AVM39" s="21"/>
      <c r="AVN39" s="21"/>
      <c r="AVO39" s="21"/>
      <c r="AVP39" s="21"/>
      <c r="AVQ39" s="21"/>
      <c r="AVR39" s="21"/>
      <c r="AVS39" s="21"/>
      <c r="AVT39" s="21"/>
      <c r="AVU39" s="21"/>
      <c r="AVV39" s="21"/>
      <c r="AVW39" s="21"/>
      <c r="AVX39" s="21"/>
      <c r="AVY39" s="21"/>
      <c r="AVZ39" s="21"/>
      <c r="AWA39" s="21"/>
      <c r="AWB39" s="21"/>
      <c r="AWC39" s="21"/>
      <c r="AWD39" s="21"/>
      <c r="AWE39" s="21"/>
      <c r="AWF39" s="21"/>
      <c r="AWG39" s="21"/>
      <c r="AWH39" s="21"/>
      <c r="AWI39" s="21"/>
      <c r="AWJ39" s="21"/>
      <c r="AWK39" s="21"/>
      <c r="AWL39" s="21"/>
      <c r="AWM39" s="21"/>
      <c r="AWN39" s="21"/>
      <c r="AWO39" s="21"/>
      <c r="AWP39" s="21"/>
      <c r="AWQ39" s="21"/>
      <c r="AWR39" s="21"/>
      <c r="AWS39" s="21"/>
      <c r="AWT39" s="21"/>
      <c r="AWU39" s="21"/>
      <c r="AWV39" s="21"/>
      <c r="AWW39" s="21"/>
      <c r="AWX39" s="21"/>
      <c r="AWY39" s="21"/>
      <c r="AWZ39" s="21"/>
      <c r="AXA39" s="21"/>
      <c r="AXB39" s="21"/>
      <c r="AXC39" s="21"/>
      <c r="AXD39" s="21"/>
      <c r="AXE39" s="21"/>
      <c r="AXF39" s="21"/>
      <c r="AXG39" s="21"/>
      <c r="AXH39" s="21"/>
      <c r="AXI39" s="21"/>
      <c r="AXJ39" s="21"/>
      <c r="AXK39" s="21"/>
      <c r="AXL39" s="21"/>
      <c r="AXM39" s="21"/>
      <c r="AXN39" s="21"/>
      <c r="AXO39" s="21"/>
      <c r="AXP39" s="21"/>
      <c r="AXQ39" s="21"/>
      <c r="AXR39" s="21"/>
      <c r="AXS39" s="21"/>
      <c r="AXT39" s="21"/>
      <c r="AXU39" s="21"/>
      <c r="AXV39" s="21"/>
      <c r="AXW39" s="21"/>
      <c r="AXX39" s="21"/>
      <c r="AXY39" s="21"/>
      <c r="AXZ39" s="21"/>
      <c r="AYA39" s="21"/>
      <c r="AYB39" s="21"/>
      <c r="AYC39" s="21"/>
      <c r="AYD39" s="21"/>
      <c r="AYE39" s="21"/>
      <c r="AYF39" s="21"/>
      <c r="AYG39" s="21"/>
      <c r="AYH39" s="21"/>
      <c r="AYI39" s="21"/>
      <c r="AYJ39" s="21"/>
      <c r="AYK39" s="21"/>
      <c r="AYL39" s="21"/>
      <c r="AYM39" s="21"/>
      <c r="AYN39" s="21"/>
      <c r="AYO39" s="21"/>
      <c r="AYP39" s="21"/>
      <c r="AYQ39" s="21"/>
      <c r="AYR39" s="21"/>
      <c r="AYS39" s="21"/>
      <c r="AYT39" s="21"/>
      <c r="AYU39" s="21"/>
      <c r="AYV39" s="21"/>
      <c r="AYW39" s="21"/>
      <c r="AYX39" s="21"/>
      <c r="AYY39" s="21"/>
      <c r="AYZ39" s="21"/>
      <c r="AZA39" s="21"/>
      <c r="AZB39" s="21"/>
      <c r="AZC39" s="21"/>
      <c r="AZD39" s="21"/>
      <c r="AZE39" s="21"/>
      <c r="AZF39" s="21"/>
      <c r="AZG39" s="21"/>
      <c r="AZH39" s="21"/>
      <c r="AZI39" s="21"/>
      <c r="AZJ39" s="21"/>
      <c r="AZK39" s="21"/>
      <c r="AZL39" s="21"/>
      <c r="AZM39" s="21"/>
      <c r="AZN39" s="21"/>
      <c r="AZO39" s="21"/>
      <c r="AZP39" s="21"/>
      <c r="AZQ39" s="21"/>
      <c r="AZR39" s="21"/>
      <c r="AZS39" s="21"/>
      <c r="AZT39" s="21"/>
      <c r="AZU39" s="21"/>
      <c r="AZV39" s="21"/>
      <c r="AZW39" s="21"/>
      <c r="AZX39" s="21"/>
      <c r="AZY39" s="21"/>
      <c r="AZZ39" s="21"/>
      <c r="BAA39" s="21"/>
      <c r="BAB39" s="21"/>
      <c r="BAC39" s="21"/>
      <c r="BAD39" s="21"/>
      <c r="BAE39" s="21"/>
      <c r="BAF39" s="21"/>
      <c r="BAG39" s="21"/>
      <c r="BAH39" s="21"/>
      <c r="BAI39" s="21"/>
      <c r="BAJ39" s="21"/>
      <c r="BAK39" s="21"/>
      <c r="BAL39" s="21"/>
      <c r="BAM39" s="21"/>
      <c r="BAN39" s="21"/>
      <c r="BAO39" s="21"/>
      <c r="BAP39" s="21"/>
      <c r="BAQ39" s="21"/>
      <c r="BAR39" s="21"/>
      <c r="BAS39" s="21"/>
      <c r="BAT39" s="21"/>
      <c r="BAU39" s="21"/>
      <c r="BAV39" s="21"/>
      <c r="BAW39" s="21"/>
      <c r="BAX39" s="21"/>
      <c r="BAY39" s="21"/>
      <c r="BAZ39" s="21"/>
      <c r="BBA39" s="21"/>
      <c r="BBB39" s="21"/>
      <c r="BBC39" s="21"/>
      <c r="BBD39" s="21"/>
      <c r="BBE39" s="21"/>
      <c r="BBF39" s="21"/>
      <c r="BBG39" s="21"/>
      <c r="BBH39" s="21"/>
      <c r="BBI39" s="21"/>
      <c r="BBJ39" s="21"/>
      <c r="BBK39" s="21"/>
      <c r="BBL39" s="21"/>
      <c r="BBM39" s="21"/>
      <c r="BBN39" s="21"/>
      <c r="BBO39" s="21"/>
      <c r="BBP39" s="21"/>
      <c r="BBQ39" s="21"/>
      <c r="BBR39" s="21"/>
      <c r="BBS39" s="21"/>
      <c r="BBT39" s="21"/>
      <c r="BBU39" s="21"/>
      <c r="BBV39" s="21"/>
      <c r="BBW39" s="21"/>
      <c r="BBX39" s="21"/>
      <c r="BBY39" s="21"/>
      <c r="BBZ39" s="21"/>
      <c r="BCA39" s="21"/>
      <c r="BCB39" s="21"/>
      <c r="BCC39" s="21"/>
      <c r="BCD39" s="21"/>
      <c r="BCE39" s="21"/>
      <c r="BCF39" s="21"/>
      <c r="BCG39" s="21"/>
      <c r="BCH39" s="21"/>
      <c r="BCI39" s="21"/>
      <c r="BCJ39" s="21"/>
      <c r="BCK39" s="21"/>
      <c r="BCL39" s="21"/>
      <c r="BCM39" s="21"/>
      <c r="BCN39" s="21"/>
      <c r="BCO39" s="21"/>
      <c r="BCP39" s="21"/>
      <c r="BCQ39" s="21"/>
      <c r="BCR39" s="21"/>
      <c r="BCS39" s="21"/>
      <c r="BCT39" s="21"/>
      <c r="BCU39" s="21"/>
      <c r="BCV39" s="21"/>
      <c r="BCW39" s="21"/>
      <c r="BCX39" s="21"/>
      <c r="BCY39" s="21"/>
      <c r="BCZ39" s="21"/>
      <c r="BDA39" s="21"/>
      <c r="BDB39" s="21"/>
      <c r="BDC39" s="21"/>
      <c r="BDD39" s="21"/>
      <c r="BDE39" s="21"/>
      <c r="BDF39" s="21"/>
      <c r="BDG39" s="21"/>
      <c r="BDH39" s="21"/>
      <c r="BDI39" s="21"/>
      <c r="BDJ39" s="21"/>
      <c r="BDK39" s="21"/>
      <c r="BDL39" s="21"/>
      <c r="BDM39" s="21"/>
      <c r="BDN39" s="21"/>
      <c r="BDO39" s="21"/>
      <c r="BDP39" s="21"/>
      <c r="BDQ39" s="21"/>
      <c r="BDR39" s="21"/>
      <c r="BDS39" s="21"/>
      <c r="BDT39" s="21"/>
      <c r="BDU39" s="21"/>
      <c r="BDV39" s="21"/>
      <c r="BDW39" s="21"/>
      <c r="BDX39" s="21"/>
      <c r="BDY39" s="21"/>
      <c r="BDZ39" s="21"/>
      <c r="BEA39" s="21"/>
      <c r="BEB39" s="21"/>
      <c r="BEC39" s="21"/>
      <c r="BED39" s="21"/>
      <c r="BEE39" s="21"/>
      <c r="BEF39" s="21"/>
      <c r="BEG39" s="21"/>
      <c r="BEH39" s="21"/>
      <c r="BEI39" s="21"/>
      <c r="BEJ39" s="21"/>
      <c r="BEK39" s="21"/>
      <c r="BEL39" s="21"/>
      <c r="BEM39" s="21"/>
      <c r="BEN39" s="21"/>
      <c r="BEO39" s="21"/>
      <c r="BEP39" s="21"/>
      <c r="BEQ39" s="21"/>
      <c r="BER39" s="21"/>
      <c r="BES39" s="21"/>
      <c r="BET39" s="21"/>
      <c r="BEU39" s="21"/>
      <c r="BEV39" s="21"/>
      <c r="BEW39" s="21"/>
      <c r="BEX39" s="21"/>
      <c r="BEY39" s="21"/>
      <c r="BEZ39" s="21"/>
      <c r="BFA39" s="21"/>
      <c r="BFB39" s="21"/>
      <c r="BFC39" s="21"/>
      <c r="BFD39" s="21"/>
      <c r="BFE39" s="21"/>
      <c r="BFF39" s="21"/>
      <c r="BFG39" s="21"/>
      <c r="BFH39" s="21"/>
      <c r="BFI39" s="21"/>
      <c r="BFJ39" s="21"/>
      <c r="BFK39" s="21"/>
      <c r="BFL39" s="21"/>
      <c r="BFM39" s="21"/>
      <c r="BFN39" s="21"/>
      <c r="BFO39" s="21"/>
      <c r="BFP39" s="21"/>
      <c r="BFQ39" s="21"/>
      <c r="BFR39" s="21"/>
      <c r="BFS39" s="21"/>
      <c r="BFT39" s="21"/>
      <c r="BFU39" s="21"/>
      <c r="BFV39" s="21"/>
      <c r="BFW39" s="21"/>
      <c r="BFX39" s="21"/>
      <c r="BFY39" s="21"/>
      <c r="BFZ39" s="21"/>
      <c r="BGA39" s="21"/>
      <c r="BGB39" s="21"/>
      <c r="BGC39" s="21"/>
      <c r="BGD39" s="21"/>
      <c r="BGE39" s="21"/>
      <c r="BGF39" s="21"/>
      <c r="BGG39" s="21"/>
      <c r="BGH39" s="21"/>
      <c r="BGI39" s="21"/>
      <c r="BGJ39" s="21"/>
      <c r="BGK39" s="21"/>
      <c r="BGL39" s="21"/>
      <c r="BGM39" s="21"/>
      <c r="BGN39" s="21"/>
      <c r="BGO39" s="21"/>
      <c r="BGP39" s="21"/>
      <c r="BGQ39" s="21"/>
      <c r="BGR39" s="21"/>
      <c r="BGS39" s="21"/>
      <c r="BGT39" s="21"/>
      <c r="BGU39" s="21"/>
      <c r="BGV39" s="21"/>
      <c r="BGW39" s="21"/>
      <c r="BGX39" s="21"/>
      <c r="BGY39" s="21"/>
      <c r="BGZ39" s="21"/>
      <c r="BHA39" s="21"/>
      <c r="BHB39" s="21"/>
      <c r="BHC39" s="21"/>
      <c r="BHD39" s="21"/>
      <c r="BHE39" s="21"/>
      <c r="BHF39" s="21"/>
      <c r="BHG39" s="21"/>
      <c r="BHH39" s="21"/>
      <c r="BHI39" s="21"/>
      <c r="BHJ39" s="21"/>
      <c r="BHK39" s="21"/>
      <c r="BHL39" s="21"/>
      <c r="BHM39" s="21"/>
      <c r="BHN39" s="21"/>
      <c r="BHO39" s="21"/>
      <c r="BHP39" s="21"/>
      <c r="BHQ39" s="21"/>
      <c r="BHR39" s="21"/>
      <c r="BHS39" s="21"/>
      <c r="BHT39" s="21"/>
      <c r="BHU39" s="21"/>
      <c r="BHV39" s="21"/>
      <c r="BHW39" s="21"/>
      <c r="BHX39" s="21"/>
      <c r="BHY39" s="21"/>
      <c r="BHZ39" s="21"/>
      <c r="BIA39" s="21"/>
      <c r="BIB39" s="21"/>
      <c r="BIC39" s="21"/>
      <c r="BID39" s="21"/>
      <c r="BIE39" s="21"/>
      <c r="BIF39" s="21"/>
      <c r="BIG39" s="21"/>
      <c r="BIH39" s="21"/>
      <c r="BII39" s="21"/>
      <c r="BIJ39" s="21"/>
      <c r="BIK39" s="21"/>
      <c r="BIL39" s="21"/>
      <c r="BIM39" s="21"/>
      <c r="BIN39" s="21"/>
      <c r="BIO39" s="21"/>
      <c r="BIP39" s="21"/>
      <c r="BIQ39" s="21"/>
      <c r="BIR39" s="21"/>
      <c r="BIS39" s="21"/>
      <c r="BIT39" s="21"/>
      <c r="BIU39" s="21"/>
      <c r="BIV39" s="21"/>
      <c r="BIW39" s="21"/>
      <c r="BIX39" s="21"/>
      <c r="BIY39" s="21"/>
      <c r="BIZ39" s="21"/>
      <c r="BJA39" s="21"/>
      <c r="BJB39" s="21"/>
      <c r="BJC39" s="21"/>
      <c r="BJD39" s="21"/>
      <c r="BJE39" s="21"/>
      <c r="BJF39" s="21"/>
      <c r="BJG39" s="21"/>
      <c r="BJH39" s="21"/>
      <c r="BJI39" s="21"/>
      <c r="BJJ39" s="21"/>
      <c r="BJK39" s="21"/>
      <c r="BJL39" s="21"/>
      <c r="BJM39" s="21"/>
      <c r="BJN39" s="21"/>
      <c r="BJO39" s="21"/>
      <c r="BJP39" s="21"/>
      <c r="BJQ39" s="21"/>
      <c r="BJR39" s="21"/>
      <c r="BJS39" s="21"/>
      <c r="BJT39" s="21"/>
      <c r="BJU39" s="21"/>
      <c r="BJV39" s="21"/>
      <c r="BJW39" s="21"/>
      <c r="BJX39" s="21"/>
      <c r="BJY39" s="21"/>
      <c r="BJZ39" s="21"/>
      <c r="BKA39" s="21"/>
      <c r="BKB39" s="21"/>
      <c r="BKC39" s="21"/>
      <c r="BKD39" s="21"/>
      <c r="BKE39" s="21"/>
      <c r="BKF39" s="21"/>
      <c r="BKG39" s="21"/>
      <c r="BKH39" s="21"/>
      <c r="BKI39" s="21"/>
      <c r="BKJ39" s="21"/>
      <c r="BKK39" s="21"/>
      <c r="BKL39" s="21"/>
      <c r="BKM39" s="21"/>
      <c r="BKN39" s="21"/>
      <c r="BKO39" s="21"/>
      <c r="BKP39" s="21"/>
      <c r="BKQ39" s="21"/>
      <c r="BKR39" s="21"/>
      <c r="BKS39" s="21"/>
      <c r="BKT39" s="21"/>
      <c r="BKU39" s="21"/>
      <c r="BKV39" s="21"/>
      <c r="BKW39" s="21"/>
      <c r="BKX39" s="21"/>
      <c r="BKY39" s="21"/>
      <c r="BKZ39" s="21"/>
      <c r="BLA39" s="21"/>
      <c r="BLB39" s="21"/>
      <c r="BLC39" s="21"/>
      <c r="BLD39" s="21"/>
      <c r="BLE39" s="21"/>
      <c r="BLF39" s="21"/>
      <c r="BLG39" s="21"/>
      <c r="BLH39" s="21"/>
      <c r="BLI39" s="21"/>
      <c r="BLJ39" s="21"/>
      <c r="BLK39" s="21"/>
      <c r="BLL39" s="21"/>
      <c r="BLM39" s="21"/>
      <c r="BLN39" s="21"/>
      <c r="BLO39" s="21"/>
      <c r="BLP39" s="21"/>
      <c r="BLQ39" s="21"/>
      <c r="BLR39" s="21"/>
      <c r="BLS39" s="21"/>
      <c r="BLT39" s="21"/>
      <c r="BLU39" s="21"/>
      <c r="BLV39" s="21"/>
      <c r="BLW39" s="21"/>
      <c r="BLX39" s="21"/>
      <c r="BLY39" s="21"/>
      <c r="BLZ39" s="21"/>
      <c r="BMA39" s="21"/>
      <c r="BMB39" s="21"/>
      <c r="BMC39" s="21"/>
      <c r="BMD39" s="21"/>
      <c r="BME39" s="21"/>
      <c r="BMF39" s="21"/>
      <c r="BMG39" s="21"/>
      <c r="BMH39" s="21"/>
      <c r="BMI39" s="21"/>
      <c r="BMJ39" s="21"/>
      <c r="BMK39" s="21"/>
      <c r="BML39" s="21"/>
      <c r="BMM39" s="21"/>
      <c r="BMN39" s="21"/>
      <c r="BMO39" s="21"/>
      <c r="BMP39" s="21"/>
      <c r="BMQ39" s="21"/>
      <c r="BMR39" s="21"/>
      <c r="BMS39" s="21"/>
      <c r="BMT39" s="21"/>
      <c r="BMU39" s="21"/>
      <c r="BMV39" s="21"/>
      <c r="BMW39" s="21"/>
      <c r="BMX39" s="21"/>
      <c r="BMY39" s="21"/>
      <c r="BMZ39" s="21"/>
      <c r="BNA39" s="21"/>
      <c r="BNB39" s="21"/>
      <c r="BNC39" s="21"/>
      <c r="BND39" s="21"/>
      <c r="BNE39" s="21"/>
      <c r="BNF39" s="21"/>
      <c r="BNG39" s="21"/>
      <c r="BNH39" s="21"/>
      <c r="BNI39" s="21"/>
      <c r="BNJ39" s="21"/>
      <c r="BNK39" s="21"/>
      <c r="BNL39" s="21"/>
      <c r="BNM39" s="21"/>
      <c r="BNN39" s="21"/>
      <c r="BNO39" s="21"/>
      <c r="BNP39" s="21"/>
      <c r="BNQ39" s="21"/>
      <c r="BNR39" s="21"/>
      <c r="BNS39" s="21"/>
      <c r="BNT39" s="21"/>
      <c r="BNU39" s="21"/>
      <c r="BNV39" s="21"/>
      <c r="BNW39" s="21"/>
      <c r="BNX39" s="21"/>
      <c r="BNY39" s="21"/>
      <c r="BNZ39" s="21"/>
      <c r="BOA39" s="21"/>
      <c r="BOB39" s="21"/>
      <c r="BOC39" s="21"/>
      <c r="BOD39" s="21"/>
      <c r="BOE39" s="21"/>
      <c r="BOF39" s="21"/>
      <c r="BOG39" s="21"/>
      <c r="BOH39" s="21"/>
      <c r="BOI39" s="21"/>
      <c r="BOJ39" s="21"/>
      <c r="BOK39" s="21"/>
      <c r="BOL39" s="21"/>
      <c r="BOM39" s="21"/>
      <c r="BON39" s="21"/>
      <c r="BOO39" s="21"/>
      <c r="BOP39" s="21"/>
      <c r="BOQ39" s="21"/>
      <c r="BOR39" s="21"/>
      <c r="BOS39" s="21"/>
      <c r="BOT39" s="21"/>
      <c r="BOU39" s="21"/>
      <c r="BOV39" s="21"/>
      <c r="BOW39" s="21"/>
      <c r="BOX39" s="21"/>
      <c r="BOY39" s="21"/>
      <c r="BOZ39" s="21"/>
      <c r="BPA39" s="21"/>
      <c r="BPB39" s="21"/>
      <c r="BPC39" s="21"/>
      <c r="BPD39" s="21"/>
      <c r="BPE39" s="21"/>
      <c r="BPF39" s="21"/>
      <c r="BPG39" s="21"/>
      <c r="BPH39" s="21"/>
      <c r="BPI39" s="21"/>
      <c r="BPJ39" s="21"/>
      <c r="BPK39" s="21"/>
      <c r="BPL39" s="21"/>
      <c r="BPM39" s="21"/>
      <c r="BPN39" s="21"/>
      <c r="BPO39" s="21"/>
      <c r="BPP39" s="21"/>
      <c r="BPQ39" s="21"/>
      <c r="BPR39" s="21"/>
      <c r="BPS39" s="21"/>
      <c r="BPT39" s="21"/>
      <c r="BPU39" s="21"/>
      <c r="BPV39" s="21"/>
      <c r="BPW39" s="21"/>
      <c r="BPX39" s="21"/>
      <c r="BPY39" s="21"/>
      <c r="BPZ39" s="21"/>
      <c r="BQA39" s="21"/>
      <c r="BQB39" s="21"/>
      <c r="BQC39" s="21"/>
      <c r="BQD39" s="21"/>
      <c r="BQE39" s="21"/>
      <c r="BQF39" s="21"/>
      <c r="BQG39" s="21"/>
      <c r="BQH39" s="21"/>
      <c r="BQI39" s="21"/>
      <c r="BQJ39" s="21"/>
      <c r="BQK39" s="21"/>
      <c r="BQL39" s="21"/>
      <c r="BQM39" s="21"/>
      <c r="BQN39" s="21"/>
      <c r="BQO39" s="21"/>
      <c r="BQP39" s="21"/>
      <c r="BQQ39" s="21"/>
      <c r="BQR39" s="21"/>
      <c r="BQS39" s="21"/>
      <c r="BQT39" s="21"/>
      <c r="BQU39" s="21"/>
      <c r="BQV39" s="21"/>
      <c r="BQW39" s="21"/>
      <c r="BQX39" s="21"/>
      <c r="BQY39" s="21"/>
      <c r="BQZ39" s="21"/>
      <c r="BRA39" s="21"/>
      <c r="BRB39" s="21"/>
      <c r="BRC39" s="21"/>
      <c r="BRD39" s="21"/>
      <c r="BRE39" s="21"/>
      <c r="BRF39" s="21"/>
      <c r="BRG39" s="21"/>
      <c r="BRH39" s="21"/>
      <c r="BRI39" s="21"/>
      <c r="BRJ39" s="21"/>
      <c r="BRK39" s="21"/>
      <c r="BRL39" s="21"/>
      <c r="BRM39" s="21"/>
      <c r="BRN39" s="21"/>
      <c r="BRO39" s="21"/>
      <c r="BRP39" s="21"/>
      <c r="BRQ39" s="21"/>
      <c r="BRR39" s="21"/>
      <c r="BRS39" s="21"/>
      <c r="BRT39" s="21"/>
      <c r="BRU39" s="21"/>
      <c r="BRV39" s="21"/>
      <c r="BRW39" s="21"/>
      <c r="BRX39" s="21"/>
      <c r="BRY39" s="21"/>
      <c r="BRZ39" s="21"/>
      <c r="BSA39" s="21"/>
      <c r="BSB39" s="21"/>
      <c r="BSC39" s="21"/>
      <c r="BSD39" s="21"/>
      <c r="BSE39" s="21"/>
      <c r="BSF39" s="21"/>
      <c r="BSG39" s="21"/>
      <c r="BSH39" s="21"/>
      <c r="BSI39" s="21"/>
      <c r="BSJ39" s="21"/>
      <c r="BSK39" s="21"/>
      <c r="BSL39" s="21"/>
      <c r="BSM39" s="21"/>
      <c r="BSN39" s="21"/>
      <c r="BSO39" s="21"/>
      <c r="BSP39" s="21"/>
      <c r="BSQ39" s="21"/>
      <c r="BSR39" s="21"/>
      <c r="BSS39" s="21"/>
      <c r="BST39" s="21"/>
      <c r="BSU39" s="21"/>
      <c r="BSV39" s="21"/>
      <c r="BSW39" s="21"/>
      <c r="BSX39" s="21"/>
      <c r="BSY39" s="21"/>
      <c r="BSZ39" s="21"/>
      <c r="BTA39" s="21"/>
      <c r="BTB39" s="21"/>
      <c r="BTC39" s="21"/>
      <c r="BTD39" s="21"/>
      <c r="BTE39" s="21"/>
      <c r="BTF39" s="21"/>
      <c r="BTG39" s="21"/>
      <c r="BTH39" s="21"/>
      <c r="BTI39" s="21"/>
      <c r="BTJ39" s="21"/>
      <c r="BTK39" s="21"/>
      <c r="BTL39" s="21"/>
      <c r="BTM39" s="21"/>
      <c r="BTN39" s="21"/>
      <c r="BTO39" s="21"/>
      <c r="BTP39" s="21"/>
      <c r="BTQ39" s="21"/>
      <c r="BTR39" s="21"/>
      <c r="BTS39" s="21"/>
      <c r="BTT39" s="21"/>
      <c r="BTU39" s="21"/>
      <c r="BTV39" s="21"/>
      <c r="BTW39" s="21"/>
      <c r="BTX39" s="21"/>
      <c r="BTY39" s="21"/>
      <c r="BTZ39" s="21"/>
      <c r="BUA39" s="21"/>
      <c r="BUB39" s="21"/>
      <c r="BUC39" s="21"/>
      <c r="BUD39" s="21"/>
      <c r="BUE39" s="21"/>
      <c r="BUF39" s="21"/>
      <c r="BUG39" s="21"/>
      <c r="BUH39" s="21"/>
      <c r="BUI39" s="21"/>
      <c r="BUJ39" s="21"/>
      <c r="BUK39" s="21"/>
      <c r="BUL39" s="21"/>
      <c r="BUM39" s="21"/>
      <c r="BUN39" s="21"/>
      <c r="BUO39" s="21"/>
      <c r="BUP39" s="21"/>
      <c r="BUQ39" s="21"/>
      <c r="BUR39" s="21"/>
      <c r="BUS39" s="21"/>
      <c r="BUT39" s="21"/>
      <c r="BUU39" s="21"/>
      <c r="BUV39" s="21"/>
      <c r="BUW39" s="21"/>
      <c r="BUX39" s="21"/>
      <c r="BUY39" s="21"/>
      <c r="BUZ39" s="21"/>
      <c r="BVA39" s="21"/>
      <c r="BVB39" s="21"/>
      <c r="BVC39" s="21"/>
      <c r="BVD39" s="21"/>
      <c r="BVE39" s="21"/>
      <c r="BVF39" s="21"/>
      <c r="BVG39" s="21"/>
      <c r="BVH39" s="21"/>
      <c r="BVI39" s="21"/>
      <c r="BVJ39" s="21"/>
      <c r="BVK39" s="21"/>
      <c r="BVL39" s="21"/>
      <c r="BVM39" s="21"/>
      <c r="BVN39" s="21"/>
      <c r="BVO39" s="21"/>
      <c r="BVP39" s="21"/>
      <c r="BVQ39" s="21"/>
      <c r="BVR39" s="21"/>
      <c r="BVS39" s="21"/>
      <c r="BVT39" s="21"/>
      <c r="BVU39" s="21"/>
      <c r="BVV39" s="21"/>
      <c r="BVW39" s="21"/>
      <c r="BVX39" s="21"/>
      <c r="BVY39" s="21"/>
      <c r="BVZ39" s="21"/>
      <c r="BWA39" s="21"/>
      <c r="BWB39" s="21"/>
      <c r="BWC39" s="21"/>
      <c r="BWD39" s="21"/>
      <c r="BWE39" s="21"/>
      <c r="BWF39" s="21"/>
      <c r="BWG39" s="21"/>
      <c r="BWH39" s="21"/>
      <c r="BWI39" s="21"/>
      <c r="BWJ39" s="21"/>
      <c r="BWK39" s="21"/>
      <c r="BWL39" s="21"/>
      <c r="BWM39" s="21"/>
      <c r="BWN39" s="21"/>
      <c r="BWO39" s="21"/>
      <c r="BWP39" s="21"/>
      <c r="BWQ39" s="21"/>
      <c r="BWR39" s="21"/>
      <c r="BWS39" s="21"/>
      <c r="BWT39" s="21"/>
      <c r="BWU39" s="21"/>
      <c r="BWV39" s="21"/>
      <c r="BWW39" s="21"/>
      <c r="BWX39" s="21"/>
      <c r="BWY39" s="21"/>
      <c r="BWZ39" s="21"/>
      <c r="BXA39" s="21"/>
      <c r="BXB39" s="21"/>
      <c r="BXC39" s="21"/>
      <c r="BXD39" s="21"/>
      <c r="BXE39" s="21"/>
      <c r="BXF39" s="21"/>
      <c r="BXG39" s="21"/>
      <c r="BXH39" s="21"/>
      <c r="BXI39" s="21"/>
      <c r="BXJ39" s="21"/>
      <c r="BXK39" s="21"/>
      <c r="BXL39" s="21"/>
      <c r="BXM39" s="21"/>
      <c r="BXN39" s="21"/>
      <c r="BXO39" s="21"/>
      <c r="BXP39" s="21"/>
      <c r="BXQ39" s="21"/>
      <c r="BXR39" s="21"/>
      <c r="BXS39" s="21"/>
      <c r="BXT39" s="21"/>
      <c r="BXU39" s="21"/>
      <c r="BXV39" s="21"/>
      <c r="BXW39" s="21"/>
      <c r="BXX39" s="21"/>
      <c r="BXY39" s="21"/>
      <c r="BXZ39" s="21"/>
      <c r="BYA39" s="21"/>
      <c r="BYB39" s="21"/>
      <c r="BYC39" s="21"/>
      <c r="BYD39" s="21"/>
      <c r="BYE39" s="21"/>
      <c r="BYF39" s="21"/>
      <c r="BYG39" s="21"/>
      <c r="BYH39" s="21"/>
      <c r="BYI39" s="21"/>
      <c r="BYJ39" s="21"/>
      <c r="BYK39" s="21"/>
      <c r="BYL39" s="21"/>
      <c r="BYM39" s="21"/>
      <c r="BYN39" s="21"/>
      <c r="BYO39" s="21"/>
      <c r="BYP39" s="21"/>
      <c r="BYQ39" s="21"/>
      <c r="BYR39" s="21"/>
      <c r="BYS39" s="21"/>
      <c r="BYT39" s="21"/>
      <c r="BYU39" s="21"/>
      <c r="BYV39" s="21"/>
      <c r="BYW39" s="21"/>
      <c r="BYX39" s="21"/>
      <c r="BYY39" s="21"/>
      <c r="BYZ39" s="21"/>
      <c r="BZA39" s="21"/>
      <c r="BZB39" s="21"/>
      <c r="BZC39" s="21"/>
      <c r="BZD39" s="21"/>
      <c r="BZE39" s="21"/>
      <c r="BZF39" s="21"/>
      <c r="BZG39" s="21"/>
      <c r="BZH39" s="21"/>
      <c r="BZI39" s="21"/>
      <c r="BZJ39" s="21"/>
      <c r="BZK39" s="21"/>
      <c r="BZL39" s="21"/>
      <c r="BZM39" s="21"/>
      <c r="BZN39" s="21"/>
      <c r="BZO39" s="21"/>
      <c r="BZP39" s="21"/>
      <c r="BZQ39" s="21"/>
      <c r="BZR39" s="21"/>
      <c r="BZS39" s="21"/>
      <c r="BZT39" s="21"/>
      <c r="BZU39" s="21"/>
      <c r="BZV39" s="21"/>
      <c r="BZW39" s="21"/>
      <c r="BZX39" s="21"/>
      <c r="BZY39" s="21"/>
      <c r="BZZ39" s="21"/>
      <c r="CAA39" s="21"/>
      <c r="CAB39" s="21"/>
      <c r="CAC39" s="21"/>
      <c r="CAD39" s="21"/>
      <c r="CAE39" s="21"/>
      <c r="CAF39" s="21"/>
      <c r="CAG39" s="21"/>
      <c r="CAH39" s="21"/>
      <c r="CAI39" s="21"/>
      <c r="CAJ39" s="21"/>
      <c r="CAK39" s="21"/>
      <c r="CAL39" s="21"/>
      <c r="CAM39" s="21"/>
      <c r="CAN39" s="21"/>
      <c r="CAO39" s="21"/>
      <c r="CAP39" s="21"/>
      <c r="CAQ39" s="21"/>
      <c r="CAR39" s="21"/>
      <c r="CAS39" s="21"/>
      <c r="CAT39" s="21"/>
      <c r="CAU39" s="21"/>
      <c r="CAV39" s="21"/>
      <c r="CAW39" s="21"/>
      <c r="CAX39" s="21"/>
      <c r="CAY39" s="21"/>
      <c r="CAZ39" s="21"/>
      <c r="CBA39" s="21"/>
      <c r="CBB39" s="21"/>
      <c r="CBC39" s="21"/>
      <c r="CBD39" s="21"/>
      <c r="CBE39" s="21"/>
      <c r="CBF39" s="21"/>
      <c r="CBG39" s="21"/>
      <c r="CBH39" s="21"/>
      <c r="CBI39" s="21"/>
      <c r="CBJ39" s="21"/>
      <c r="CBK39" s="21"/>
      <c r="CBL39" s="21"/>
      <c r="CBM39" s="21"/>
      <c r="CBN39" s="21"/>
      <c r="CBO39" s="21"/>
      <c r="CBP39" s="21"/>
      <c r="CBQ39" s="21"/>
      <c r="CBR39" s="21"/>
      <c r="CBS39" s="21"/>
      <c r="CBT39" s="21"/>
      <c r="CBU39" s="21"/>
      <c r="CBV39" s="21"/>
      <c r="CBW39" s="21"/>
      <c r="CBX39" s="21"/>
      <c r="CBY39" s="21"/>
      <c r="CBZ39" s="21"/>
      <c r="CCA39" s="21"/>
      <c r="CCB39" s="21"/>
      <c r="CCC39" s="21"/>
      <c r="CCD39" s="21"/>
      <c r="CCE39" s="21"/>
      <c r="CCF39" s="21"/>
      <c r="CCG39" s="21"/>
      <c r="CCH39" s="21"/>
      <c r="CCI39" s="21"/>
      <c r="CCJ39" s="21"/>
      <c r="CCK39" s="21"/>
      <c r="CCL39" s="21"/>
      <c r="CCM39" s="21"/>
      <c r="CCN39" s="21"/>
      <c r="CCO39" s="21"/>
      <c r="CCP39" s="21"/>
      <c r="CCQ39" s="21"/>
      <c r="CCR39" s="21"/>
      <c r="CCS39" s="21"/>
      <c r="CCT39" s="21"/>
      <c r="CCU39" s="21"/>
      <c r="CCV39" s="21"/>
      <c r="CCW39" s="21"/>
      <c r="CCX39" s="21"/>
      <c r="CCY39" s="21"/>
      <c r="CCZ39" s="21"/>
      <c r="CDA39" s="21"/>
      <c r="CDB39" s="21"/>
      <c r="CDC39" s="21"/>
      <c r="CDD39" s="21"/>
      <c r="CDE39" s="21"/>
      <c r="CDF39" s="21"/>
      <c r="CDG39" s="21"/>
      <c r="CDH39" s="21"/>
      <c r="CDI39" s="21"/>
      <c r="CDJ39" s="21"/>
      <c r="CDK39" s="21"/>
      <c r="CDL39" s="21"/>
      <c r="CDM39" s="21"/>
      <c r="CDN39" s="21"/>
      <c r="CDO39" s="21"/>
      <c r="CDP39" s="21"/>
      <c r="CDQ39" s="21"/>
      <c r="CDR39" s="21"/>
      <c r="CDS39" s="21"/>
      <c r="CDT39" s="21"/>
      <c r="CDU39" s="21"/>
      <c r="CDV39" s="21"/>
      <c r="CDW39" s="21"/>
      <c r="CDX39" s="21"/>
      <c r="CDY39" s="21"/>
      <c r="CDZ39" s="21"/>
      <c r="CEA39" s="21"/>
      <c r="CEB39" s="21"/>
      <c r="CEC39" s="21"/>
      <c r="CED39" s="21"/>
      <c r="CEE39" s="21"/>
      <c r="CEF39" s="21"/>
      <c r="CEG39" s="21"/>
      <c r="CEH39" s="21"/>
      <c r="CEI39" s="21"/>
      <c r="CEJ39" s="21"/>
      <c r="CEK39" s="21"/>
      <c r="CEL39" s="21"/>
      <c r="CEM39" s="21"/>
      <c r="CEN39" s="21"/>
      <c r="CEO39" s="21"/>
      <c r="CEP39" s="21"/>
      <c r="CEQ39" s="21"/>
      <c r="CER39" s="21"/>
      <c r="CES39" s="21"/>
      <c r="CET39" s="21"/>
      <c r="CEU39" s="21"/>
      <c r="CEV39" s="21"/>
      <c r="CEW39" s="21"/>
      <c r="CEX39" s="21"/>
      <c r="CEY39" s="21"/>
      <c r="CEZ39" s="21"/>
      <c r="CFA39" s="21"/>
      <c r="CFB39" s="21"/>
      <c r="CFC39" s="21"/>
      <c r="CFD39" s="21"/>
      <c r="CFE39" s="21"/>
      <c r="CFF39" s="21"/>
      <c r="CFG39" s="21"/>
      <c r="CFH39" s="21"/>
      <c r="CFI39" s="21"/>
      <c r="CFJ39" s="21"/>
      <c r="CFK39" s="21"/>
      <c r="CFL39" s="21"/>
      <c r="CFM39" s="21"/>
      <c r="CFN39" s="21"/>
      <c r="CFO39" s="21"/>
      <c r="CFP39" s="21"/>
      <c r="CFQ39" s="21"/>
      <c r="CFR39" s="21"/>
      <c r="CFS39" s="21"/>
      <c r="CFT39" s="21"/>
      <c r="CFU39" s="21"/>
      <c r="CFV39" s="21"/>
      <c r="CFW39" s="21"/>
      <c r="CFX39" s="21"/>
      <c r="CFY39" s="21"/>
      <c r="CFZ39" s="21"/>
      <c r="CGA39" s="21"/>
      <c r="CGB39" s="21"/>
      <c r="CGC39" s="21"/>
      <c r="CGD39" s="21"/>
      <c r="CGE39" s="21"/>
      <c r="CGF39" s="21"/>
      <c r="CGG39" s="21"/>
      <c r="CGH39" s="21"/>
      <c r="CGI39" s="21"/>
      <c r="CGJ39" s="21"/>
      <c r="CGK39" s="21"/>
      <c r="CGL39" s="21"/>
      <c r="CGM39" s="21"/>
      <c r="CGN39" s="21"/>
      <c r="CGO39" s="21"/>
      <c r="CGP39" s="21"/>
      <c r="CGQ39" s="21"/>
      <c r="CGR39" s="21"/>
      <c r="CGS39" s="21"/>
      <c r="CGT39" s="21"/>
      <c r="CGU39" s="21"/>
      <c r="CGV39" s="21"/>
      <c r="CGW39" s="21"/>
      <c r="CGX39" s="21"/>
      <c r="CGY39" s="21"/>
      <c r="CGZ39" s="21"/>
      <c r="CHA39" s="21"/>
      <c r="CHB39" s="21"/>
      <c r="CHC39" s="21"/>
      <c r="CHD39" s="21"/>
      <c r="CHE39" s="21"/>
      <c r="CHF39" s="21"/>
      <c r="CHG39" s="21"/>
      <c r="CHH39" s="21"/>
      <c r="CHI39" s="21"/>
      <c r="CHJ39" s="21"/>
      <c r="CHK39" s="21"/>
      <c r="CHL39" s="21"/>
      <c r="CHM39" s="21"/>
      <c r="CHN39" s="21"/>
      <c r="CHO39" s="21"/>
      <c r="CHP39" s="21"/>
      <c r="CHQ39" s="21"/>
      <c r="CHR39" s="21"/>
      <c r="CHS39" s="21"/>
      <c r="CHT39" s="21"/>
      <c r="CHU39" s="21"/>
      <c r="CHV39" s="21"/>
      <c r="CHW39" s="21"/>
      <c r="CHX39" s="21"/>
      <c r="CHY39" s="21"/>
      <c r="CHZ39" s="21"/>
      <c r="CIA39" s="21"/>
      <c r="CIB39" s="21"/>
      <c r="CIC39" s="21"/>
      <c r="CID39" s="21"/>
      <c r="CIE39" s="21"/>
      <c r="CIF39" s="21"/>
      <c r="CIG39" s="21"/>
      <c r="CIH39" s="21"/>
      <c r="CII39" s="21"/>
      <c r="CIJ39" s="21"/>
      <c r="CIK39" s="21"/>
      <c r="CIL39" s="21"/>
      <c r="CIM39" s="21"/>
      <c r="CIN39" s="21"/>
      <c r="CIO39" s="21"/>
      <c r="CIP39" s="21"/>
      <c r="CIQ39" s="21"/>
      <c r="CIR39" s="21"/>
      <c r="CIS39" s="21"/>
      <c r="CIT39" s="21"/>
      <c r="CIU39" s="21"/>
      <c r="CIV39" s="21"/>
      <c r="CIW39" s="21"/>
      <c r="CIX39" s="21"/>
      <c r="CIY39" s="21"/>
      <c r="CIZ39" s="21"/>
      <c r="CJA39" s="21"/>
      <c r="CJB39" s="21"/>
      <c r="CJC39" s="21"/>
      <c r="CJD39" s="21"/>
      <c r="CJE39" s="21"/>
      <c r="CJF39" s="21"/>
      <c r="CJG39" s="21"/>
      <c r="CJH39" s="21"/>
      <c r="CJI39" s="21"/>
      <c r="CJJ39" s="21"/>
      <c r="CJK39" s="21"/>
      <c r="CJL39" s="21"/>
      <c r="CJM39" s="21"/>
      <c r="CJN39" s="21"/>
      <c r="CJO39" s="21"/>
      <c r="CJP39" s="21"/>
      <c r="CJQ39" s="21"/>
      <c r="CJR39" s="21"/>
      <c r="CJS39" s="21"/>
      <c r="CJT39" s="21"/>
      <c r="CJU39" s="21"/>
      <c r="CJV39" s="21"/>
      <c r="CJW39" s="21"/>
      <c r="CJX39" s="21"/>
      <c r="CJY39" s="21"/>
      <c r="CJZ39" s="21"/>
      <c r="CKA39" s="21"/>
      <c r="CKB39" s="21"/>
      <c r="CKC39" s="21"/>
      <c r="CKD39" s="21"/>
      <c r="CKE39" s="21"/>
      <c r="CKF39" s="21"/>
      <c r="CKG39" s="21"/>
      <c r="CKH39" s="21"/>
      <c r="CKI39" s="21"/>
      <c r="CKJ39" s="21"/>
      <c r="CKK39" s="21"/>
      <c r="CKL39" s="21"/>
      <c r="CKM39" s="21"/>
      <c r="CKN39" s="21"/>
      <c r="CKO39" s="21"/>
      <c r="CKP39" s="21"/>
      <c r="CKQ39" s="21"/>
      <c r="CKR39" s="21"/>
      <c r="CKS39" s="21"/>
      <c r="CKT39" s="21"/>
      <c r="CKU39" s="21"/>
      <c r="CKV39" s="21"/>
      <c r="CKW39" s="21"/>
      <c r="CKX39" s="21"/>
      <c r="CKY39" s="21"/>
      <c r="CKZ39" s="21"/>
      <c r="CLA39" s="21"/>
      <c r="CLB39" s="21"/>
      <c r="CLC39" s="21"/>
      <c r="CLD39" s="21"/>
      <c r="CLE39" s="21"/>
      <c r="CLF39" s="21"/>
      <c r="CLG39" s="21"/>
      <c r="CLH39" s="21"/>
      <c r="CLI39" s="21"/>
      <c r="CLJ39" s="21"/>
      <c r="CLK39" s="21"/>
      <c r="CLL39" s="21"/>
      <c r="CLM39" s="21"/>
      <c r="CLN39" s="21"/>
      <c r="CLO39" s="21"/>
      <c r="CLP39" s="21"/>
      <c r="CLQ39" s="21"/>
      <c r="CLR39" s="21"/>
      <c r="CLS39" s="21"/>
      <c r="CLT39" s="21"/>
      <c r="CLU39" s="21"/>
      <c r="CLV39" s="21"/>
      <c r="CLW39" s="21"/>
      <c r="CLX39" s="21"/>
      <c r="CLY39" s="21"/>
      <c r="CLZ39" s="21"/>
      <c r="CMA39" s="21"/>
      <c r="CMB39" s="21"/>
      <c r="CMC39" s="21"/>
      <c r="CMD39" s="21"/>
      <c r="CME39" s="21"/>
      <c r="CMF39" s="21"/>
      <c r="CMG39" s="21"/>
      <c r="CMH39" s="21"/>
      <c r="CMI39" s="21"/>
      <c r="CMJ39" s="21"/>
      <c r="CMK39" s="21"/>
      <c r="CML39" s="21"/>
      <c r="CMM39" s="21"/>
      <c r="CMN39" s="21"/>
      <c r="CMO39" s="21"/>
      <c r="CMP39" s="21"/>
      <c r="CMQ39" s="21"/>
      <c r="CMR39" s="21"/>
      <c r="CMS39" s="21"/>
      <c r="CMT39" s="21"/>
      <c r="CMU39" s="21"/>
      <c r="CMV39" s="21"/>
      <c r="CMW39" s="21"/>
      <c r="CMX39" s="21"/>
      <c r="CMY39" s="21"/>
      <c r="CMZ39" s="21"/>
      <c r="CNA39" s="21"/>
      <c r="CNB39" s="21"/>
      <c r="CNC39" s="21"/>
      <c r="CND39" s="21"/>
      <c r="CNE39" s="21"/>
      <c r="CNF39" s="21"/>
      <c r="CNG39" s="21"/>
      <c r="CNH39" s="21"/>
      <c r="CNI39" s="21"/>
      <c r="CNJ39" s="21"/>
      <c r="CNK39" s="21"/>
      <c r="CNL39" s="21"/>
      <c r="CNM39" s="21"/>
      <c r="CNN39" s="21"/>
      <c r="CNO39" s="21"/>
      <c r="CNP39" s="21"/>
      <c r="CNQ39" s="21"/>
      <c r="CNR39" s="21"/>
      <c r="CNS39" s="21"/>
      <c r="CNT39" s="21"/>
      <c r="CNU39" s="21"/>
      <c r="CNV39" s="21"/>
      <c r="CNW39" s="21"/>
      <c r="CNX39" s="21"/>
      <c r="CNY39" s="21"/>
      <c r="CNZ39" s="21"/>
      <c r="COA39" s="21"/>
      <c r="COB39" s="21"/>
      <c r="COC39" s="21"/>
      <c r="COD39" s="21"/>
      <c r="COE39" s="21"/>
      <c r="COF39" s="21"/>
      <c r="COG39" s="21"/>
      <c r="COH39" s="21"/>
      <c r="COI39" s="21"/>
      <c r="COJ39" s="21"/>
      <c r="COK39" s="21"/>
      <c r="COL39" s="21"/>
      <c r="COM39" s="21"/>
      <c r="CON39" s="21"/>
      <c r="COO39" s="21"/>
      <c r="COP39" s="21"/>
      <c r="COQ39" s="21"/>
      <c r="COR39" s="21"/>
      <c r="COS39" s="21"/>
      <c r="COT39" s="21"/>
      <c r="COU39" s="21"/>
      <c r="COV39" s="21"/>
      <c r="COW39" s="21"/>
      <c r="COX39" s="21"/>
      <c r="COY39" s="21"/>
      <c r="COZ39" s="21"/>
      <c r="CPA39" s="21"/>
      <c r="CPB39" s="21"/>
      <c r="CPC39" s="21"/>
      <c r="CPD39" s="21"/>
      <c r="CPE39" s="21"/>
      <c r="CPF39" s="21"/>
      <c r="CPG39" s="21"/>
      <c r="CPH39" s="21"/>
      <c r="CPI39" s="21"/>
      <c r="CPJ39" s="21"/>
      <c r="CPK39" s="21"/>
      <c r="CPL39" s="21"/>
      <c r="CPM39" s="21"/>
      <c r="CPN39" s="21"/>
      <c r="CPO39" s="21"/>
      <c r="CPP39" s="21"/>
      <c r="CPQ39" s="21"/>
      <c r="CPR39" s="21"/>
      <c r="CPS39" s="21"/>
      <c r="CPT39" s="21"/>
      <c r="CPU39" s="21"/>
      <c r="CPV39" s="21"/>
      <c r="CPW39" s="21"/>
      <c r="CPX39" s="21"/>
      <c r="CPY39" s="21"/>
      <c r="CPZ39" s="21"/>
      <c r="CQA39" s="21"/>
      <c r="CQB39" s="21"/>
      <c r="CQC39" s="21"/>
      <c r="CQD39" s="21"/>
      <c r="CQE39" s="21"/>
      <c r="CQF39" s="21"/>
      <c r="CQG39" s="21"/>
      <c r="CQH39" s="21"/>
      <c r="CQI39" s="21"/>
      <c r="CQJ39" s="21"/>
      <c r="CQK39" s="21"/>
      <c r="CQL39" s="21"/>
      <c r="CQM39" s="21"/>
      <c r="CQN39" s="21"/>
      <c r="CQO39" s="21"/>
      <c r="CQP39" s="21"/>
      <c r="CQQ39" s="21"/>
      <c r="CQR39" s="21"/>
      <c r="CQS39" s="21"/>
      <c r="CQT39" s="21"/>
      <c r="CQU39" s="21"/>
      <c r="CQV39" s="21"/>
      <c r="CQW39" s="21"/>
      <c r="CQX39" s="21"/>
      <c r="CQY39" s="21"/>
      <c r="CQZ39" s="21"/>
      <c r="CRA39" s="21"/>
      <c r="CRB39" s="21"/>
      <c r="CRC39" s="21"/>
      <c r="CRD39" s="21"/>
      <c r="CRE39" s="21"/>
      <c r="CRF39" s="21"/>
      <c r="CRG39" s="21"/>
      <c r="CRH39" s="21"/>
      <c r="CRI39" s="21"/>
      <c r="CRJ39" s="21"/>
      <c r="CRK39" s="21"/>
      <c r="CRL39" s="21"/>
      <c r="CRM39" s="21"/>
      <c r="CRN39" s="21"/>
      <c r="CRO39" s="21"/>
      <c r="CRP39" s="21"/>
      <c r="CRQ39" s="21"/>
      <c r="CRR39" s="21"/>
      <c r="CRS39" s="21"/>
      <c r="CRT39" s="21"/>
      <c r="CRU39" s="21"/>
      <c r="CRV39" s="21"/>
      <c r="CRW39" s="21"/>
      <c r="CRX39" s="21"/>
      <c r="CRY39" s="21"/>
      <c r="CRZ39" s="21"/>
      <c r="CSA39" s="21"/>
      <c r="CSB39" s="21"/>
      <c r="CSC39" s="21"/>
      <c r="CSD39" s="21"/>
      <c r="CSE39" s="21"/>
      <c r="CSF39" s="21"/>
      <c r="CSG39" s="21"/>
      <c r="CSH39" s="21"/>
      <c r="CSI39" s="21"/>
      <c r="CSJ39" s="21"/>
      <c r="CSK39" s="21"/>
      <c r="CSL39" s="21"/>
      <c r="CSM39" s="21"/>
      <c r="CSN39" s="21"/>
      <c r="CSO39" s="21"/>
      <c r="CSP39" s="21"/>
      <c r="CSQ39" s="21"/>
      <c r="CSR39" s="21"/>
      <c r="CSS39" s="21"/>
      <c r="CST39" s="21"/>
      <c r="CSU39" s="21"/>
      <c r="CSV39" s="21"/>
      <c r="CSW39" s="21"/>
      <c r="CSX39" s="21"/>
      <c r="CSY39" s="21"/>
      <c r="CSZ39" s="21"/>
      <c r="CTA39" s="21"/>
      <c r="CTB39" s="21"/>
      <c r="CTC39" s="21"/>
      <c r="CTD39" s="21"/>
      <c r="CTE39" s="21"/>
      <c r="CTF39" s="21"/>
      <c r="CTG39" s="21"/>
      <c r="CTH39" s="21"/>
      <c r="CTI39" s="21"/>
      <c r="CTJ39" s="21"/>
      <c r="CTK39" s="21"/>
      <c r="CTL39" s="21"/>
      <c r="CTM39" s="21"/>
      <c r="CTN39" s="21"/>
      <c r="CTO39" s="21"/>
      <c r="CTP39" s="21"/>
      <c r="CTQ39" s="21"/>
      <c r="CTR39" s="21"/>
      <c r="CTS39" s="21"/>
      <c r="CTT39" s="21"/>
      <c r="CTU39" s="21"/>
      <c r="CTV39" s="21"/>
      <c r="CTW39" s="21"/>
      <c r="CTX39" s="21"/>
      <c r="CTY39" s="21"/>
      <c r="CTZ39" s="21"/>
      <c r="CUA39" s="21"/>
      <c r="CUB39" s="21"/>
      <c r="CUC39" s="21"/>
      <c r="CUD39" s="21"/>
      <c r="CUE39" s="21"/>
      <c r="CUF39" s="21"/>
      <c r="CUG39" s="21"/>
      <c r="CUH39" s="21"/>
      <c r="CUI39" s="21"/>
      <c r="CUJ39" s="21"/>
      <c r="CUK39" s="21"/>
      <c r="CUL39" s="21"/>
      <c r="CUM39" s="21"/>
      <c r="CUN39" s="21"/>
      <c r="CUO39" s="21"/>
      <c r="CUP39" s="21"/>
      <c r="CUQ39" s="21"/>
      <c r="CUR39" s="21"/>
      <c r="CUS39" s="21"/>
      <c r="CUT39" s="21"/>
      <c r="CUU39" s="21"/>
      <c r="CUV39" s="21"/>
      <c r="CUW39" s="21"/>
      <c r="CUX39" s="21"/>
      <c r="CUY39" s="21"/>
      <c r="CUZ39" s="21"/>
      <c r="CVA39" s="21"/>
      <c r="CVB39" s="21"/>
      <c r="CVC39" s="21"/>
      <c r="CVD39" s="21"/>
      <c r="CVE39" s="21"/>
      <c r="CVF39" s="21"/>
      <c r="CVG39" s="21"/>
      <c r="CVH39" s="21"/>
      <c r="CVI39" s="21"/>
      <c r="CVJ39" s="21"/>
      <c r="CVK39" s="21"/>
      <c r="CVL39" s="21"/>
      <c r="CVM39" s="21"/>
      <c r="CVN39" s="21"/>
      <c r="CVO39" s="21"/>
      <c r="CVP39" s="21"/>
      <c r="CVQ39" s="21"/>
      <c r="CVR39" s="21"/>
      <c r="CVS39" s="21"/>
      <c r="CVT39" s="21"/>
      <c r="CVU39" s="21"/>
      <c r="CVV39" s="21"/>
      <c r="CVW39" s="21"/>
      <c r="CVX39" s="21"/>
      <c r="CVY39" s="21"/>
      <c r="CVZ39" s="21"/>
      <c r="CWA39" s="21"/>
      <c r="CWB39" s="21"/>
      <c r="CWC39" s="21"/>
      <c r="CWD39" s="21"/>
      <c r="CWE39" s="21"/>
      <c r="CWF39" s="21"/>
      <c r="CWG39" s="21"/>
      <c r="CWH39" s="21"/>
      <c r="CWI39" s="21"/>
      <c r="CWJ39" s="21"/>
      <c r="CWK39" s="21"/>
      <c r="CWL39" s="21"/>
      <c r="CWM39" s="21"/>
      <c r="CWN39" s="21"/>
      <c r="CWO39" s="21"/>
      <c r="CWP39" s="21"/>
      <c r="CWQ39" s="21"/>
      <c r="CWR39" s="21"/>
      <c r="CWS39" s="21"/>
      <c r="CWT39" s="21"/>
      <c r="CWU39" s="21"/>
      <c r="CWV39" s="21"/>
      <c r="CWW39" s="21"/>
      <c r="CWX39" s="21"/>
      <c r="CWY39" s="21"/>
      <c r="CWZ39" s="21"/>
      <c r="CXA39" s="21"/>
      <c r="CXB39" s="21"/>
      <c r="CXC39" s="21"/>
      <c r="CXD39" s="21"/>
      <c r="CXE39" s="21"/>
      <c r="CXF39" s="21"/>
      <c r="CXG39" s="21"/>
      <c r="CXH39" s="21"/>
      <c r="CXI39" s="21"/>
      <c r="CXJ39" s="21"/>
      <c r="CXK39" s="21"/>
      <c r="CXL39" s="21"/>
      <c r="CXM39" s="21"/>
      <c r="CXN39" s="21"/>
      <c r="CXO39" s="21"/>
      <c r="CXP39" s="21"/>
      <c r="CXQ39" s="21"/>
      <c r="CXR39" s="21"/>
      <c r="CXS39" s="21"/>
      <c r="CXT39" s="21"/>
      <c r="CXU39" s="21"/>
      <c r="CXV39" s="21"/>
      <c r="CXW39" s="21"/>
      <c r="CXX39" s="21"/>
      <c r="CXY39" s="21"/>
      <c r="CXZ39" s="21"/>
      <c r="CYA39" s="21"/>
      <c r="CYB39" s="21"/>
      <c r="CYC39" s="21"/>
      <c r="CYD39" s="21"/>
      <c r="CYE39" s="21"/>
      <c r="CYF39" s="21"/>
      <c r="CYG39" s="21"/>
      <c r="CYH39" s="21"/>
      <c r="CYI39" s="21"/>
      <c r="CYJ39" s="21"/>
      <c r="CYK39" s="21"/>
      <c r="CYL39" s="21"/>
      <c r="CYM39" s="21"/>
      <c r="CYN39" s="21"/>
      <c r="CYO39" s="21"/>
      <c r="CYP39" s="21"/>
      <c r="CYQ39" s="21"/>
      <c r="CYR39" s="21"/>
      <c r="CYS39" s="21"/>
      <c r="CYT39" s="21"/>
      <c r="CYU39" s="21"/>
      <c r="CYV39" s="21"/>
      <c r="CYW39" s="21"/>
      <c r="CYX39" s="21"/>
      <c r="CYY39" s="21"/>
      <c r="CYZ39" s="21"/>
      <c r="CZA39" s="21"/>
      <c r="CZB39" s="21"/>
      <c r="CZC39" s="21"/>
      <c r="CZD39" s="21"/>
      <c r="CZE39" s="21"/>
      <c r="CZF39" s="21"/>
      <c r="CZG39" s="21"/>
      <c r="CZH39" s="21"/>
      <c r="CZI39" s="21"/>
      <c r="CZJ39" s="21"/>
      <c r="CZK39" s="21"/>
      <c r="CZL39" s="21"/>
      <c r="CZM39" s="21"/>
      <c r="CZN39" s="21"/>
      <c r="CZO39" s="21"/>
      <c r="CZP39" s="21"/>
      <c r="CZQ39" s="21"/>
      <c r="CZR39" s="21"/>
      <c r="CZS39" s="21"/>
      <c r="CZT39" s="21"/>
      <c r="CZU39" s="21"/>
      <c r="CZV39" s="21"/>
      <c r="CZW39" s="21"/>
      <c r="CZX39" s="21"/>
      <c r="CZY39" s="21"/>
      <c r="CZZ39" s="21"/>
      <c r="DAA39" s="21"/>
      <c r="DAB39" s="21"/>
      <c r="DAC39" s="21"/>
      <c r="DAD39" s="21"/>
      <c r="DAE39" s="21"/>
      <c r="DAF39" s="21"/>
      <c r="DAG39" s="21"/>
      <c r="DAH39" s="21"/>
      <c r="DAI39" s="21"/>
      <c r="DAJ39" s="21"/>
      <c r="DAK39" s="21"/>
      <c r="DAL39" s="21"/>
      <c r="DAM39" s="21"/>
      <c r="DAN39" s="21"/>
      <c r="DAO39" s="21"/>
      <c r="DAP39" s="21"/>
      <c r="DAQ39" s="21"/>
      <c r="DAR39" s="21"/>
      <c r="DAS39" s="21"/>
      <c r="DAT39" s="21"/>
      <c r="DAU39" s="21"/>
      <c r="DAV39" s="21"/>
      <c r="DAW39" s="21"/>
      <c r="DAX39" s="21"/>
      <c r="DAY39" s="21"/>
      <c r="DAZ39" s="21"/>
      <c r="DBA39" s="21"/>
      <c r="DBB39" s="21"/>
      <c r="DBC39" s="21"/>
      <c r="DBD39" s="21"/>
      <c r="DBE39" s="21"/>
      <c r="DBF39" s="21"/>
      <c r="DBG39" s="21"/>
      <c r="DBH39" s="21"/>
      <c r="DBI39" s="21"/>
      <c r="DBJ39" s="21"/>
      <c r="DBK39" s="21"/>
      <c r="DBL39" s="21"/>
      <c r="DBM39" s="21"/>
      <c r="DBN39" s="21"/>
      <c r="DBO39" s="21"/>
      <c r="DBP39" s="21"/>
      <c r="DBQ39" s="21"/>
      <c r="DBR39" s="21"/>
      <c r="DBS39" s="21"/>
      <c r="DBT39" s="21"/>
      <c r="DBU39" s="21"/>
      <c r="DBV39" s="21"/>
      <c r="DBW39" s="21"/>
      <c r="DBX39" s="21"/>
      <c r="DBY39" s="21"/>
      <c r="DBZ39" s="21"/>
      <c r="DCA39" s="21"/>
      <c r="DCB39" s="21"/>
      <c r="DCC39" s="21"/>
      <c r="DCD39" s="21"/>
      <c r="DCE39" s="21"/>
      <c r="DCF39" s="21"/>
      <c r="DCG39" s="21"/>
      <c r="DCH39" s="21"/>
      <c r="DCI39" s="21"/>
      <c r="DCJ39" s="21"/>
      <c r="DCK39" s="21"/>
      <c r="DCL39" s="21"/>
      <c r="DCM39" s="21"/>
      <c r="DCN39" s="21"/>
      <c r="DCO39" s="21"/>
      <c r="DCP39" s="21"/>
      <c r="DCQ39" s="21"/>
      <c r="DCR39" s="21"/>
      <c r="DCS39" s="21"/>
      <c r="DCT39" s="21"/>
      <c r="DCU39" s="21"/>
      <c r="DCV39" s="21"/>
      <c r="DCW39" s="21"/>
      <c r="DCX39" s="21"/>
      <c r="DCY39" s="21"/>
      <c r="DCZ39" s="21"/>
      <c r="DDA39" s="21"/>
      <c r="DDB39" s="21"/>
      <c r="DDC39" s="21"/>
      <c r="DDD39" s="21"/>
      <c r="DDE39" s="21"/>
      <c r="DDF39" s="21"/>
      <c r="DDG39" s="21"/>
      <c r="DDH39" s="21"/>
      <c r="DDI39" s="21"/>
      <c r="DDJ39" s="21"/>
      <c r="DDK39" s="21"/>
      <c r="DDL39" s="21"/>
      <c r="DDM39" s="21"/>
      <c r="DDN39" s="21"/>
      <c r="DDO39" s="21"/>
      <c r="DDP39" s="21"/>
      <c r="DDQ39" s="21"/>
      <c r="DDR39" s="21"/>
      <c r="DDS39" s="21"/>
      <c r="DDT39" s="21"/>
      <c r="DDU39" s="21"/>
      <c r="DDV39" s="21"/>
      <c r="DDW39" s="21"/>
      <c r="DDX39" s="21"/>
      <c r="DDY39" s="21"/>
      <c r="DDZ39" s="21"/>
      <c r="DEA39" s="21"/>
      <c r="DEB39" s="21"/>
      <c r="DEC39" s="21"/>
      <c r="DED39" s="21"/>
      <c r="DEE39" s="21"/>
      <c r="DEF39" s="21"/>
      <c r="DEG39" s="21"/>
      <c r="DEH39" s="21"/>
      <c r="DEI39" s="21"/>
      <c r="DEJ39" s="21"/>
      <c r="DEK39" s="21"/>
      <c r="DEL39" s="21"/>
      <c r="DEM39" s="21"/>
      <c r="DEN39" s="21"/>
      <c r="DEO39" s="21"/>
      <c r="DEP39" s="21"/>
      <c r="DEQ39" s="21"/>
      <c r="DER39" s="21"/>
      <c r="DES39" s="21"/>
      <c r="DET39" s="21"/>
      <c r="DEU39" s="21"/>
      <c r="DEV39" s="21"/>
      <c r="DEW39" s="21"/>
      <c r="DEX39" s="21"/>
      <c r="DEY39" s="21"/>
      <c r="DEZ39" s="21"/>
      <c r="DFA39" s="21"/>
      <c r="DFB39" s="21"/>
      <c r="DFC39" s="21"/>
      <c r="DFD39" s="21"/>
      <c r="DFE39" s="21"/>
      <c r="DFF39" s="21"/>
      <c r="DFG39" s="21"/>
      <c r="DFH39" s="21"/>
      <c r="DFI39" s="21"/>
      <c r="DFJ39" s="21"/>
      <c r="DFK39" s="21"/>
      <c r="DFL39" s="21"/>
      <c r="DFM39" s="21"/>
      <c r="DFN39" s="21"/>
      <c r="DFO39" s="21"/>
      <c r="DFP39" s="21"/>
      <c r="DFQ39" s="21"/>
      <c r="DFR39" s="21"/>
      <c r="DFS39" s="21"/>
      <c r="DFT39" s="21"/>
      <c r="DFU39" s="21"/>
      <c r="DFV39" s="21"/>
      <c r="DFW39" s="21"/>
      <c r="DFX39" s="21"/>
      <c r="DFY39" s="21"/>
      <c r="DFZ39" s="21"/>
      <c r="DGA39" s="21"/>
      <c r="DGB39" s="21"/>
      <c r="DGC39" s="21"/>
      <c r="DGD39" s="21"/>
      <c r="DGE39" s="21"/>
      <c r="DGF39" s="21"/>
      <c r="DGG39" s="21"/>
      <c r="DGH39" s="21"/>
      <c r="DGI39" s="21"/>
      <c r="DGJ39" s="21"/>
      <c r="DGK39" s="21"/>
      <c r="DGL39" s="21"/>
      <c r="DGM39" s="21"/>
      <c r="DGN39" s="21"/>
      <c r="DGO39" s="21"/>
      <c r="DGP39" s="21"/>
      <c r="DGQ39" s="21"/>
      <c r="DGR39" s="21"/>
      <c r="DGS39" s="21"/>
      <c r="DGT39" s="21"/>
      <c r="DGU39" s="21"/>
      <c r="DGV39" s="21"/>
      <c r="DGW39" s="21"/>
      <c r="DGX39" s="21"/>
      <c r="DGY39" s="21"/>
      <c r="DGZ39" s="21"/>
      <c r="DHA39" s="21"/>
      <c r="DHB39" s="21"/>
      <c r="DHC39" s="21"/>
      <c r="DHD39" s="21"/>
      <c r="DHE39" s="21"/>
      <c r="DHF39" s="21"/>
      <c r="DHG39" s="21"/>
      <c r="DHH39" s="21"/>
      <c r="DHI39" s="21"/>
      <c r="DHJ39" s="21"/>
      <c r="DHK39" s="21"/>
      <c r="DHL39" s="21"/>
      <c r="DHM39" s="21"/>
      <c r="DHN39" s="21"/>
      <c r="DHO39" s="21"/>
      <c r="DHP39" s="21"/>
      <c r="DHQ39" s="21"/>
      <c r="DHR39" s="21"/>
      <c r="DHS39" s="21"/>
      <c r="DHT39" s="21"/>
      <c r="DHU39" s="21"/>
      <c r="DHV39" s="21"/>
      <c r="DHW39" s="21"/>
      <c r="DHX39" s="21"/>
      <c r="DHY39" s="21"/>
      <c r="DHZ39" s="21"/>
      <c r="DIA39" s="21"/>
      <c r="DIB39" s="21"/>
      <c r="DIC39" s="21"/>
      <c r="DID39" s="21"/>
      <c r="DIE39" s="21"/>
      <c r="DIF39" s="21"/>
      <c r="DIG39" s="21"/>
      <c r="DIH39" s="21"/>
      <c r="DII39" s="21"/>
      <c r="DIJ39" s="21"/>
      <c r="DIK39" s="21"/>
      <c r="DIL39" s="21"/>
      <c r="DIM39" s="21"/>
      <c r="DIN39" s="21"/>
      <c r="DIO39" s="21"/>
      <c r="DIP39" s="21"/>
      <c r="DIQ39" s="21"/>
      <c r="DIR39" s="21"/>
      <c r="DIS39" s="21"/>
      <c r="DIT39" s="21"/>
      <c r="DIU39" s="21"/>
      <c r="DIV39" s="21"/>
      <c r="DIW39" s="21"/>
      <c r="DIX39" s="21"/>
      <c r="DIY39" s="21"/>
      <c r="DIZ39" s="21"/>
      <c r="DJA39" s="21"/>
      <c r="DJB39" s="21"/>
      <c r="DJC39" s="21"/>
      <c r="DJD39" s="21"/>
      <c r="DJE39" s="21"/>
      <c r="DJF39" s="21"/>
      <c r="DJG39" s="21"/>
      <c r="DJH39" s="21"/>
      <c r="DJI39" s="21"/>
      <c r="DJJ39" s="21"/>
      <c r="DJK39" s="21"/>
      <c r="DJL39" s="21"/>
      <c r="DJM39" s="21"/>
      <c r="DJN39" s="21"/>
      <c r="DJO39" s="21"/>
      <c r="DJP39" s="21"/>
      <c r="DJQ39" s="21"/>
      <c r="DJR39" s="21"/>
      <c r="DJS39" s="21"/>
      <c r="DJT39" s="21"/>
      <c r="DJU39" s="21"/>
      <c r="DJV39" s="21"/>
      <c r="DJW39" s="21"/>
      <c r="DJX39" s="21"/>
      <c r="DJY39" s="21"/>
      <c r="DJZ39" s="21"/>
      <c r="DKA39" s="21"/>
      <c r="DKB39" s="21"/>
      <c r="DKC39" s="21"/>
      <c r="DKD39" s="21"/>
      <c r="DKE39" s="21"/>
      <c r="DKF39" s="21"/>
      <c r="DKG39" s="21"/>
      <c r="DKH39" s="21"/>
      <c r="DKI39" s="21"/>
      <c r="DKJ39" s="21"/>
      <c r="DKK39" s="21"/>
      <c r="DKL39" s="21"/>
      <c r="DKM39" s="21"/>
      <c r="DKN39" s="21"/>
      <c r="DKO39" s="21"/>
      <c r="DKP39" s="21"/>
      <c r="DKQ39" s="21"/>
      <c r="DKR39" s="21"/>
      <c r="DKS39" s="21"/>
      <c r="DKT39" s="21"/>
      <c r="DKU39" s="21"/>
      <c r="DKV39" s="21"/>
      <c r="DKW39" s="21"/>
      <c r="DKX39" s="21"/>
      <c r="DKY39" s="21"/>
      <c r="DKZ39" s="21"/>
      <c r="DLA39" s="21"/>
      <c r="DLB39" s="21"/>
      <c r="DLC39" s="21"/>
      <c r="DLD39" s="21"/>
      <c r="DLE39" s="21"/>
      <c r="DLF39" s="21"/>
      <c r="DLG39" s="21"/>
      <c r="DLH39" s="21"/>
      <c r="DLI39" s="21"/>
      <c r="DLJ39" s="21"/>
      <c r="DLK39" s="21"/>
      <c r="DLL39" s="21"/>
      <c r="DLM39" s="21"/>
      <c r="DLN39" s="21"/>
      <c r="DLO39" s="21"/>
      <c r="DLP39" s="21"/>
      <c r="DLQ39" s="21"/>
      <c r="DLR39" s="21"/>
      <c r="DLS39" s="21"/>
      <c r="DLT39" s="21"/>
      <c r="DLU39" s="21"/>
      <c r="DLV39" s="21"/>
      <c r="DLW39" s="21"/>
      <c r="DLX39" s="21"/>
      <c r="DLY39" s="21"/>
      <c r="DLZ39" s="21"/>
      <c r="DMA39" s="21"/>
      <c r="DMB39" s="21"/>
      <c r="DMC39" s="21"/>
      <c r="DMD39" s="21"/>
      <c r="DME39" s="21"/>
      <c r="DMF39" s="21"/>
      <c r="DMG39" s="21"/>
      <c r="DMH39" s="21"/>
      <c r="DMI39" s="21"/>
      <c r="DMJ39" s="21"/>
      <c r="DMK39" s="21"/>
      <c r="DML39" s="21"/>
      <c r="DMM39" s="21"/>
      <c r="DMN39" s="21"/>
      <c r="DMO39" s="21"/>
      <c r="DMP39" s="21"/>
      <c r="DMQ39" s="21"/>
      <c r="DMR39" s="21"/>
      <c r="DMS39" s="21"/>
      <c r="DMT39" s="21"/>
      <c r="DMU39" s="21"/>
      <c r="DMV39" s="21"/>
      <c r="DMW39" s="21"/>
      <c r="DMX39" s="21"/>
      <c r="DMY39" s="21"/>
      <c r="DMZ39" s="21"/>
      <c r="DNA39" s="21"/>
      <c r="DNB39" s="21"/>
      <c r="DNC39" s="21"/>
      <c r="DND39" s="21"/>
      <c r="DNE39" s="21"/>
      <c r="DNF39" s="21"/>
      <c r="DNG39" s="21"/>
      <c r="DNH39" s="21"/>
      <c r="DNI39" s="21"/>
      <c r="DNJ39" s="21"/>
      <c r="DNK39" s="21"/>
      <c r="DNL39" s="21"/>
      <c r="DNM39" s="21"/>
      <c r="DNN39" s="21"/>
      <c r="DNO39" s="21"/>
      <c r="DNP39" s="21"/>
      <c r="DNQ39" s="21"/>
      <c r="DNR39" s="21"/>
      <c r="DNS39" s="21"/>
      <c r="DNT39" s="21"/>
      <c r="DNU39" s="21"/>
      <c r="DNV39" s="21"/>
      <c r="DNW39" s="21"/>
      <c r="DNX39" s="21"/>
      <c r="DNY39" s="21"/>
      <c r="DNZ39" s="21"/>
      <c r="DOA39" s="21"/>
      <c r="DOB39" s="21"/>
      <c r="DOC39" s="21"/>
      <c r="DOD39" s="21"/>
      <c r="DOE39" s="21"/>
      <c r="DOF39" s="21"/>
      <c r="DOG39" s="21"/>
      <c r="DOH39" s="21"/>
      <c r="DOI39" s="21"/>
      <c r="DOJ39" s="21"/>
      <c r="DOK39" s="21"/>
      <c r="DOL39" s="21"/>
      <c r="DOM39" s="21"/>
      <c r="DON39" s="21"/>
      <c r="DOO39" s="21"/>
      <c r="DOP39" s="21"/>
      <c r="DOQ39" s="21"/>
      <c r="DOR39" s="21"/>
      <c r="DOS39" s="21"/>
      <c r="DOT39" s="21"/>
      <c r="DOU39" s="21"/>
      <c r="DOV39" s="21"/>
      <c r="DOW39" s="21"/>
      <c r="DOX39" s="21"/>
      <c r="DOY39" s="21"/>
      <c r="DOZ39" s="21"/>
      <c r="DPA39" s="21"/>
      <c r="DPB39" s="21"/>
      <c r="DPC39" s="21"/>
      <c r="DPD39" s="21"/>
      <c r="DPE39" s="21"/>
      <c r="DPF39" s="21"/>
      <c r="DPG39" s="21"/>
      <c r="DPH39" s="21"/>
      <c r="DPI39" s="21"/>
      <c r="DPJ39" s="21"/>
      <c r="DPK39" s="21"/>
      <c r="DPL39" s="21"/>
      <c r="DPM39" s="21"/>
      <c r="DPN39" s="21"/>
      <c r="DPO39" s="21"/>
      <c r="DPP39" s="21"/>
      <c r="DPQ39" s="21"/>
      <c r="DPR39" s="21"/>
      <c r="DPS39" s="21"/>
      <c r="DPT39" s="21"/>
      <c r="DPU39" s="21"/>
      <c r="DPV39" s="21"/>
      <c r="DPW39" s="21"/>
      <c r="DPX39" s="21"/>
      <c r="DPY39" s="21"/>
      <c r="DPZ39" s="21"/>
      <c r="DQA39" s="21"/>
      <c r="DQB39" s="21"/>
      <c r="DQC39" s="21"/>
      <c r="DQD39" s="21"/>
      <c r="DQE39" s="21"/>
      <c r="DQF39" s="21"/>
      <c r="DQG39" s="21"/>
      <c r="DQH39" s="21"/>
      <c r="DQI39" s="21"/>
      <c r="DQJ39" s="21"/>
      <c r="DQK39" s="21"/>
      <c r="DQL39" s="21"/>
      <c r="DQM39" s="21"/>
      <c r="DQN39" s="21"/>
      <c r="DQO39" s="21"/>
      <c r="DQP39" s="21"/>
      <c r="DQQ39" s="21"/>
      <c r="DQR39" s="21"/>
      <c r="DQS39" s="21"/>
      <c r="DQT39" s="21"/>
      <c r="DQU39" s="21"/>
      <c r="DQV39" s="21"/>
      <c r="DQW39" s="21"/>
      <c r="DQX39" s="21"/>
      <c r="DQY39" s="21"/>
      <c r="DQZ39" s="21"/>
      <c r="DRA39" s="21"/>
      <c r="DRB39" s="21"/>
      <c r="DRC39" s="21"/>
      <c r="DRD39" s="21"/>
      <c r="DRE39" s="21"/>
      <c r="DRF39" s="21"/>
      <c r="DRG39" s="21"/>
      <c r="DRH39" s="21"/>
      <c r="DRI39" s="21"/>
      <c r="DRJ39" s="21"/>
      <c r="DRK39" s="21"/>
      <c r="DRL39" s="21"/>
      <c r="DRM39" s="21"/>
      <c r="DRN39" s="21"/>
      <c r="DRO39" s="21"/>
      <c r="DRP39" s="21"/>
      <c r="DRQ39" s="21"/>
      <c r="DRR39" s="21"/>
      <c r="DRS39" s="21"/>
      <c r="DRT39" s="21"/>
      <c r="DRU39" s="21"/>
      <c r="DRV39" s="21"/>
      <c r="DRW39" s="21"/>
      <c r="DRX39" s="21"/>
      <c r="DRY39" s="21"/>
      <c r="DRZ39" s="21"/>
      <c r="DSA39" s="21"/>
      <c r="DSB39" s="21"/>
      <c r="DSC39" s="21"/>
      <c r="DSD39" s="21"/>
      <c r="DSE39" s="21"/>
      <c r="DSF39" s="21"/>
      <c r="DSG39" s="21"/>
      <c r="DSH39" s="21"/>
      <c r="DSI39" s="21"/>
      <c r="DSJ39" s="21"/>
      <c r="DSK39" s="21"/>
      <c r="DSL39" s="21"/>
      <c r="DSM39" s="21"/>
      <c r="DSN39" s="21"/>
      <c r="DSO39" s="21"/>
      <c r="DSP39" s="21"/>
      <c r="DSQ39" s="21"/>
      <c r="DSR39" s="21"/>
      <c r="DSS39" s="21"/>
      <c r="DST39" s="21"/>
      <c r="DSU39" s="21"/>
      <c r="DSV39" s="21"/>
      <c r="DSW39" s="21"/>
      <c r="DSX39" s="21"/>
      <c r="DSY39" s="21"/>
      <c r="DSZ39" s="21"/>
      <c r="DTA39" s="21"/>
      <c r="DTB39" s="21"/>
      <c r="DTC39" s="21"/>
      <c r="DTD39" s="21"/>
      <c r="DTE39" s="21"/>
      <c r="DTF39" s="21"/>
      <c r="DTG39" s="21"/>
      <c r="DTH39" s="21"/>
      <c r="DTI39" s="21"/>
      <c r="DTJ39" s="21"/>
      <c r="DTK39" s="21"/>
      <c r="DTL39" s="21"/>
      <c r="DTM39" s="21"/>
      <c r="DTN39" s="21"/>
      <c r="DTO39" s="21"/>
      <c r="DTP39" s="21"/>
      <c r="DTQ39" s="21"/>
      <c r="DTR39" s="21"/>
      <c r="DTS39" s="21"/>
      <c r="DTT39" s="21"/>
      <c r="DTU39" s="21"/>
      <c r="DTV39" s="21"/>
      <c r="DTW39" s="21"/>
      <c r="DTX39" s="21"/>
      <c r="DTY39" s="21"/>
      <c r="DTZ39" s="21"/>
      <c r="DUA39" s="21"/>
      <c r="DUB39" s="21"/>
      <c r="DUC39" s="21"/>
      <c r="DUD39" s="21"/>
      <c r="DUE39" s="21"/>
      <c r="DUF39" s="21"/>
      <c r="DUG39" s="21"/>
      <c r="DUH39" s="21"/>
      <c r="DUI39" s="21"/>
      <c r="DUJ39" s="21"/>
      <c r="DUK39" s="21"/>
      <c r="DUL39" s="21"/>
      <c r="DUM39" s="21"/>
      <c r="DUN39" s="21"/>
      <c r="DUO39" s="21"/>
      <c r="DUP39" s="21"/>
      <c r="DUQ39" s="21"/>
      <c r="DUR39" s="21"/>
      <c r="DUS39" s="21"/>
      <c r="DUT39" s="21"/>
      <c r="DUU39" s="21"/>
      <c r="DUV39" s="21"/>
      <c r="DUW39" s="21"/>
      <c r="DUX39" s="21"/>
      <c r="DUY39" s="21"/>
      <c r="DUZ39" s="21"/>
      <c r="DVA39" s="21"/>
      <c r="DVB39" s="21"/>
      <c r="DVC39" s="21"/>
      <c r="DVD39" s="21"/>
      <c r="DVE39" s="21"/>
      <c r="DVF39" s="21"/>
      <c r="DVG39" s="21"/>
      <c r="DVH39" s="21"/>
      <c r="DVI39" s="21"/>
      <c r="DVJ39" s="21"/>
      <c r="DVK39" s="21"/>
      <c r="DVL39" s="21"/>
      <c r="DVM39" s="21"/>
      <c r="DVN39" s="21"/>
      <c r="DVO39" s="21"/>
      <c r="DVP39" s="21"/>
      <c r="DVQ39" s="21"/>
      <c r="DVR39" s="21"/>
      <c r="DVS39" s="21"/>
      <c r="DVT39" s="21"/>
      <c r="DVU39" s="21"/>
      <c r="DVV39" s="21"/>
      <c r="DVW39" s="21"/>
      <c r="DVX39" s="21"/>
      <c r="DVY39" s="21"/>
      <c r="DVZ39" s="21"/>
      <c r="DWA39" s="21"/>
      <c r="DWB39" s="21"/>
      <c r="DWC39" s="21"/>
      <c r="DWD39" s="21"/>
      <c r="DWE39" s="21"/>
      <c r="DWF39" s="21"/>
      <c r="DWG39" s="21"/>
      <c r="DWH39" s="21"/>
      <c r="DWI39" s="21"/>
      <c r="DWJ39" s="21"/>
      <c r="DWK39" s="21"/>
      <c r="DWL39" s="21"/>
      <c r="DWM39" s="21"/>
      <c r="DWN39" s="21"/>
      <c r="DWO39" s="21"/>
      <c r="DWP39" s="21"/>
      <c r="DWQ39" s="21"/>
      <c r="DWR39" s="21"/>
      <c r="DWS39" s="21"/>
      <c r="DWT39" s="21"/>
      <c r="DWU39" s="21"/>
      <c r="DWV39" s="21"/>
      <c r="DWW39" s="21"/>
      <c r="DWX39" s="21"/>
      <c r="DWY39" s="21"/>
      <c r="DWZ39" s="21"/>
      <c r="DXA39" s="21"/>
      <c r="DXB39" s="21"/>
      <c r="DXC39" s="21"/>
      <c r="DXD39" s="21"/>
      <c r="DXE39" s="21"/>
      <c r="DXF39" s="21"/>
      <c r="DXG39" s="21"/>
      <c r="DXH39" s="21"/>
      <c r="DXI39" s="21"/>
      <c r="DXJ39" s="21"/>
      <c r="DXK39" s="21"/>
      <c r="DXL39" s="21"/>
      <c r="DXM39" s="21"/>
      <c r="DXN39" s="21"/>
      <c r="DXO39" s="21"/>
      <c r="DXP39" s="21"/>
      <c r="DXQ39" s="21"/>
      <c r="DXR39" s="21"/>
      <c r="DXS39" s="21"/>
      <c r="DXT39" s="21"/>
      <c r="DXU39" s="21"/>
      <c r="DXV39" s="21"/>
      <c r="DXW39" s="21"/>
      <c r="DXX39" s="21"/>
      <c r="DXY39" s="21"/>
      <c r="DXZ39" s="21"/>
      <c r="DYA39" s="21"/>
      <c r="DYB39" s="21"/>
      <c r="DYC39" s="21"/>
      <c r="DYD39" s="21"/>
      <c r="DYE39" s="21"/>
      <c r="DYF39" s="21"/>
      <c r="DYG39" s="21"/>
      <c r="DYH39" s="21"/>
      <c r="DYI39" s="21"/>
      <c r="DYJ39" s="21"/>
      <c r="DYK39" s="21"/>
      <c r="DYL39" s="21"/>
      <c r="DYM39" s="21"/>
      <c r="DYN39" s="21"/>
      <c r="DYO39" s="21"/>
      <c r="DYP39" s="21"/>
      <c r="DYQ39" s="21"/>
      <c r="DYR39" s="21"/>
      <c r="DYS39" s="21"/>
      <c r="DYT39" s="21"/>
      <c r="DYU39" s="21"/>
      <c r="DYV39" s="21"/>
      <c r="DYW39" s="21"/>
      <c r="DYX39" s="21"/>
      <c r="DYY39" s="21"/>
      <c r="DYZ39" s="21"/>
      <c r="DZA39" s="21"/>
      <c r="DZB39" s="21"/>
      <c r="DZC39" s="21"/>
      <c r="DZD39" s="21"/>
      <c r="DZE39" s="21"/>
      <c r="DZF39" s="21"/>
      <c r="DZG39" s="21"/>
      <c r="DZH39" s="21"/>
      <c r="DZI39" s="21"/>
      <c r="DZJ39" s="21"/>
      <c r="DZK39" s="21"/>
      <c r="DZL39" s="21"/>
      <c r="DZM39" s="21"/>
      <c r="DZN39" s="21"/>
      <c r="DZO39" s="21"/>
      <c r="DZP39" s="21"/>
      <c r="DZQ39" s="21"/>
      <c r="DZR39" s="21"/>
      <c r="DZS39" s="21"/>
      <c r="DZT39" s="21"/>
      <c r="DZU39" s="21"/>
      <c r="DZV39" s="21"/>
      <c r="DZW39" s="21"/>
      <c r="DZX39" s="21"/>
      <c r="DZY39" s="21"/>
      <c r="DZZ39" s="21"/>
      <c r="EAA39" s="21"/>
      <c r="EAB39" s="21"/>
      <c r="EAC39" s="21"/>
      <c r="EAD39" s="21"/>
      <c r="EAE39" s="21"/>
      <c r="EAF39" s="21"/>
      <c r="EAG39" s="21"/>
      <c r="EAH39" s="21"/>
      <c r="EAI39" s="21"/>
      <c r="EAJ39" s="21"/>
      <c r="EAK39" s="21"/>
      <c r="EAL39" s="21"/>
      <c r="EAM39" s="21"/>
      <c r="EAN39" s="21"/>
      <c r="EAO39" s="21"/>
      <c r="EAP39" s="21"/>
      <c r="EAQ39" s="21"/>
      <c r="EAR39" s="21"/>
      <c r="EAS39" s="21"/>
      <c r="EAT39" s="21"/>
      <c r="EAU39" s="21"/>
      <c r="EAV39" s="21"/>
      <c r="EAW39" s="21"/>
      <c r="EAX39" s="21"/>
      <c r="EAY39" s="21"/>
      <c r="EAZ39" s="21"/>
      <c r="EBA39" s="21"/>
      <c r="EBB39" s="21"/>
      <c r="EBC39" s="21"/>
      <c r="EBD39" s="21"/>
      <c r="EBE39" s="21"/>
      <c r="EBF39" s="21"/>
      <c r="EBG39" s="21"/>
      <c r="EBH39" s="21"/>
      <c r="EBI39" s="21"/>
      <c r="EBJ39" s="21"/>
      <c r="EBK39" s="21"/>
      <c r="EBL39" s="21"/>
      <c r="EBM39" s="21"/>
      <c r="EBN39" s="21"/>
      <c r="EBO39" s="21"/>
      <c r="EBP39" s="21"/>
      <c r="EBQ39" s="21"/>
      <c r="EBR39" s="21"/>
      <c r="EBS39" s="21"/>
      <c r="EBT39" s="21"/>
      <c r="EBU39" s="21"/>
      <c r="EBV39" s="21"/>
      <c r="EBW39" s="21"/>
      <c r="EBX39" s="21"/>
      <c r="EBY39" s="21"/>
      <c r="EBZ39" s="21"/>
      <c r="ECA39" s="21"/>
      <c r="ECB39" s="21"/>
      <c r="ECC39" s="21"/>
      <c r="ECD39" s="21"/>
      <c r="ECE39" s="21"/>
      <c r="ECF39" s="21"/>
      <c r="ECG39" s="21"/>
      <c r="ECH39" s="21"/>
      <c r="ECI39" s="21"/>
      <c r="ECJ39" s="21"/>
      <c r="ECK39" s="21"/>
      <c r="ECL39" s="21"/>
      <c r="ECM39" s="21"/>
      <c r="ECN39" s="21"/>
      <c r="ECO39" s="21"/>
      <c r="ECP39" s="21"/>
      <c r="ECQ39" s="21"/>
      <c r="ECR39" s="21"/>
      <c r="ECS39" s="21"/>
      <c r="ECT39" s="21"/>
      <c r="ECU39" s="21"/>
      <c r="ECV39" s="21"/>
      <c r="ECW39" s="21"/>
      <c r="ECX39" s="21"/>
      <c r="ECY39" s="21"/>
      <c r="ECZ39" s="21"/>
      <c r="EDA39" s="21"/>
      <c r="EDB39" s="21"/>
      <c r="EDC39" s="21"/>
      <c r="EDD39" s="21"/>
      <c r="EDE39" s="21"/>
      <c r="EDF39" s="21"/>
      <c r="EDG39" s="21"/>
      <c r="EDH39" s="21"/>
      <c r="EDI39" s="21"/>
      <c r="EDJ39" s="21"/>
      <c r="EDK39" s="21"/>
      <c r="EDL39" s="21"/>
      <c r="EDM39" s="21"/>
      <c r="EDN39" s="21"/>
      <c r="EDO39" s="21"/>
      <c r="EDP39" s="21"/>
      <c r="EDQ39" s="21"/>
      <c r="EDR39" s="21"/>
      <c r="EDS39" s="21"/>
      <c r="EDT39" s="21"/>
      <c r="EDU39" s="21"/>
      <c r="EDV39" s="21"/>
      <c r="EDW39" s="21"/>
      <c r="EDX39" s="21"/>
      <c r="EDY39" s="21"/>
      <c r="EDZ39" s="21"/>
      <c r="EEA39" s="21"/>
      <c r="EEB39" s="21"/>
      <c r="EEC39" s="21"/>
      <c r="EED39" s="21"/>
      <c r="EEE39" s="21"/>
      <c r="EEF39" s="21"/>
      <c r="EEG39" s="21"/>
      <c r="EEH39" s="21"/>
      <c r="EEI39" s="21"/>
      <c r="EEJ39" s="21"/>
      <c r="EEK39" s="21"/>
      <c r="EEL39" s="21"/>
      <c r="EEM39" s="21"/>
      <c r="EEN39" s="21"/>
      <c r="EEO39" s="21"/>
      <c r="EEP39" s="21"/>
      <c r="EEQ39" s="21"/>
      <c r="EER39" s="21"/>
      <c r="EES39" s="21"/>
      <c r="EET39" s="21"/>
      <c r="EEU39" s="21"/>
      <c r="EEV39" s="21"/>
      <c r="EEW39" s="21"/>
      <c r="EEX39" s="21"/>
      <c r="EEY39" s="21"/>
      <c r="EEZ39" s="21"/>
      <c r="EFA39" s="21"/>
      <c r="EFB39" s="21"/>
      <c r="EFC39" s="21"/>
      <c r="EFD39" s="21"/>
      <c r="EFE39" s="21"/>
      <c r="EFF39" s="21"/>
      <c r="EFG39" s="21"/>
      <c r="EFH39" s="21"/>
      <c r="EFI39" s="21"/>
      <c r="EFJ39" s="21"/>
      <c r="EFK39" s="21"/>
      <c r="EFL39" s="21"/>
      <c r="EFM39" s="21"/>
      <c r="EFN39" s="21"/>
      <c r="EFO39" s="21"/>
      <c r="EFP39" s="21"/>
      <c r="EFQ39" s="21"/>
      <c r="EFR39" s="21"/>
      <c r="EFS39" s="21"/>
      <c r="EFT39" s="21"/>
      <c r="EFU39" s="21"/>
      <c r="EFV39" s="21"/>
      <c r="EFW39" s="21"/>
      <c r="EFX39" s="21"/>
      <c r="EFY39" s="21"/>
      <c r="EFZ39" s="21"/>
      <c r="EGA39" s="21"/>
      <c r="EGB39" s="21"/>
      <c r="EGC39" s="21"/>
      <c r="EGD39" s="21"/>
      <c r="EGE39" s="21"/>
      <c r="EGF39" s="21"/>
      <c r="EGG39" s="21"/>
      <c r="EGH39" s="21"/>
      <c r="EGI39" s="21"/>
      <c r="EGJ39" s="21"/>
      <c r="EGK39" s="21"/>
      <c r="EGL39" s="21"/>
      <c r="EGM39" s="21"/>
      <c r="EGN39" s="21"/>
      <c r="EGO39" s="21"/>
      <c r="EGP39" s="21"/>
      <c r="EGQ39" s="21"/>
      <c r="EGR39" s="21"/>
      <c r="EGS39" s="21"/>
      <c r="EGT39" s="21"/>
      <c r="EGU39" s="21"/>
      <c r="EGV39" s="21"/>
      <c r="EGW39" s="21"/>
      <c r="EGX39" s="21"/>
      <c r="EGY39" s="21"/>
      <c r="EGZ39" s="21"/>
      <c r="EHA39" s="21"/>
      <c r="EHB39" s="21"/>
      <c r="EHC39" s="21"/>
      <c r="EHD39" s="21"/>
      <c r="EHE39" s="21"/>
      <c r="EHF39" s="21"/>
      <c r="EHG39" s="21"/>
      <c r="EHH39" s="21"/>
      <c r="EHI39" s="21"/>
      <c r="EHJ39" s="21"/>
      <c r="EHK39" s="21"/>
      <c r="EHL39" s="21"/>
      <c r="EHM39" s="21"/>
      <c r="EHN39" s="21"/>
      <c r="EHO39" s="21"/>
      <c r="EHP39" s="21"/>
      <c r="EHQ39" s="21"/>
      <c r="EHR39" s="21"/>
      <c r="EHS39" s="21"/>
      <c r="EHT39" s="21"/>
      <c r="EHU39" s="21"/>
      <c r="EHV39" s="21"/>
      <c r="EHW39" s="21"/>
      <c r="EHX39" s="21"/>
      <c r="EHY39" s="21"/>
      <c r="EHZ39" s="21"/>
      <c r="EIA39" s="21"/>
      <c r="EIB39" s="21"/>
      <c r="EIC39" s="21"/>
      <c r="EID39" s="21"/>
      <c r="EIE39" s="21"/>
      <c r="EIF39" s="21"/>
      <c r="EIG39" s="21"/>
      <c r="EIH39" s="21"/>
      <c r="EII39" s="21"/>
      <c r="EIJ39" s="21"/>
      <c r="EIK39" s="21"/>
      <c r="EIL39" s="21"/>
      <c r="EIM39" s="21"/>
      <c r="EIN39" s="21"/>
      <c r="EIO39" s="21"/>
      <c r="EIP39" s="21"/>
      <c r="EIQ39" s="21"/>
      <c r="EIR39" s="21"/>
      <c r="EIS39" s="21"/>
      <c r="EIT39" s="21"/>
      <c r="EIU39" s="21"/>
      <c r="EIV39" s="21"/>
      <c r="EIW39" s="21"/>
      <c r="EIX39" s="21"/>
      <c r="EIY39" s="21"/>
      <c r="EIZ39" s="21"/>
      <c r="EJA39" s="21"/>
      <c r="EJB39" s="21"/>
      <c r="EJC39" s="21"/>
      <c r="EJD39" s="21"/>
      <c r="EJE39" s="21"/>
      <c r="EJF39" s="21"/>
      <c r="EJG39" s="21"/>
      <c r="EJH39" s="21"/>
      <c r="EJI39" s="21"/>
      <c r="EJJ39" s="21"/>
      <c r="EJK39" s="21"/>
      <c r="EJL39" s="21"/>
      <c r="EJM39" s="21"/>
      <c r="EJN39" s="21"/>
      <c r="EJO39" s="21"/>
      <c r="EJP39" s="21"/>
      <c r="EJQ39" s="21"/>
      <c r="EJR39" s="21"/>
      <c r="EJS39" s="21"/>
      <c r="EJT39" s="21"/>
      <c r="EJU39" s="21"/>
      <c r="EJV39" s="21"/>
      <c r="EJW39" s="21"/>
      <c r="EJX39" s="21"/>
      <c r="EJY39" s="21"/>
      <c r="EJZ39" s="21"/>
      <c r="EKA39" s="21"/>
      <c r="EKB39" s="21"/>
      <c r="EKC39" s="21"/>
      <c r="EKD39" s="21"/>
      <c r="EKE39" s="21"/>
      <c r="EKF39" s="21"/>
      <c r="EKG39" s="21"/>
      <c r="EKH39" s="21"/>
      <c r="EKI39" s="21"/>
      <c r="EKJ39" s="21"/>
      <c r="EKK39" s="21"/>
      <c r="EKL39" s="21"/>
      <c r="EKM39" s="21"/>
      <c r="EKN39" s="21"/>
      <c r="EKO39" s="21"/>
      <c r="EKP39" s="21"/>
      <c r="EKQ39" s="21"/>
      <c r="EKR39" s="21"/>
      <c r="EKS39" s="21"/>
      <c r="EKT39" s="21"/>
      <c r="EKU39" s="21"/>
      <c r="EKV39" s="21"/>
      <c r="EKW39" s="21"/>
      <c r="EKX39" s="21"/>
      <c r="EKY39" s="21"/>
      <c r="EKZ39" s="21"/>
      <c r="ELA39" s="21"/>
      <c r="ELB39" s="21"/>
      <c r="ELC39" s="21"/>
      <c r="ELD39" s="21"/>
      <c r="ELE39" s="21"/>
      <c r="ELF39" s="21"/>
      <c r="ELG39" s="21"/>
      <c r="ELH39" s="21"/>
      <c r="ELI39" s="21"/>
      <c r="ELJ39" s="21"/>
      <c r="ELK39" s="21"/>
      <c r="ELL39" s="21"/>
      <c r="ELM39" s="21"/>
      <c r="ELN39" s="21"/>
      <c r="ELO39" s="21"/>
      <c r="ELP39" s="21"/>
      <c r="ELQ39" s="21"/>
      <c r="ELR39" s="21"/>
      <c r="ELS39" s="21"/>
      <c r="ELT39" s="21"/>
      <c r="ELU39" s="21"/>
      <c r="ELV39" s="21"/>
      <c r="ELW39" s="21"/>
      <c r="ELX39" s="21"/>
      <c r="ELY39" s="21"/>
      <c r="ELZ39" s="21"/>
      <c r="EMA39" s="21"/>
      <c r="EMB39" s="21"/>
      <c r="EMC39" s="21"/>
      <c r="EMD39" s="21"/>
      <c r="EME39" s="21"/>
      <c r="EMF39" s="21"/>
      <c r="EMG39" s="21"/>
      <c r="EMH39" s="21"/>
      <c r="EMI39" s="21"/>
      <c r="EMJ39" s="21"/>
      <c r="EMK39" s="21"/>
      <c r="EML39" s="21"/>
      <c r="EMM39" s="21"/>
      <c r="EMN39" s="21"/>
      <c r="EMO39" s="21"/>
      <c r="EMP39" s="21"/>
      <c r="EMQ39" s="21"/>
      <c r="EMR39" s="21"/>
      <c r="EMS39" s="21"/>
      <c r="EMT39" s="21"/>
      <c r="EMU39" s="21"/>
      <c r="EMV39" s="21"/>
      <c r="EMW39" s="21"/>
      <c r="EMX39" s="21"/>
      <c r="EMY39" s="21"/>
      <c r="EMZ39" s="21"/>
      <c r="ENA39" s="21"/>
      <c r="ENB39" s="21"/>
      <c r="ENC39" s="21"/>
      <c r="END39" s="21"/>
      <c r="ENE39" s="21"/>
      <c r="ENF39" s="21"/>
      <c r="ENG39" s="21"/>
      <c r="ENH39" s="21"/>
      <c r="ENI39" s="21"/>
      <c r="ENJ39" s="21"/>
      <c r="ENK39" s="21"/>
      <c r="ENL39" s="21"/>
      <c r="ENM39" s="21"/>
      <c r="ENN39" s="21"/>
      <c r="ENO39" s="21"/>
      <c r="ENP39" s="21"/>
      <c r="ENQ39" s="21"/>
      <c r="ENR39" s="21"/>
      <c r="ENS39" s="21"/>
      <c r="ENT39" s="21"/>
      <c r="ENU39" s="21"/>
      <c r="ENV39" s="21"/>
      <c r="ENW39" s="21"/>
      <c r="ENX39" s="21"/>
      <c r="ENY39" s="21"/>
      <c r="ENZ39" s="21"/>
      <c r="EOA39" s="21"/>
      <c r="EOB39" s="21"/>
      <c r="EOC39" s="21"/>
      <c r="EOD39" s="21"/>
      <c r="EOE39" s="21"/>
      <c r="EOF39" s="21"/>
      <c r="EOG39" s="21"/>
      <c r="EOH39" s="21"/>
      <c r="EOI39" s="21"/>
      <c r="EOJ39" s="21"/>
      <c r="EOK39" s="21"/>
      <c r="EOL39" s="21"/>
      <c r="EOM39" s="21"/>
      <c r="EON39" s="21"/>
      <c r="EOO39" s="21"/>
      <c r="EOP39" s="21"/>
      <c r="EOQ39" s="21"/>
      <c r="EOR39" s="21"/>
      <c r="EOS39" s="21"/>
      <c r="EOT39" s="21"/>
      <c r="EOU39" s="21"/>
      <c r="EOV39" s="21"/>
      <c r="EOW39" s="21"/>
      <c r="EOX39" s="21"/>
      <c r="EOY39" s="21"/>
      <c r="EOZ39" s="21"/>
      <c r="EPA39" s="21"/>
      <c r="EPB39" s="21"/>
      <c r="EPC39" s="21"/>
      <c r="EPD39" s="21"/>
      <c r="EPE39" s="21"/>
      <c r="EPF39" s="21"/>
      <c r="EPG39" s="21"/>
      <c r="EPH39" s="21"/>
      <c r="EPI39" s="21"/>
      <c r="EPJ39" s="21"/>
      <c r="EPK39" s="21"/>
      <c r="EPL39" s="21"/>
      <c r="EPM39" s="21"/>
      <c r="EPN39" s="21"/>
      <c r="EPO39" s="21"/>
      <c r="EPP39" s="21"/>
      <c r="EPQ39" s="21"/>
      <c r="EPR39" s="21"/>
      <c r="EPS39" s="21"/>
      <c r="EPT39" s="21"/>
      <c r="EPU39" s="21"/>
      <c r="EPV39" s="21"/>
      <c r="EPW39" s="21"/>
      <c r="EPX39" s="21"/>
      <c r="EPY39" s="21"/>
      <c r="EPZ39" s="21"/>
      <c r="EQA39" s="21"/>
      <c r="EQB39" s="21"/>
      <c r="EQC39" s="21"/>
      <c r="EQD39" s="21"/>
      <c r="EQE39" s="21"/>
      <c r="EQF39" s="21"/>
      <c r="EQG39" s="21"/>
      <c r="EQH39" s="21"/>
      <c r="EQI39" s="21"/>
      <c r="EQJ39" s="21"/>
      <c r="EQK39" s="21"/>
      <c r="EQL39" s="21"/>
      <c r="EQM39" s="21"/>
      <c r="EQN39" s="21"/>
      <c r="EQO39" s="21"/>
      <c r="EQP39" s="21"/>
      <c r="EQQ39" s="21"/>
      <c r="EQR39" s="21"/>
      <c r="EQS39" s="21"/>
      <c r="EQT39" s="21"/>
      <c r="EQU39" s="21"/>
      <c r="EQV39" s="21"/>
      <c r="EQW39" s="21"/>
      <c r="EQX39" s="21"/>
      <c r="EQY39" s="21"/>
      <c r="EQZ39" s="21"/>
      <c r="ERA39" s="21"/>
      <c r="ERB39" s="21"/>
      <c r="ERC39" s="21"/>
      <c r="ERD39" s="21"/>
      <c r="ERE39" s="21"/>
      <c r="ERF39" s="21"/>
      <c r="ERG39" s="21"/>
      <c r="ERH39" s="21"/>
      <c r="ERI39" s="21"/>
      <c r="ERJ39" s="21"/>
      <c r="ERK39" s="21"/>
      <c r="ERL39" s="21"/>
      <c r="ERM39" s="21"/>
      <c r="ERN39" s="21"/>
      <c r="ERO39" s="21"/>
      <c r="ERP39" s="21"/>
      <c r="ERQ39" s="21"/>
      <c r="ERR39" s="21"/>
      <c r="ERS39" s="21"/>
      <c r="ERT39" s="21"/>
      <c r="ERU39" s="21"/>
      <c r="ERV39" s="21"/>
      <c r="ERW39" s="21"/>
      <c r="ERX39" s="21"/>
      <c r="ERY39" s="21"/>
      <c r="ERZ39" s="21"/>
      <c r="ESA39" s="21"/>
      <c r="ESB39" s="21"/>
      <c r="ESC39" s="21"/>
      <c r="ESD39" s="21"/>
      <c r="ESE39" s="21"/>
      <c r="ESF39" s="21"/>
      <c r="ESG39" s="21"/>
      <c r="ESH39" s="21"/>
      <c r="ESI39" s="21"/>
      <c r="ESJ39" s="21"/>
      <c r="ESK39" s="21"/>
      <c r="ESL39" s="21"/>
      <c r="ESM39" s="21"/>
      <c r="ESN39" s="21"/>
      <c r="ESO39" s="21"/>
      <c r="ESP39" s="21"/>
      <c r="ESQ39" s="21"/>
      <c r="ESR39" s="21"/>
      <c r="ESS39" s="21"/>
      <c r="EST39" s="21"/>
      <c r="ESU39" s="21"/>
      <c r="ESV39" s="21"/>
      <c r="ESW39" s="21"/>
      <c r="ESX39" s="21"/>
      <c r="ESY39" s="21"/>
      <c r="ESZ39" s="21"/>
      <c r="ETA39" s="21"/>
      <c r="ETB39" s="21"/>
      <c r="ETC39" s="21"/>
      <c r="ETD39" s="21"/>
      <c r="ETE39" s="21"/>
      <c r="ETF39" s="21"/>
      <c r="ETG39" s="21"/>
      <c r="ETH39" s="21"/>
      <c r="ETI39" s="21"/>
      <c r="ETJ39" s="21"/>
      <c r="ETK39" s="21"/>
      <c r="ETL39" s="21"/>
      <c r="ETM39" s="21"/>
      <c r="ETN39" s="21"/>
      <c r="ETO39" s="21"/>
      <c r="ETP39" s="21"/>
      <c r="ETQ39" s="21"/>
      <c r="ETR39" s="21"/>
      <c r="ETS39" s="21"/>
      <c r="ETT39" s="21"/>
      <c r="ETU39" s="21"/>
      <c r="ETV39" s="21"/>
      <c r="ETW39" s="21"/>
      <c r="ETX39" s="21"/>
      <c r="ETY39" s="21"/>
      <c r="ETZ39" s="21"/>
      <c r="EUA39" s="21"/>
      <c r="EUB39" s="21"/>
      <c r="EUC39" s="21"/>
      <c r="EUD39" s="21"/>
      <c r="EUE39" s="21"/>
      <c r="EUF39" s="21"/>
      <c r="EUG39" s="21"/>
      <c r="EUH39" s="21"/>
      <c r="EUI39" s="21"/>
      <c r="EUJ39" s="21"/>
      <c r="EUK39" s="21"/>
      <c r="EUL39" s="21"/>
      <c r="EUM39" s="21"/>
      <c r="EUN39" s="21"/>
      <c r="EUO39" s="21"/>
      <c r="EUP39" s="21"/>
      <c r="EUQ39" s="21"/>
      <c r="EUR39" s="21"/>
      <c r="EUS39" s="21"/>
      <c r="EUT39" s="21"/>
      <c r="EUU39" s="21"/>
      <c r="EUV39" s="21"/>
      <c r="EUW39" s="21"/>
      <c r="EUX39" s="21"/>
      <c r="EUY39" s="21"/>
      <c r="EUZ39" s="21"/>
      <c r="EVA39" s="21"/>
      <c r="EVB39" s="21"/>
      <c r="EVC39" s="21"/>
      <c r="EVD39" s="21"/>
      <c r="EVE39" s="21"/>
      <c r="EVF39" s="21"/>
      <c r="EVG39" s="21"/>
      <c r="EVH39" s="21"/>
      <c r="EVI39" s="21"/>
      <c r="EVJ39" s="21"/>
      <c r="EVK39" s="21"/>
      <c r="EVL39" s="21"/>
      <c r="EVM39" s="21"/>
      <c r="EVN39" s="21"/>
      <c r="EVO39" s="21"/>
      <c r="EVP39" s="21"/>
      <c r="EVQ39" s="21"/>
      <c r="EVR39" s="21"/>
      <c r="EVS39" s="21"/>
      <c r="EVT39" s="21"/>
      <c r="EVU39" s="21"/>
      <c r="EVV39" s="21"/>
      <c r="EVW39" s="21"/>
      <c r="EVX39" s="21"/>
      <c r="EVY39" s="21"/>
      <c r="EVZ39" s="21"/>
      <c r="EWA39" s="21"/>
      <c r="EWB39" s="21"/>
      <c r="EWC39" s="21"/>
      <c r="EWD39" s="21"/>
      <c r="EWE39" s="21"/>
      <c r="EWF39" s="21"/>
      <c r="EWG39" s="21"/>
      <c r="EWH39" s="21"/>
      <c r="EWI39" s="21"/>
      <c r="EWJ39" s="21"/>
      <c r="EWK39" s="21"/>
      <c r="EWL39" s="21"/>
      <c r="EWM39" s="21"/>
      <c r="EWN39" s="21"/>
      <c r="EWO39" s="21"/>
      <c r="EWP39" s="21"/>
      <c r="EWQ39" s="21"/>
      <c r="EWR39" s="21"/>
      <c r="EWS39" s="21"/>
      <c r="EWT39" s="21"/>
      <c r="EWU39" s="21"/>
      <c r="EWV39" s="21"/>
      <c r="EWW39" s="21"/>
      <c r="EWX39" s="21"/>
      <c r="EWY39" s="21"/>
      <c r="EWZ39" s="21"/>
      <c r="EXA39" s="21"/>
      <c r="EXB39" s="21"/>
      <c r="EXC39" s="21"/>
      <c r="EXD39" s="21"/>
      <c r="EXE39" s="21"/>
      <c r="EXF39" s="21"/>
      <c r="EXG39" s="21"/>
      <c r="EXH39" s="21"/>
      <c r="EXI39" s="21"/>
      <c r="EXJ39" s="21"/>
      <c r="EXK39" s="21"/>
      <c r="EXL39" s="21"/>
      <c r="EXM39" s="21"/>
      <c r="EXN39" s="21"/>
      <c r="EXO39" s="21"/>
      <c r="EXP39" s="21"/>
      <c r="EXQ39" s="21"/>
      <c r="EXR39" s="21"/>
      <c r="EXS39" s="21"/>
      <c r="EXT39" s="21"/>
      <c r="EXU39" s="21"/>
      <c r="EXV39" s="21"/>
      <c r="EXW39" s="21"/>
      <c r="EXX39" s="21"/>
      <c r="EXY39" s="21"/>
      <c r="EXZ39" s="21"/>
      <c r="EYA39" s="21"/>
      <c r="EYB39" s="21"/>
      <c r="EYC39" s="21"/>
      <c r="EYD39" s="21"/>
      <c r="EYE39" s="21"/>
      <c r="EYF39" s="21"/>
      <c r="EYG39" s="21"/>
      <c r="EYH39" s="21"/>
      <c r="EYI39" s="21"/>
      <c r="EYJ39" s="21"/>
      <c r="EYK39" s="21"/>
      <c r="EYL39" s="21"/>
      <c r="EYM39" s="21"/>
      <c r="EYN39" s="21"/>
      <c r="EYO39" s="21"/>
      <c r="EYP39" s="21"/>
      <c r="EYQ39" s="21"/>
      <c r="EYR39" s="21"/>
      <c r="EYS39" s="21"/>
      <c r="EYT39" s="21"/>
      <c r="EYU39" s="21"/>
      <c r="EYV39" s="21"/>
      <c r="EYW39" s="21"/>
      <c r="EYX39" s="21"/>
      <c r="EYY39" s="21"/>
      <c r="EYZ39" s="21"/>
      <c r="EZA39" s="21"/>
      <c r="EZB39" s="21"/>
      <c r="EZC39" s="21"/>
      <c r="EZD39" s="21"/>
      <c r="EZE39" s="21"/>
      <c r="EZF39" s="21"/>
      <c r="EZG39" s="21"/>
      <c r="EZH39" s="21"/>
      <c r="EZI39" s="21"/>
      <c r="EZJ39" s="21"/>
      <c r="EZK39" s="21"/>
      <c r="EZL39" s="21"/>
      <c r="EZM39" s="21"/>
      <c r="EZN39" s="21"/>
      <c r="EZO39" s="21"/>
      <c r="EZP39" s="21"/>
      <c r="EZQ39" s="21"/>
      <c r="EZR39" s="21"/>
      <c r="EZS39" s="21"/>
      <c r="EZT39" s="21"/>
      <c r="EZU39" s="21"/>
      <c r="EZV39" s="21"/>
      <c r="EZW39" s="21"/>
      <c r="EZX39" s="21"/>
      <c r="EZY39" s="21"/>
      <c r="EZZ39" s="21"/>
      <c r="FAA39" s="21"/>
      <c r="FAB39" s="21"/>
      <c r="FAC39" s="21"/>
      <c r="FAD39" s="21"/>
      <c r="FAE39" s="21"/>
      <c r="FAF39" s="21"/>
      <c r="FAG39" s="21"/>
      <c r="FAH39" s="21"/>
      <c r="FAI39" s="21"/>
      <c r="FAJ39" s="21"/>
      <c r="FAK39" s="21"/>
      <c r="FAL39" s="21"/>
      <c r="FAM39" s="21"/>
      <c r="FAN39" s="21"/>
      <c r="FAO39" s="21"/>
      <c r="FAP39" s="21"/>
      <c r="FAQ39" s="21"/>
      <c r="FAR39" s="21"/>
      <c r="FAS39" s="21"/>
      <c r="FAT39" s="21"/>
      <c r="FAU39" s="21"/>
      <c r="FAV39" s="21"/>
      <c r="FAW39" s="21"/>
      <c r="FAX39" s="21"/>
      <c r="FAY39" s="21"/>
      <c r="FAZ39" s="21"/>
      <c r="FBA39" s="21"/>
      <c r="FBB39" s="21"/>
      <c r="FBC39" s="21"/>
      <c r="FBD39" s="21"/>
      <c r="FBE39" s="21"/>
      <c r="FBF39" s="21"/>
      <c r="FBG39" s="21"/>
      <c r="FBH39" s="21"/>
      <c r="FBI39" s="21"/>
      <c r="FBJ39" s="21"/>
      <c r="FBK39" s="21"/>
      <c r="FBL39" s="21"/>
      <c r="FBM39" s="21"/>
      <c r="FBN39" s="21"/>
      <c r="FBO39" s="21"/>
      <c r="FBP39" s="21"/>
      <c r="FBQ39" s="21"/>
      <c r="FBR39" s="21"/>
      <c r="FBS39" s="21"/>
      <c r="FBT39" s="21"/>
      <c r="FBU39" s="21"/>
      <c r="FBV39" s="21"/>
      <c r="FBW39" s="21"/>
      <c r="FBX39" s="21"/>
      <c r="FBY39" s="21"/>
      <c r="FBZ39" s="21"/>
      <c r="FCA39" s="21"/>
      <c r="FCB39" s="21"/>
      <c r="FCC39" s="21"/>
      <c r="FCD39" s="21"/>
      <c r="FCE39" s="21"/>
      <c r="FCF39" s="21"/>
      <c r="FCG39" s="21"/>
      <c r="FCH39" s="21"/>
      <c r="FCI39" s="21"/>
      <c r="FCJ39" s="21"/>
      <c r="FCK39" s="21"/>
      <c r="FCL39" s="21"/>
      <c r="FCM39" s="21"/>
      <c r="FCN39" s="21"/>
      <c r="FCO39" s="21"/>
      <c r="FCP39" s="21"/>
      <c r="FCQ39" s="21"/>
      <c r="FCR39" s="21"/>
      <c r="FCS39" s="21"/>
      <c r="FCT39" s="21"/>
      <c r="FCU39" s="21"/>
      <c r="FCV39" s="21"/>
      <c r="FCW39" s="21"/>
      <c r="FCX39" s="21"/>
      <c r="FCY39" s="21"/>
      <c r="FCZ39" s="21"/>
      <c r="FDA39" s="21"/>
      <c r="FDB39" s="21"/>
      <c r="FDC39" s="21"/>
      <c r="FDD39" s="21"/>
      <c r="FDE39" s="21"/>
      <c r="FDF39" s="21"/>
      <c r="FDG39" s="21"/>
      <c r="FDH39" s="21"/>
      <c r="FDI39" s="21"/>
      <c r="FDJ39" s="21"/>
      <c r="FDK39" s="21"/>
      <c r="FDL39" s="21"/>
      <c r="FDM39" s="21"/>
      <c r="FDN39" s="21"/>
      <c r="FDO39" s="21"/>
      <c r="FDP39" s="21"/>
      <c r="FDQ39" s="21"/>
      <c r="FDR39" s="21"/>
      <c r="FDS39" s="21"/>
      <c r="FDT39" s="21"/>
      <c r="FDU39" s="21"/>
      <c r="FDV39" s="21"/>
      <c r="FDW39" s="21"/>
      <c r="FDX39" s="21"/>
      <c r="FDY39" s="21"/>
      <c r="FDZ39" s="21"/>
      <c r="FEA39" s="21"/>
      <c r="FEB39" s="21"/>
      <c r="FEC39" s="21"/>
      <c r="FED39" s="21"/>
      <c r="FEE39" s="21"/>
      <c r="FEF39" s="21"/>
      <c r="FEG39" s="21"/>
      <c r="FEH39" s="21"/>
      <c r="FEI39" s="21"/>
      <c r="FEJ39" s="21"/>
      <c r="FEK39" s="21"/>
      <c r="FEL39" s="21"/>
      <c r="FEM39" s="21"/>
      <c r="FEN39" s="21"/>
      <c r="FEO39" s="21"/>
      <c r="FEP39" s="21"/>
      <c r="FEQ39" s="21"/>
      <c r="FER39" s="21"/>
      <c r="FES39" s="21"/>
      <c r="FET39" s="21"/>
      <c r="FEU39" s="21"/>
      <c r="FEV39" s="21"/>
      <c r="FEW39" s="21"/>
      <c r="FEX39" s="21"/>
      <c r="FEY39" s="21"/>
      <c r="FEZ39" s="21"/>
      <c r="FFA39" s="21"/>
      <c r="FFB39" s="21"/>
      <c r="FFC39" s="21"/>
      <c r="FFD39" s="21"/>
      <c r="FFE39" s="21"/>
      <c r="FFF39" s="21"/>
      <c r="FFG39" s="21"/>
      <c r="FFH39" s="21"/>
      <c r="FFI39" s="21"/>
      <c r="FFJ39" s="21"/>
      <c r="FFK39" s="21"/>
      <c r="FFL39" s="21"/>
      <c r="FFM39" s="21"/>
      <c r="FFN39" s="21"/>
      <c r="FFO39" s="21"/>
      <c r="FFP39" s="21"/>
      <c r="FFQ39" s="21"/>
      <c r="FFR39" s="21"/>
      <c r="FFS39" s="21"/>
      <c r="FFT39" s="21"/>
      <c r="FFU39" s="21"/>
      <c r="FFV39" s="21"/>
      <c r="FFW39" s="21"/>
      <c r="FFX39" s="21"/>
      <c r="FFY39" s="21"/>
      <c r="FFZ39" s="21"/>
      <c r="FGA39" s="21"/>
      <c r="FGB39" s="21"/>
      <c r="FGC39" s="21"/>
      <c r="FGD39" s="21"/>
      <c r="FGE39" s="21"/>
      <c r="FGF39" s="21"/>
      <c r="FGG39" s="21"/>
      <c r="FGH39" s="21"/>
      <c r="FGI39" s="21"/>
      <c r="FGJ39" s="21"/>
      <c r="FGK39" s="21"/>
      <c r="FGL39" s="21"/>
      <c r="FGM39" s="21"/>
      <c r="FGN39" s="21"/>
      <c r="FGO39" s="21"/>
      <c r="FGP39" s="21"/>
      <c r="FGQ39" s="21"/>
      <c r="FGR39" s="21"/>
      <c r="FGS39" s="21"/>
      <c r="FGT39" s="21"/>
      <c r="FGU39" s="21"/>
      <c r="FGV39" s="21"/>
      <c r="FGW39" s="21"/>
      <c r="FGX39" s="21"/>
      <c r="FGY39" s="21"/>
      <c r="FGZ39" s="21"/>
      <c r="FHA39" s="21"/>
      <c r="FHB39" s="21"/>
      <c r="FHC39" s="21"/>
      <c r="FHD39" s="21"/>
      <c r="FHE39" s="21"/>
      <c r="FHF39" s="21"/>
      <c r="FHG39" s="21"/>
      <c r="FHH39" s="21"/>
      <c r="FHI39" s="21"/>
      <c r="FHJ39" s="21"/>
      <c r="FHK39" s="21"/>
      <c r="FHL39" s="21"/>
      <c r="FHM39" s="21"/>
      <c r="FHN39" s="21"/>
      <c r="FHO39" s="21"/>
      <c r="FHP39" s="21"/>
      <c r="FHQ39" s="21"/>
      <c r="FHR39" s="21"/>
      <c r="FHS39" s="21"/>
      <c r="FHT39" s="21"/>
      <c r="FHU39" s="21"/>
      <c r="FHV39" s="21"/>
      <c r="FHW39" s="21"/>
      <c r="FHX39" s="21"/>
      <c r="FHY39" s="21"/>
      <c r="FHZ39" s="21"/>
      <c r="FIA39" s="21"/>
      <c r="FIB39" s="21"/>
      <c r="FIC39" s="21"/>
      <c r="FID39" s="21"/>
      <c r="FIE39" s="21"/>
      <c r="FIF39" s="21"/>
      <c r="FIG39" s="21"/>
      <c r="FIH39" s="21"/>
      <c r="FII39" s="21"/>
      <c r="FIJ39" s="21"/>
      <c r="FIK39" s="21"/>
      <c r="FIL39" s="21"/>
      <c r="FIM39" s="21"/>
      <c r="FIN39" s="21"/>
      <c r="FIO39" s="21"/>
      <c r="FIP39" s="21"/>
      <c r="FIQ39" s="21"/>
      <c r="FIR39" s="21"/>
      <c r="FIS39" s="21"/>
      <c r="FIT39" s="21"/>
      <c r="FIU39" s="21"/>
      <c r="FIV39" s="21"/>
      <c r="FIW39" s="21"/>
      <c r="FIX39" s="21"/>
      <c r="FIY39" s="21"/>
      <c r="FIZ39" s="21"/>
      <c r="FJA39" s="21"/>
      <c r="FJB39" s="21"/>
      <c r="FJC39" s="21"/>
      <c r="FJD39" s="21"/>
      <c r="FJE39" s="21"/>
      <c r="FJF39" s="21"/>
      <c r="FJG39" s="21"/>
      <c r="FJH39" s="21"/>
      <c r="FJI39" s="21"/>
      <c r="FJJ39" s="21"/>
      <c r="FJK39" s="21"/>
      <c r="FJL39" s="21"/>
      <c r="FJM39" s="21"/>
      <c r="FJN39" s="21"/>
      <c r="FJO39" s="21"/>
      <c r="FJP39" s="21"/>
      <c r="FJQ39" s="21"/>
      <c r="FJR39" s="21"/>
      <c r="FJS39" s="21"/>
      <c r="FJT39" s="21"/>
      <c r="FJU39" s="21"/>
      <c r="FJV39" s="21"/>
      <c r="FJW39" s="21"/>
      <c r="FJX39" s="21"/>
      <c r="FJY39" s="21"/>
      <c r="FJZ39" s="21"/>
      <c r="FKA39" s="21"/>
      <c r="FKB39" s="21"/>
      <c r="FKC39" s="21"/>
      <c r="FKD39" s="21"/>
      <c r="FKE39" s="21"/>
      <c r="FKF39" s="21"/>
      <c r="FKG39" s="21"/>
      <c r="FKH39" s="21"/>
      <c r="FKI39" s="21"/>
      <c r="FKJ39" s="21"/>
      <c r="FKK39" s="21"/>
      <c r="FKL39" s="21"/>
      <c r="FKM39" s="21"/>
      <c r="FKN39" s="21"/>
      <c r="FKO39" s="21"/>
      <c r="FKP39" s="21"/>
      <c r="FKQ39" s="21"/>
      <c r="FKR39" s="21"/>
      <c r="FKS39" s="21"/>
      <c r="FKT39" s="21"/>
      <c r="FKU39" s="21"/>
      <c r="FKV39" s="21"/>
      <c r="FKW39" s="21"/>
      <c r="FKX39" s="21"/>
      <c r="FKY39" s="21"/>
      <c r="FKZ39" s="21"/>
      <c r="FLA39" s="21"/>
      <c r="FLB39" s="21"/>
      <c r="FLC39" s="21"/>
      <c r="FLD39" s="21"/>
      <c r="FLE39" s="21"/>
      <c r="FLF39" s="21"/>
      <c r="FLG39" s="21"/>
      <c r="FLH39" s="21"/>
      <c r="FLI39" s="21"/>
      <c r="FLJ39" s="21"/>
      <c r="FLK39" s="21"/>
      <c r="FLL39" s="21"/>
      <c r="FLM39" s="21"/>
      <c r="FLN39" s="21"/>
      <c r="FLO39" s="21"/>
      <c r="FLP39" s="21"/>
      <c r="FLQ39" s="21"/>
      <c r="FLR39" s="21"/>
      <c r="FLS39" s="21"/>
      <c r="FLT39" s="21"/>
      <c r="FLU39" s="21"/>
      <c r="FLV39" s="21"/>
      <c r="FLW39" s="21"/>
      <c r="FLX39" s="21"/>
      <c r="FLY39" s="21"/>
      <c r="FLZ39" s="21"/>
      <c r="FMA39" s="21"/>
      <c r="FMB39" s="21"/>
      <c r="FMC39" s="21"/>
      <c r="FMD39" s="21"/>
      <c r="FME39" s="21"/>
      <c r="FMF39" s="21"/>
      <c r="FMG39" s="21"/>
      <c r="FMH39" s="21"/>
      <c r="FMI39" s="21"/>
      <c r="FMJ39" s="21"/>
      <c r="FMK39" s="21"/>
      <c r="FML39" s="21"/>
      <c r="FMM39" s="21"/>
      <c r="FMN39" s="21"/>
      <c r="FMO39" s="21"/>
      <c r="FMP39" s="21"/>
      <c r="FMQ39" s="21"/>
      <c r="FMR39" s="21"/>
      <c r="FMS39" s="21"/>
      <c r="FMT39" s="21"/>
      <c r="FMU39" s="21"/>
      <c r="FMV39" s="21"/>
      <c r="FMW39" s="21"/>
      <c r="FMX39" s="21"/>
      <c r="FMY39" s="21"/>
      <c r="FMZ39" s="21"/>
      <c r="FNA39" s="21"/>
      <c r="FNB39" s="21"/>
      <c r="FNC39" s="21"/>
      <c r="FND39" s="21"/>
      <c r="FNE39" s="21"/>
      <c r="FNF39" s="21"/>
      <c r="FNG39" s="21"/>
      <c r="FNH39" s="21"/>
      <c r="FNI39" s="21"/>
      <c r="FNJ39" s="21"/>
      <c r="FNK39" s="21"/>
      <c r="FNL39" s="21"/>
      <c r="FNM39" s="21"/>
      <c r="FNN39" s="21"/>
      <c r="FNO39" s="21"/>
      <c r="FNP39" s="21"/>
      <c r="FNQ39" s="21"/>
      <c r="FNR39" s="21"/>
      <c r="FNS39" s="21"/>
      <c r="FNT39" s="21"/>
      <c r="FNU39" s="21"/>
      <c r="FNV39" s="21"/>
      <c r="FNW39" s="21"/>
      <c r="FNX39" s="21"/>
      <c r="FNY39" s="21"/>
      <c r="FNZ39" s="21"/>
      <c r="FOA39" s="21"/>
      <c r="FOB39" s="21"/>
      <c r="FOC39" s="21"/>
      <c r="FOD39" s="21"/>
      <c r="FOE39" s="21"/>
      <c r="FOF39" s="21"/>
      <c r="FOG39" s="21"/>
      <c r="FOH39" s="21"/>
      <c r="FOI39" s="21"/>
      <c r="FOJ39" s="21"/>
      <c r="FOK39" s="21"/>
      <c r="FOL39" s="21"/>
      <c r="FOM39" s="21"/>
      <c r="FON39" s="21"/>
      <c r="FOO39" s="21"/>
      <c r="FOP39" s="21"/>
      <c r="FOQ39" s="21"/>
      <c r="FOR39" s="21"/>
      <c r="FOS39" s="21"/>
      <c r="FOT39" s="21"/>
      <c r="FOU39" s="21"/>
      <c r="FOV39" s="21"/>
      <c r="FOW39" s="21"/>
      <c r="FOX39" s="21"/>
      <c r="FOY39" s="21"/>
      <c r="FOZ39" s="21"/>
      <c r="FPA39" s="21"/>
      <c r="FPB39" s="21"/>
      <c r="FPC39" s="21"/>
      <c r="FPD39" s="21"/>
      <c r="FPE39" s="21"/>
      <c r="FPF39" s="21"/>
      <c r="FPG39" s="21"/>
      <c r="FPH39" s="21"/>
      <c r="FPI39" s="21"/>
      <c r="FPJ39" s="21"/>
      <c r="FPK39" s="21"/>
      <c r="FPL39" s="21"/>
      <c r="FPM39" s="21"/>
      <c r="FPN39" s="21"/>
      <c r="FPO39" s="21"/>
      <c r="FPP39" s="21"/>
      <c r="FPQ39" s="21"/>
      <c r="FPR39" s="21"/>
      <c r="FPS39" s="21"/>
      <c r="FPT39" s="21"/>
      <c r="FPU39" s="21"/>
      <c r="FPV39" s="21"/>
      <c r="FPW39" s="21"/>
      <c r="FPX39" s="21"/>
      <c r="FPY39" s="21"/>
      <c r="FPZ39" s="21"/>
      <c r="FQA39" s="21"/>
      <c r="FQB39" s="21"/>
      <c r="FQC39" s="21"/>
      <c r="FQD39" s="21"/>
      <c r="FQE39" s="21"/>
      <c r="FQF39" s="21"/>
      <c r="FQG39" s="21"/>
      <c r="FQH39" s="21"/>
      <c r="FQI39" s="21"/>
      <c r="FQJ39" s="21"/>
      <c r="FQK39" s="21"/>
      <c r="FQL39" s="21"/>
      <c r="FQM39" s="21"/>
      <c r="FQN39" s="21"/>
      <c r="FQO39" s="21"/>
      <c r="FQP39" s="21"/>
      <c r="FQQ39" s="21"/>
      <c r="FQR39" s="21"/>
      <c r="FQS39" s="21"/>
      <c r="FQT39" s="21"/>
      <c r="FQU39" s="21"/>
      <c r="FQV39" s="21"/>
      <c r="FQW39" s="21"/>
      <c r="FQX39" s="21"/>
      <c r="FQY39" s="21"/>
      <c r="FQZ39" s="21"/>
      <c r="FRA39" s="21"/>
      <c r="FRB39" s="21"/>
      <c r="FRC39" s="21"/>
      <c r="FRD39" s="21"/>
      <c r="FRE39" s="21"/>
      <c r="FRF39" s="21"/>
      <c r="FRG39" s="21"/>
      <c r="FRH39" s="21"/>
      <c r="FRI39" s="21"/>
      <c r="FRJ39" s="21"/>
      <c r="FRK39" s="21"/>
      <c r="FRL39" s="21"/>
      <c r="FRM39" s="21"/>
      <c r="FRN39" s="21"/>
      <c r="FRO39" s="21"/>
      <c r="FRP39" s="21"/>
      <c r="FRQ39" s="21"/>
      <c r="FRR39" s="21"/>
      <c r="FRS39" s="21"/>
      <c r="FRT39" s="21"/>
      <c r="FRU39" s="21"/>
      <c r="FRV39" s="21"/>
      <c r="FRW39" s="21"/>
      <c r="FRX39" s="21"/>
      <c r="FRY39" s="21"/>
      <c r="FRZ39" s="21"/>
      <c r="FSA39" s="21"/>
      <c r="FSB39" s="21"/>
      <c r="FSC39" s="21"/>
      <c r="FSD39" s="21"/>
      <c r="FSE39" s="21"/>
      <c r="FSF39" s="21"/>
      <c r="FSG39" s="21"/>
      <c r="FSH39" s="21"/>
      <c r="FSI39" s="21"/>
      <c r="FSJ39" s="21"/>
      <c r="FSK39" s="21"/>
      <c r="FSL39" s="21"/>
      <c r="FSM39" s="21"/>
      <c r="FSN39" s="21"/>
      <c r="FSO39" s="21"/>
      <c r="FSP39" s="21"/>
      <c r="FSQ39" s="21"/>
      <c r="FSR39" s="21"/>
      <c r="FSS39" s="21"/>
      <c r="FST39" s="21"/>
      <c r="FSU39" s="21"/>
      <c r="FSV39" s="21"/>
      <c r="FSW39" s="21"/>
      <c r="FSX39" s="21"/>
      <c r="FSY39" s="21"/>
      <c r="FSZ39" s="21"/>
      <c r="FTA39" s="21"/>
      <c r="FTB39" s="21"/>
      <c r="FTC39" s="21"/>
      <c r="FTD39" s="21"/>
      <c r="FTE39" s="21"/>
      <c r="FTF39" s="21"/>
      <c r="FTG39" s="21"/>
      <c r="FTH39" s="21"/>
      <c r="FTI39" s="21"/>
      <c r="FTJ39" s="21"/>
      <c r="FTK39" s="21"/>
      <c r="FTL39" s="21"/>
      <c r="FTM39" s="21"/>
      <c r="FTN39" s="21"/>
      <c r="FTO39" s="21"/>
      <c r="FTP39" s="21"/>
      <c r="FTQ39" s="21"/>
      <c r="FTR39" s="21"/>
      <c r="FTS39" s="21"/>
      <c r="FTT39" s="21"/>
      <c r="FTU39" s="21"/>
      <c r="FTV39" s="21"/>
      <c r="FTW39" s="21"/>
      <c r="FTX39" s="21"/>
      <c r="FTY39" s="21"/>
      <c r="FTZ39" s="21"/>
      <c r="FUA39" s="21"/>
      <c r="FUB39" s="21"/>
      <c r="FUC39" s="21"/>
      <c r="FUD39" s="21"/>
      <c r="FUE39" s="21"/>
      <c r="FUF39" s="21"/>
      <c r="FUG39" s="21"/>
      <c r="FUH39" s="21"/>
      <c r="FUI39" s="21"/>
      <c r="FUJ39" s="21"/>
      <c r="FUK39" s="21"/>
      <c r="FUL39" s="21"/>
      <c r="FUM39" s="21"/>
      <c r="FUN39" s="21"/>
      <c r="FUO39" s="21"/>
      <c r="FUP39" s="21"/>
      <c r="FUQ39" s="21"/>
      <c r="FUR39" s="21"/>
      <c r="FUS39" s="21"/>
      <c r="FUT39" s="21"/>
      <c r="FUU39" s="21"/>
      <c r="FUV39" s="21"/>
      <c r="FUW39" s="21"/>
      <c r="FUX39" s="21"/>
      <c r="FUY39" s="21"/>
      <c r="FUZ39" s="21"/>
      <c r="FVA39" s="21"/>
      <c r="FVB39" s="21"/>
      <c r="FVC39" s="21"/>
      <c r="FVD39" s="21"/>
      <c r="FVE39" s="21"/>
      <c r="FVF39" s="21"/>
      <c r="FVG39" s="21"/>
      <c r="FVH39" s="21"/>
      <c r="FVI39" s="21"/>
      <c r="FVJ39" s="21"/>
      <c r="FVK39" s="21"/>
      <c r="FVL39" s="21"/>
      <c r="FVM39" s="21"/>
      <c r="FVN39" s="21"/>
      <c r="FVO39" s="21"/>
      <c r="FVP39" s="21"/>
      <c r="FVQ39" s="21"/>
      <c r="FVR39" s="21"/>
      <c r="FVS39" s="21"/>
      <c r="FVT39" s="21"/>
      <c r="FVU39" s="21"/>
      <c r="FVV39" s="21"/>
      <c r="FVW39" s="21"/>
      <c r="FVX39" s="21"/>
      <c r="FVY39" s="21"/>
      <c r="FVZ39" s="21"/>
      <c r="FWA39" s="21"/>
      <c r="FWB39" s="21"/>
      <c r="FWC39" s="21"/>
      <c r="FWD39" s="21"/>
      <c r="FWE39" s="21"/>
      <c r="FWF39" s="21"/>
      <c r="FWG39" s="21"/>
      <c r="FWH39" s="21"/>
      <c r="FWI39" s="21"/>
      <c r="FWJ39" s="21"/>
      <c r="FWK39" s="21"/>
      <c r="FWL39" s="21"/>
      <c r="FWM39" s="21"/>
      <c r="FWN39" s="21"/>
      <c r="FWO39" s="21"/>
      <c r="FWP39" s="21"/>
      <c r="FWQ39" s="21"/>
      <c r="FWR39" s="21"/>
      <c r="FWS39" s="21"/>
      <c r="FWT39" s="21"/>
      <c r="FWU39" s="21"/>
      <c r="FWV39" s="21"/>
      <c r="FWW39" s="21"/>
      <c r="FWX39" s="21"/>
      <c r="FWY39" s="21"/>
      <c r="FWZ39" s="21"/>
      <c r="FXA39" s="21"/>
      <c r="FXB39" s="21"/>
      <c r="FXC39" s="21"/>
      <c r="FXD39" s="21"/>
      <c r="FXE39" s="21"/>
      <c r="FXF39" s="21"/>
      <c r="FXG39" s="21"/>
      <c r="FXH39" s="21"/>
      <c r="FXI39" s="21"/>
      <c r="FXJ39" s="21"/>
      <c r="FXK39" s="21"/>
      <c r="FXL39" s="21"/>
      <c r="FXM39" s="21"/>
      <c r="FXN39" s="21"/>
      <c r="FXO39" s="21"/>
      <c r="FXP39" s="21"/>
      <c r="FXQ39" s="21"/>
      <c r="FXR39" s="21"/>
      <c r="FXS39" s="21"/>
      <c r="FXT39" s="21"/>
      <c r="FXU39" s="21"/>
      <c r="FXV39" s="21"/>
      <c r="FXW39" s="21"/>
      <c r="FXX39" s="21"/>
      <c r="FXY39" s="21"/>
      <c r="FXZ39" s="21"/>
      <c r="FYA39" s="21"/>
      <c r="FYB39" s="21"/>
      <c r="FYC39" s="21"/>
      <c r="FYD39" s="21"/>
      <c r="FYE39" s="21"/>
      <c r="FYF39" s="21"/>
      <c r="FYG39" s="21"/>
      <c r="FYH39" s="21"/>
      <c r="FYI39" s="21"/>
      <c r="FYJ39" s="21"/>
      <c r="FYK39" s="21"/>
      <c r="FYL39" s="21"/>
      <c r="FYM39" s="21"/>
      <c r="FYN39" s="21"/>
      <c r="FYO39" s="21"/>
      <c r="FYP39" s="21"/>
      <c r="FYQ39" s="21"/>
      <c r="FYR39" s="21"/>
      <c r="FYS39" s="21"/>
      <c r="FYT39" s="21"/>
      <c r="FYU39" s="21"/>
      <c r="FYV39" s="21"/>
      <c r="FYW39" s="21"/>
      <c r="FYX39" s="21"/>
      <c r="FYY39" s="21"/>
      <c r="FYZ39" s="21"/>
      <c r="FZA39" s="21"/>
      <c r="FZB39" s="21"/>
      <c r="FZC39" s="21"/>
      <c r="FZD39" s="21"/>
      <c r="FZE39" s="21"/>
      <c r="FZF39" s="21"/>
      <c r="FZG39" s="21"/>
      <c r="FZH39" s="21"/>
      <c r="FZI39" s="21"/>
      <c r="FZJ39" s="21"/>
      <c r="FZK39" s="21"/>
      <c r="FZL39" s="21"/>
      <c r="FZM39" s="21"/>
      <c r="FZN39" s="21"/>
      <c r="FZO39" s="21"/>
      <c r="FZP39" s="21"/>
      <c r="FZQ39" s="21"/>
      <c r="FZR39" s="21"/>
      <c r="FZS39" s="21"/>
      <c r="FZT39" s="21"/>
      <c r="FZU39" s="21"/>
      <c r="FZV39" s="21"/>
      <c r="FZW39" s="21"/>
      <c r="FZX39" s="21"/>
      <c r="FZY39" s="21"/>
      <c r="FZZ39" s="21"/>
      <c r="GAA39" s="21"/>
      <c r="GAB39" s="21"/>
      <c r="GAC39" s="21"/>
      <c r="GAD39" s="21"/>
      <c r="GAE39" s="21"/>
      <c r="GAF39" s="21"/>
      <c r="GAG39" s="21"/>
      <c r="GAH39" s="21"/>
      <c r="GAI39" s="21"/>
      <c r="GAJ39" s="21"/>
      <c r="GAK39" s="21"/>
      <c r="GAL39" s="21"/>
      <c r="GAM39" s="21"/>
      <c r="GAN39" s="21"/>
      <c r="GAO39" s="21"/>
      <c r="GAP39" s="21"/>
      <c r="GAQ39" s="21"/>
      <c r="GAR39" s="21"/>
      <c r="GAS39" s="21"/>
      <c r="GAT39" s="21"/>
      <c r="GAU39" s="21"/>
      <c r="GAV39" s="21"/>
      <c r="GAW39" s="21"/>
      <c r="GAX39" s="21"/>
      <c r="GAY39" s="21"/>
      <c r="GAZ39" s="21"/>
      <c r="GBA39" s="21"/>
      <c r="GBB39" s="21"/>
      <c r="GBC39" s="21"/>
      <c r="GBD39" s="21"/>
      <c r="GBE39" s="21"/>
      <c r="GBF39" s="21"/>
      <c r="GBG39" s="21"/>
      <c r="GBH39" s="21"/>
      <c r="GBI39" s="21"/>
      <c r="GBJ39" s="21"/>
      <c r="GBK39" s="21"/>
      <c r="GBL39" s="21"/>
      <c r="GBM39" s="21"/>
      <c r="GBN39" s="21"/>
      <c r="GBO39" s="21"/>
      <c r="GBP39" s="21"/>
      <c r="GBQ39" s="21"/>
      <c r="GBR39" s="21"/>
      <c r="GBS39" s="21"/>
      <c r="GBT39" s="21"/>
      <c r="GBU39" s="21"/>
      <c r="GBV39" s="21"/>
      <c r="GBW39" s="21"/>
      <c r="GBX39" s="21"/>
      <c r="GBY39" s="21"/>
      <c r="GBZ39" s="21"/>
      <c r="GCA39" s="21"/>
      <c r="GCB39" s="21"/>
      <c r="GCC39" s="21"/>
      <c r="GCD39" s="21"/>
      <c r="GCE39" s="21"/>
      <c r="GCF39" s="21"/>
      <c r="GCG39" s="21"/>
      <c r="GCH39" s="21"/>
      <c r="GCI39" s="21"/>
      <c r="GCJ39" s="21"/>
      <c r="GCK39" s="21"/>
      <c r="GCL39" s="21"/>
      <c r="GCM39" s="21"/>
      <c r="GCN39" s="21"/>
      <c r="GCO39" s="21"/>
      <c r="GCP39" s="21"/>
      <c r="GCQ39" s="21"/>
      <c r="GCR39" s="21"/>
      <c r="GCS39" s="21"/>
      <c r="GCT39" s="21"/>
      <c r="GCU39" s="21"/>
      <c r="GCV39" s="21"/>
      <c r="GCW39" s="21"/>
      <c r="GCX39" s="21"/>
      <c r="GCY39" s="21"/>
      <c r="GCZ39" s="21"/>
      <c r="GDA39" s="21"/>
      <c r="GDB39" s="21"/>
      <c r="GDC39" s="21"/>
      <c r="GDD39" s="21"/>
      <c r="GDE39" s="21"/>
      <c r="GDF39" s="21"/>
      <c r="GDG39" s="21"/>
      <c r="GDH39" s="21"/>
      <c r="GDI39" s="21"/>
      <c r="GDJ39" s="21"/>
      <c r="GDK39" s="21"/>
      <c r="GDL39" s="21"/>
      <c r="GDM39" s="21"/>
      <c r="GDN39" s="21"/>
      <c r="GDO39" s="21"/>
      <c r="GDP39" s="21"/>
      <c r="GDQ39" s="21"/>
      <c r="GDR39" s="21"/>
      <c r="GDS39" s="21"/>
      <c r="GDT39" s="21"/>
      <c r="GDU39" s="21"/>
      <c r="GDV39" s="21"/>
      <c r="GDW39" s="21"/>
      <c r="GDX39" s="21"/>
      <c r="GDY39" s="21"/>
      <c r="GDZ39" s="21"/>
      <c r="GEA39" s="21"/>
      <c r="GEB39" s="21"/>
      <c r="GEC39" s="21"/>
      <c r="GED39" s="21"/>
      <c r="GEE39" s="21"/>
      <c r="GEF39" s="21"/>
      <c r="GEG39" s="21"/>
      <c r="GEH39" s="21"/>
      <c r="GEI39" s="21"/>
      <c r="GEJ39" s="21"/>
      <c r="GEK39" s="21"/>
      <c r="GEL39" s="21"/>
      <c r="GEM39" s="21"/>
      <c r="GEN39" s="21"/>
      <c r="GEO39" s="21"/>
      <c r="GEP39" s="21"/>
      <c r="GEQ39" s="21"/>
      <c r="GER39" s="21"/>
      <c r="GES39" s="21"/>
      <c r="GET39" s="21"/>
      <c r="GEU39" s="21"/>
      <c r="GEV39" s="21"/>
      <c r="GEW39" s="21"/>
      <c r="GEX39" s="21"/>
      <c r="GEY39" s="21"/>
      <c r="GEZ39" s="21"/>
      <c r="GFA39" s="21"/>
      <c r="GFB39" s="21"/>
      <c r="GFC39" s="21"/>
      <c r="GFD39" s="21"/>
      <c r="GFE39" s="21"/>
      <c r="GFF39" s="21"/>
      <c r="GFG39" s="21"/>
      <c r="GFH39" s="21"/>
      <c r="GFI39" s="21"/>
      <c r="GFJ39" s="21"/>
      <c r="GFK39" s="21"/>
      <c r="GFL39" s="21"/>
      <c r="GFM39" s="21"/>
      <c r="GFN39" s="21"/>
      <c r="GFO39" s="21"/>
      <c r="GFP39" s="21"/>
      <c r="GFQ39" s="21"/>
      <c r="GFR39" s="21"/>
      <c r="GFS39" s="21"/>
      <c r="GFT39" s="21"/>
      <c r="GFU39" s="21"/>
      <c r="GFV39" s="21"/>
      <c r="GFW39" s="21"/>
      <c r="GFX39" s="21"/>
      <c r="GFY39" s="21"/>
      <c r="GFZ39" s="21"/>
      <c r="GGA39" s="21"/>
      <c r="GGB39" s="21"/>
      <c r="GGC39" s="21"/>
      <c r="GGD39" s="21"/>
      <c r="GGE39" s="21"/>
      <c r="GGF39" s="21"/>
      <c r="GGG39" s="21"/>
      <c r="GGH39" s="21"/>
      <c r="GGI39" s="21"/>
      <c r="GGJ39" s="21"/>
      <c r="GGK39" s="21"/>
      <c r="GGL39" s="21"/>
      <c r="GGM39" s="21"/>
      <c r="GGN39" s="21"/>
      <c r="GGO39" s="21"/>
      <c r="GGP39" s="21"/>
      <c r="GGQ39" s="21"/>
      <c r="GGR39" s="21"/>
      <c r="GGS39" s="21"/>
      <c r="GGT39" s="21"/>
      <c r="GGU39" s="21"/>
      <c r="GGV39" s="21"/>
      <c r="GGW39" s="21"/>
      <c r="GGX39" s="21"/>
      <c r="GGY39" s="21"/>
      <c r="GGZ39" s="21"/>
      <c r="GHA39" s="21"/>
      <c r="GHB39" s="21"/>
      <c r="GHC39" s="21"/>
      <c r="GHD39" s="21"/>
      <c r="GHE39" s="21"/>
      <c r="GHF39" s="21"/>
      <c r="GHG39" s="21"/>
      <c r="GHH39" s="21"/>
      <c r="GHI39" s="21"/>
      <c r="GHJ39" s="21"/>
      <c r="GHK39" s="21"/>
      <c r="GHL39" s="21"/>
      <c r="GHM39" s="21"/>
      <c r="GHN39" s="21"/>
      <c r="GHO39" s="21"/>
      <c r="GHP39" s="21"/>
      <c r="GHQ39" s="21"/>
      <c r="GHR39" s="21"/>
      <c r="GHS39" s="21"/>
      <c r="GHT39" s="21"/>
      <c r="GHU39" s="21"/>
      <c r="GHV39" s="21"/>
      <c r="GHW39" s="21"/>
      <c r="GHX39" s="21"/>
      <c r="GHY39" s="21"/>
      <c r="GHZ39" s="21"/>
      <c r="GIA39" s="21"/>
      <c r="GIB39" s="21"/>
      <c r="GIC39" s="21"/>
      <c r="GID39" s="21"/>
      <c r="GIE39" s="21"/>
      <c r="GIF39" s="21"/>
      <c r="GIG39" s="21"/>
      <c r="GIH39" s="21"/>
      <c r="GII39" s="21"/>
      <c r="GIJ39" s="21"/>
      <c r="GIK39" s="21"/>
      <c r="GIL39" s="21"/>
      <c r="GIM39" s="21"/>
      <c r="GIN39" s="21"/>
      <c r="GIO39" s="21"/>
      <c r="GIP39" s="21"/>
      <c r="GIQ39" s="21"/>
      <c r="GIR39" s="21"/>
      <c r="GIS39" s="21"/>
      <c r="GIT39" s="21"/>
      <c r="GIU39" s="21"/>
      <c r="GIV39" s="21"/>
      <c r="GIW39" s="21"/>
      <c r="GIX39" s="21"/>
      <c r="GIY39" s="21"/>
      <c r="GIZ39" s="21"/>
      <c r="GJA39" s="21"/>
      <c r="GJB39" s="21"/>
      <c r="GJC39" s="21"/>
      <c r="GJD39" s="21"/>
      <c r="GJE39" s="21"/>
      <c r="GJF39" s="21"/>
      <c r="GJG39" s="21"/>
      <c r="GJH39" s="21"/>
      <c r="GJI39" s="21"/>
      <c r="GJJ39" s="21"/>
      <c r="GJK39" s="21"/>
      <c r="GJL39" s="21"/>
      <c r="GJM39" s="21"/>
      <c r="GJN39" s="21"/>
      <c r="GJO39" s="21"/>
      <c r="GJP39" s="21"/>
      <c r="GJQ39" s="21"/>
      <c r="GJR39" s="21"/>
      <c r="GJS39" s="21"/>
      <c r="GJT39" s="21"/>
      <c r="GJU39" s="21"/>
      <c r="GJV39" s="21"/>
      <c r="GJW39" s="21"/>
      <c r="GJX39" s="21"/>
      <c r="GJY39" s="21"/>
      <c r="GJZ39" s="21"/>
      <c r="GKA39" s="21"/>
      <c r="GKB39" s="21"/>
      <c r="GKC39" s="21"/>
      <c r="GKD39" s="21"/>
      <c r="GKE39" s="21"/>
      <c r="GKF39" s="21"/>
      <c r="GKG39" s="21"/>
      <c r="GKH39" s="21"/>
      <c r="GKI39" s="21"/>
      <c r="GKJ39" s="21"/>
      <c r="GKK39" s="21"/>
      <c r="GKL39" s="21"/>
      <c r="GKM39" s="21"/>
      <c r="GKN39" s="21"/>
      <c r="GKO39" s="21"/>
      <c r="GKP39" s="21"/>
      <c r="GKQ39" s="21"/>
      <c r="GKR39" s="21"/>
      <c r="GKS39" s="21"/>
      <c r="GKT39" s="21"/>
      <c r="GKU39" s="21"/>
      <c r="GKV39" s="21"/>
      <c r="GKW39" s="21"/>
      <c r="GKX39" s="21"/>
      <c r="GKY39" s="21"/>
      <c r="GKZ39" s="21"/>
      <c r="GLA39" s="21"/>
      <c r="GLB39" s="21"/>
      <c r="GLC39" s="21"/>
      <c r="GLD39" s="21"/>
      <c r="GLE39" s="21"/>
      <c r="GLF39" s="21"/>
      <c r="GLG39" s="21"/>
      <c r="GLH39" s="21"/>
      <c r="GLI39" s="21"/>
      <c r="GLJ39" s="21"/>
      <c r="GLK39" s="21"/>
      <c r="GLL39" s="21"/>
      <c r="GLM39" s="21"/>
      <c r="GLN39" s="21"/>
      <c r="GLO39" s="21"/>
      <c r="GLP39" s="21"/>
      <c r="GLQ39" s="21"/>
      <c r="GLR39" s="21"/>
      <c r="GLS39" s="21"/>
      <c r="GLT39" s="21"/>
      <c r="GLU39" s="21"/>
      <c r="GLV39" s="21"/>
      <c r="GLW39" s="21"/>
      <c r="GLX39" s="21"/>
      <c r="GLY39" s="21"/>
      <c r="GLZ39" s="21"/>
      <c r="GMA39" s="21"/>
      <c r="GMB39" s="21"/>
      <c r="GMC39" s="21"/>
      <c r="GMD39" s="21"/>
      <c r="GME39" s="21"/>
      <c r="GMF39" s="21"/>
      <c r="GMG39" s="21"/>
      <c r="GMH39" s="21"/>
      <c r="GMI39" s="21"/>
      <c r="GMJ39" s="21"/>
      <c r="GMK39" s="21"/>
      <c r="GML39" s="21"/>
      <c r="GMM39" s="21"/>
      <c r="GMN39" s="21"/>
      <c r="GMO39" s="21"/>
      <c r="GMP39" s="21"/>
      <c r="GMQ39" s="21"/>
      <c r="GMR39" s="21"/>
      <c r="GMS39" s="21"/>
      <c r="GMT39" s="21"/>
      <c r="GMU39" s="21"/>
      <c r="GMV39" s="21"/>
      <c r="GMW39" s="21"/>
      <c r="GMX39" s="21"/>
      <c r="GMY39" s="21"/>
      <c r="GMZ39" s="21"/>
      <c r="GNA39" s="21"/>
      <c r="GNB39" s="21"/>
      <c r="GNC39" s="21"/>
      <c r="GND39" s="21"/>
      <c r="GNE39" s="21"/>
      <c r="GNF39" s="21"/>
      <c r="GNG39" s="21"/>
      <c r="GNH39" s="21"/>
      <c r="GNI39" s="21"/>
      <c r="GNJ39" s="21"/>
      <c r="GNK39" s="21"/>
      <c r="GNL39" s="21"/>
      <c r="GNM39" s="21"/>
      <c r="GNN39" s="21"/>
      <c r="GNO39" s="21"/>
      <c r="GNP39" s="21"/>
      <c r="GNQ39" s="21"/>
      <c r="GNR39" s="21"/>
      <c r="GNS39" s="21"/>
      <c r="GNT39" s="21"/>
      <c r="GNU39" s="21"/>
      <c r="GNV39" s="21"/>
      <c r="GNW39" s="21"/>
      <c r="GNX39" s="21"/>
      <c r="GNY39" s="21"/>
      <c r="GNZ39" s="21"/>
      <c r="GOA39" s="21"/>
      <c r="GOB39" s="21"/>
      <c r="GOC39" s="21"/>
      <c r="GOD39" s="21"/>
      <c r="GOE39" s="21"/>
      <c r="GOF39" s="21"/>
      <c r="GOG39" s="21"/>
      <c r="GOH39" s="21"/>
      <c r="GOI39" s="21"/>
      <c r="GOJ39" s="21"/>
      <c r="GOK39" s="21"/>
      <c r="GOL39" s="21"/>
      <c r="GOM39" s="21"/>
      <c r="GON39" s="21"/>
      <c r="GOO39" s="21"/>
      <c r="GOP39" s="21"/>
      <c r="GOQ39" s="21"/>
      <c r="GOR39" s="21"/>
      <c r="GOS39" s="21"/>
      <c r="GOT39" s="21"/>
      <c r="GOU39" s="21"/>
      <c r="GOV39" s="21"/>
      <c r="GOW39" s="21"/>
      <c r="GOX39" s="21"/>
      <c r="GOY39" s="21"/>
      <c r="GOZ39" s="21"/>
      <c r="GPA39" s="21"/>
      <c r="GPB39" s="21"/>
      <c r="GPC39" s="21"/>
      <c r="GPD39" s="21"/>
      <c r="GPE39" s="21"/>
      <c r="GPF39" s="21"/>
      <c r="GPG39" s="21"/>
      <c r="GPH39" s="21"/>
      <c r="GPI39" s="21"/>
      <c r="GPJ39" s="21"/>
      <c r="GPK39" s="21"/>
      <c r="GPL39" s="21"/>
      <c r="GPM39" s="21"/>
      <c r="GPN39" s="21"/>
      <c r="GPO39" s="21"/>
      <c r="GPP39" s="21"/>
      <c r="GPQ39" s="21"/>
      <c r="GPR39" s="21"/>
      <c r="GPS39" s="21"/>
      <c r="GPT39" s="21"/>
      <c r="GPU39" s="21"/>
      <c r="GPV39" s="21"/>
      <c r="GPW39" s="21"/>
      <c r="GPX39" s="21"/>
      <c r="GPY39" s="21"/>
      <c r="GPZ39" s="21"/>
      <c r="GQA39" s="21"/>
      <c r="GQB39" s="21"/>
      <c r="GQC39" s="21"/>
      <c r="GQD39" s="21"/>
      <c r="GQE39" s="21"/>
      <c r="GQF39" s="21"/>
      <c r="GQG39" s="21"/>
      <c r="GQH39" s="21"/>
      <c r="GQI39" s="21"/>
      <c r="GQJ39" s="21"/>
      <c r="GQK39" s="21"/>
      <c r="GQL39" s="21"/>
      <c r="GQM39" s="21"/>
      <c r="GQN39" s="21"/>
      <c r="GQO39" s="21"/>
      <c r="GQP39" s="21"/>
      <c r="GQQ39" s="21"/>
      <c r="GQR39" s="21"/>
      <c r="GQS39" s="21"/>
      <c r="GQT39" s="21"/>
      <c r="GQU39" s="21"/>
      <c r="GQV39" s="21"/>
      <c r="GQW39" s="21"/>
      <c r="GQX39" s="21"/>
      <c r="GQY39" s="21"/>
      <c r="GQZ39" s="21"/>
      <c r="GRA39" s="21"/>
      <c r="GRB39" s="21"/>
      <c r="GRC39" s="21"/>
      <c r="GRD39" s="21"/>
      <c r="GRE39" s="21"/>
      <c r="GRF39" s="21"/>
      <c r="GRG39" s="21"/>
      <c r="GRH39" s="21"/>
      <c r="GRI39" s="21"/>
      <c r="GRJ39" s="21"/>
      <c r="GRK39" s="21"/>
      <c r="GRL39" s="21"/>
      <c r="GRM39" s="21"/>
      <c r="GRN39" s="21"/>
      <c r="GRO39" s="21"/>
      <c r="GRP39" s="21"/>
      <c r="GRQ39" s="21"/>
      <c r="GRR39" s="21"/>
      <c r="GRS39" s="21"/>
      <c r="GRT39" s="21"/>
      <c r="GRU39" s="21"/>
      <c r="GRV39" s="21"/>
      <c r="GRW39" s="21"/>
      <c r="GRX39" s="21"/>
      <c r="GRY39" s="21"/>
      <c r="GRZ39" s="21"/>
      <c r="GSA39" s="21"/>
      <c r="GSB39" s="21"/>
      <c r="GSC39" s="21"/>
      <c r="GSD39" s="21"/>
      <c r="GSE39" s="21"/>
      <c r="GSF39" s="21"/>
      <c r="GSG39" s="21"/>
      <c r="GSH39" s="21"/>
      <c r="GSI39" s="21"/>
      <c r="GSJ39" s="21"/>
      <c r="GSK39" s="21"/>
      <c r="GSL39" s="21"/>
      <c r="GSM39" s="21"/>
      <c r="GSN39" s="21"/>
      <c r="GSO39" s="21"/>
      <c r="GSP39" s="21"/>
      <c r="GSQ39" s="21"/>
      <c r="GSR39" s="21"/>
      <c r="GSS39" s="21"/>
      <c r="GST39" s="21"/>
      <c r="GSU39" s="21"/>
      <c r="GSV39" s="21"/>
      <c r="GSW39" s="21"/>
      <c r="GSX39" s="21"/>
      <c r="GSY39" s="21"/>
      <c r="GSZ39" s="21"/>
      <c r="GTA39" s="21"/>
      <c r="GTB39" s="21"/>
      <c r="GTC39" s="21"/>
      <c r="GTD39" s="21"/>
      <c r="GTE39" s="21"/>
      <c r="GTF39" s="21"/>
      <c r="GTG39" s="21"/>
      <c r="GTH39" s="21"/>
      <c r="GTI39" s="21"/>
      <c r="GTJ39" s="21"/>
      <c r="GTK39" s="21"/>
      <c r="GTL39" s="21"/>
      <c r="GTM39" s="21"/>
      <c r="GTN39" s="21"/>
      <c r="GTO39" s="21"/>
      <c r="GTP39" s="21"/>
      <c r="GTQ39" s="21"/>
      <c r="GTR39" s="21"/>
      <c r="GTS39" s="21"/>
      <c r="GTT39" s="21"/>
      <c r="GTU39" s="21"/>
      <c r="GTV39" s="21"/>
      <c r="GTW39" s="21"/>
      <c r="GTX39" s="21"/>
      <c r="GTY39" s="21"/>
      <c r="GTZ39" s="21"/>
      <c r="GUA39" s="21"/>
      <c r="GUB39" s="21"/>
      <c r="GUC39" s="21"/>
      <c r="GUD39" s="21"/>
      <c r="GUE39" s="21"/>
      <c r="GUF39" s="21"/>
      <c r="GUG39" s="21"/>
      <c r="GUH39" s="21"/>
      <c r="GUI39" s="21"/>
      <c r="GUJ39" s="21"/>
      <c r="GUK39" s="21"/>
      <c r="GUL39" s="21"/>
      <c r="GUM39" s="21"/>
      <c r="GUN39" s="21"/>
      <c r="GUO39" s="21"/>
      <c r="GUP39" s="21"/>
      <c r="GUQ39" s="21"/>
      <c r="GUR39" s="21"/>
      <c r="GUS39" s="21"/>
      <c r="GUT39" s="21"/>
      <c r="GUU39" s="21"/>
      <c r="GUV39" s="21"/>
      <c r="GUW39" s="21"/>
      <c r="GUX39" s="21"/>
      <c r="GUY39" s="21"/>
      <c r="GUZ39" s="21"/>
      <c r="GVA39" s="21"/>
      <c r="GVB39" s="21"/>
      <c r="GVC39" s="21"/>
      <c r="GVD39" s="21"/>
      <c r="GVE39" s="21"/>
      <c r="GVF39" s="21"/>
      <c r="GVG39" s="21"/>
      <c r="GVH39" s="21"/>
      <c r="GVI39" s="21"/>
      <c r="GVJ39" s="21"/>
      <c r="GVK39" s="21"/>
      <c r="GVL39" s="21"/>
      <c r="GVM39" s="21"/>
      <c r="GVN39" s="21"/>
      <c r="GVO39" s="21"/>
      <c r="GVP39" s="21"/>
      <c r="GVQ39" s="21"/>
      <c r="GVR39" s="21"/>
      <c r="GVS39" s="21"/>
      <c r="GVT39" s="21"/>
      <c r="GVU39" s="21"/>
      <c r="GVV39" s="21"/>
      <c r="GVW39" s="21"/>
      <c r="GVX39" s="21"/>
      <c r="GVY39" s="21"/>
      <c r="GVZ39" s="21"/>
      <c r="GWA39" s="21"/>
      <c r="GWB39" s="21"/>
      <c r="GWC39" s="21"/>
      <c r="GWD39" s="21"/>
      <c r="GWE39" s="21"/>
      <c r="GWF39" s="21"/>
      <c r="GWG39" s="21"/>
      <c r="GWH39" s="21"/>
      <c r="GWI39" s="21"/>
      <c r="GWJ39" s="21"/>
      <c r="GWK39" s="21"/>
      <c r="GWL39" s="21"/>
      <c r="GWM39" s="21"/>
      <c r="GWN39" s="21"/>
      <c r="GWO39" s="21"/>
      <c r="GWP39" s="21"/>
      <c r="GWQ39" s="21"/>
      <c r="GWR39" s="21"/>
      <c r="GWS39" s="21"/>
      <c r="GWT39" s="21"/>
      <c r="GWU39" s="21"/>
      <c r="GWV39" s="21"/>
      <c r="GWW39" s="21"/>
      <c r="GWX39" s="21"/>
      <c r="GWY39" s="21"/>
      <c r="GWZ39" s="21"/>
      <c r="GXA39" s="21"/>
      <c r="GXB39" s="21"/>
      <c r="GXC39" s="21"/>
      <c r="GXD39" s="21"/>
      <c r="GXE39" s="21"/>
      <c r="GXF39" s="21"/>
      <c r="GXG39" s="21"/>
      <c r="GXH39" s="21"/>
      <c r="GXI39" s="21"/>
      <c r="GXJ39" s="21"/>
      <c r="GXK39" s="21"/>
      <c r="GXL39" s="21"/>
      <c r="GXM39" s="21"/>
      <c r="GXN39" s="21"/>
      <c r="GXO39" s="21"/>
      <c r="GXP39" s="21"/>
      <c r="GXQ39" s="21"/>
      <c r="GXR39" s="21"/>
      <c r="GXS39" s="21"/>
      <c r="GXT39" s="21"/>
      <c r="GXU39" s="21"/>
      <c r="GXV39" s="21"/>
      <c r="GXW39" s="21"/>
      <c r="GXX39" s="21"/>
      <c r="GXY39" s="21"/>
      <c r="GXZ39" s="21"/>
      <c r="GYA39" s="21"/>
      <c r="GYB39" s="21"/>
      <c r="GYC39" s="21"/>
      <c r="GYD39" s="21"/>
      <c r="GYE39" s="21"/>
      <c r="GYF39" s="21"/>
      <c r="GYG39" s="21"/>
      <c r="GYH39" s="21"/>
      <c r="GYI39" s="21"/>
      <c r="GYJ39" s="21"/>
      <c r="GYK39" s="21"/>
      <c r="GYL39" s="21"/>
      <c r="GYM39" s="21"/>
      <c r="GYN39" s="21"/>
      <c r="GYO39" s="21"/>
      <c r="GYP39" s="21"/>
      <c r="GYQ39" s="21"/>
      <c r="GYR39" s="21"/>
      <c r="GYS39" s="21"/>
      <c r="GYT39" s="21"/>
      <c r="GYU39" s="21"/>
      <c r="GYV39" s="21"/>
      <c r="GYW39" s="21"/>
      <c r="GYX39" s="21"/>
      <c r="GYY39" s="21"/>
      <c r="GYZ39" s="21"/>
      <c r="GZA39" s="21"/>
      <c r="GZB39" s="21"/>
      <c r="GZC39" s="21"/>
      <c r="GZD39" s="21"/>
      <c r="GZE39" s="21"/>
      <c r="GZF39" s="21"/>
      <c r="GZG39" s="21"/>
      <c r="GZH39" s="21"/>
      <c r="GZI39" s="21"/>
      <c r="GZJ39" s="21"/>
      <c r="GZK39" s="21"/>
      <c r="GZL39" s="21"/>
      <c r="GZM39" s="21"/>
      <c r="GZN39" s="21"/>
      <c r="GZO39" s="21"/>
      <c r="GZP39" s="21"/>
      <c r="GZQ39" s="21"/>
      <c r="GZR39" s="21"/>
      <c r="GZS39" s="21"/>
      <c r="GZT39" s="21"/>
      <c r="GZU39" s="21"/>
      <c r="GZV39" s="21"/>
      <c r="GZW39" s="21"/>
      <c r="GZX39" s="21"/>
      <c r="GZY39" s="21"/>
      <c r="GZZ39" s="21"/>
      <c r="HAA39" s="21"/>
      <c r="HAB39" s="21"/>
      <c r="HAC39" s="21"/>
      <c r="HAD39" s="21"/>
      <c r="HAE39" s="21"/>
      <c r="HAF39" s="21"/>
      <c r="HAG39" s="21"/>
      <c r="HAH39" s="21"/>
      <c r="HAI39" s="21"/>
      <c r="HAJ39" s="21"/>
      <c r="HAK39" s="21"/>
      <c r="HAL39" s="21"/>
      <c r="HAM39" s="21"/>
      <c r="HAN39" s="21"/>
      <c r="HAO39" s="21"/>
      <c r="HAP39" s="21"/>
      <c r="HAQ39" s="21"/>
      <c r="HAR39" s="21"/>
      <c r="HAS39" s="21"/>
      <c r="HAT39" s="21"/>
      <c r="HAU39" s="21"/>
      <c r="HAV39" s="21"/>
      <c r="HAW39" s="21"/>
      <c r="HAX39" s="21"/>
      <c r="HAY39" s="21"/>
      <c r="HAZ39" s="21"/>
      <c r="HBA39" s="21"/>
      <c r="HBB39" s="21"/>
      <c r="HBC39" s="21"/>
      <c r="HBD39" s="21"/>
      <c r="HBE39" s="21"/>
      <c r="HBF39" s="21"/>
      <c r="HBG39" s="21"/>
      <c r="HBH39" s="21"/>
      <c r="HBI39" s="21"/>
      <c r="HBJ39" s="21"/>
      <c r="HBK39" s="21"/>
      <c r="HBL39" s="21"/>
      <c r="HBM39" s="21"/>
      <c r="HBN39" s="21"/>
      <c r="HBO39" s="21"/>
      <c r="HBP39" s="21"/>
      <c r="HBQ39" s="21"/>
      <c r="HBR39" s="21"/>
      <c r="HBS39" s="21"/>
      <c r="HBT39" s="21"/>
      <c r="HBU39" s="21"/>
      <c r="HBV39" s="21"/>
      <c r="HBW39" s="21"/>
      <c r="HBX39" s="21"/>
      <c r="HBY39" s="21"/>
      <c r="HBZ39" s="21"/>
      <c r="HCA39" s="21"/>
      <c r="HCB39" s="21"/>
      <c r="HCC39" s="21"/>
      <c r="HCD39" s="21"/>
      <c r="HCE39" s="21"/>
      <c r="HCF39" s="21"/>
      <c r="HCG39" s="21"/>
      <c r="HCH39" s="21"/>
      <c r="HCI39" s="21"/>
      <c r="HCJ39" s="21"/>
      <c r="HCK39" s="21"/>
      <c r="HCL39" s="21"/>
      <c r="HCM39" s="21"/>
      <c r="HCN39" s="21"/>
      <c r="HCO39" s="21"/>
      <c r="HCP39" s="21"/>
      <c r="HCQ39" s="21"/>
      <c r="HCR39" s="21"/>
      <c r="HCS39" s="21"/>
      <c r="HCT39" s="21"/>
      <c r="HCU39" s="21"/>
      <c r="HCV39" s="21"/>
      <c r="HCW39" s="21"/>
      <c r="HCX39" s="21"/>
      <c r="HCY39" s="21"/>
      <c r="HCZ39" s="21"/>
      <c r="HDA39" s="21"/>
      <c r="HDB39" s="21"/>
      <c r="HDC39" s="21"/>
      <c r="HDD39" s="21"/>
      <c r="HDE39" s="21"/>
      <c r="HDF39" s="21"/>
      <c r="HDG39" s="21"/>
      <c r="HDH39" s="21"/>
      <c r="HDI39" s="21"/>
      <c r="HDJ39" s="21"/>
      <c r="HDK39" s="21"/>
      <c r="HDL39" s="21"/>
      <c r="HDM39" s="21"/>
      <c r="HDN39" s="21"/>
      <c r="HDO39" s="21"/>
      <c r="HDP39" s="21"/>
      <c r="HDQ39" s="21"/>
      <c r="HDR39" s="21"/>
      <c r="HDS39" s="21"/>
      <c r="HDT39" s="21"/>
      <c r="HDU39" s="21"/>
      <c r="HDV39" s="21"/>
      <c r="HDW39" s="21"/>
      <c r="HDX39" s="21"/>
      <c r="HDY39" s="21"/>
      <c r="HDZ39" s="21"/>
      <c r="HEA39" s="21"/>
      <c r="HEB39" s="21"/>
      <c r="HEC39" s="21"/>
      <c r="HED39" s="21"/>
      <c r="HEE39" s="21"/>
      <c r="HEF39" s="21"/>
      <c r="HEG39" s="21"/>
      <c r="HEH39" s="21"/>
      <c r="HEI39" s="21"/>
      <c r="HEJ39" s="21"/>
      <c r="HEK39" s="21"/>
      <c r="HEL39" s="21"/>
      <c r="HEM39" s="21"/>
      <c r="HEN39" s="21"/>
      <c r="HEO39" s="21"/>
      <c r="HEP39" s="21"/>
      <c r="HEQ39" s="21"/>
      <c r="HER39" s="21"/>
      <c r="HES39" s="21"/>
      <c r="HET39" s="21"/>
      <c r="HEU39" s="21"/>
      <c r="HEV39" s="21"/>
      <c r="HEW39" s="21"/>
      <c r="HEX39" s="21"/>
      <c r="HEY39" s="21"/>
      <c r="HEZ39" s="21"/>
      <c r="HFA39" s="21"/>
      <c r="HFB39" s="21"/>
      <c r="HFC39" s="21"/>
      <c r="HFD39" s="21"/>
      <c r="HFE39" s="21"/>
      <c r="HFF39" s="21"/>
      <c r="HFG39" s="21"/>
      <c r="HFH39" s="21"/>
      <c r="HFI39" s="21"/>
      <c r="HFJ39" s="21"/>
      <c r="HFK39" s="21"/>
      <c r="HFL39" s="21"/>
      <c r="HFM39" s="21"/>
      <c r="HFN39" s="21"/>
      <c r="HFO39" s="21"/>
      <c r="HFP39" s="21"/>
      <c r="HFQ39" s="21"/>
      <c r="HFR39" s="21"/>
      <c r="HFS39" s="21"/>
      <c r="HFT39" s="21"/>
      <c r="HFU39" s="21"/>
      <c r="HFV39" s="21"/>
      <c r="HFW39" s="21"/>
      <c r="HFX39" s="21"/>
      <c r="HFY39" s="21"/>
      <c r="HFZ39" s="21"/>
      <c r="HGA39" s="21"/>
      <c r="HGB39" s="21"/>
      <c r="HGC39" s="21"/>
      <c r="HGD39" s="21"/>
      <c r="HGE39" s="21"/>
      <c r="HGF39" s="21"/>
      <c r="HGG39" s="21"/>
      <c r="HGH39" s="21"/>
      <c r="HGI39" s="21"/>
      <c r="HGJ39" s="21"/>
      <c r="HGK39" s="21"/>
      <c r="HGL39" s="21"/>
      <c r="HGM39" s="21"/>
      <c r="HGN39" s="21"/>
      <c r="HGO39" s="21"/>
      <c r="HGP39" s="21"/>
      <c r="HGQ39" s="21"/>
      <c r="HGR39" s="21"/>
      <c r="HGS39" s="21"/>
      <c r="HGT39" s="21"/>
      <c r="HGU39" s="21"/>
      <c r="HGV39" s="21"/>
      <c r="HGW39" s="21"/>
      <c r="HGX39" s="21"/>
      <c r="HGY39" s="21"/>
      <c r="HGZ39" s="21"/>
      <c r="HHA39" s="21"/>
      <c r="HHB39" s="21"/>
      <c r="HHC39" s="21"/>
      <c r="HHD39" s="21"/>
      <c r="HHE39" s="21"/>
      <c r="HHF39" s="21"/>
      <c r="HHG39" s="21"/>
      <c r="HHH39" s="21"/>
      <c r="HHI39" s="21"/>
      <c r="HHJ39" s="21"/>
      <c r="HHK39" s="21"/>
      <c r="HHL39" s="21"/>
      <c r="HHM39" s="21"/>
      <c r="HHN39" s="21"/>
      <c r="HHO39" s="21"/>
      <c r="HHP39" s="21"/>
      <c r="HHQ39" s="21"/>
      <c r="HHR39" s="21"/>
      <c r="HHS39" s="21"/>
      <c r="HHT39" s="21"/>
      <c r="HHU39" s="21"/>
      <c r="HHV39" s="21"/>
      <c r="HHW39" s="21"/>
      <c r="HHX39" s="21"/>
      <c r="HHY39" s="21"/>
      <c r="HHZ39" s="21"/>
      <c r="HIA39" s="21"/>
      <c r="HIB39" s="21"/>
      <c r="HIC39" s="21"/>
      <c r="HID39" s="21"/>
      <c r="HIE39" s="21"/>
      <c r="HIF39" s="21"/>
      <c r="HIG39" s="21"/>
      <c r="HIH39" s="21"/>
      <c r="HII39" s="21"/>
      <c r="HIJ39" s="21"/>
      <c r="HIK39" s="21"/>
      <c r="HIL39" s="21"/>
      <c r="HIM39" s="21"/>
      <c r="HIN39" s="21"/>
      <c r="HIO39" s="21"/>
      <c r="HIP39" s="21"/>
      <c r="HIQ39" s="21"/>
      <c r="HIR39" s="21"/>
      <c r="HIS39" s="21"/>
      <c r="HIT39" s="21"/>
      <c r="HIU39" s="21"/>
      <c r="HIV39" s="21"/>
      <c r="HIW39" s="21"/>
      <c r="HIX39" s="21"/>
      <c r="HIY39" s="21"/>
      <c r="HIZ39" s="21"/>
      <c r="HJA39" s="21"/>
      <c r="HJB39" s="21"/>
      <c r="HJC39" s="21"/>
      <c r="HJD39" s="21"/>
      <c r="HJE39" s="21"/>
      <c r="HJF39" s="21"/>
      <c r="HJG39" s="21"/>
      <c r="HJH39" s="21"/>
      <c r="HJI39" s="21"/>
      <c r="HJJ39" s="21"/>
      <c r="HJK39" s="21"/>
      <c r="HJL39" s="21"/>
      <c r="HJM39" s="21"/>
      <c r="HJN39" s="21"/>
      <c r="HJO39" s="21"/>
      <c r="HJP39" s="21"/>
      <c r="HJQ39" s="21"/>
      <c r="HJR39" s="21"/>
      <c r="HJS39" s="21"/>
      <c r="HJT39" s="21"/>
      <c r="HJU39" s="21"/>
      <c r="HJV39" s="21"/>
      <c r="HJW39" s="21"/>
      <c r="HJX39" s="21"/>
      <c r="HJY39" s="21"/>
      <c r="HJZ39" s="21"/>
      <c r="HKA39" s="21"/>
      <c r="HKB39" s="21"/>
      <c r="HKC39" s="21"/>
      <c r="HKD39" s="21"/>
      <c r="HKE39" s="21"/>
      <c r="HKF39" s="21"/>
      <c r="HKG39" s="21"/>
      <c r="HKH39" s="21"/>
      <c r="HKI39" s="21"/>
      <c r="HKJ39" s="21"/>
      <c r="HKK39" s="21"/>
      <c r="HKL39" s="21"/>
      <c r="HKM39" s="21"/>
      <c r="HKN39" s="21"/>
      <c r="HKO39" s="21"/>
      <c r="HKP39" s="21"/>
      <c r="HKQ39" s="21"/>
      <c r="HKR39" s="21"/>
      <c r="HKS39" s="21"/>
      <c r="HKT39" s="21"/>
      <c r="HKU39" s="21"/>
      <c r="HKV39" s="21"/>
      <c r="HKW39" s="21"/>
      <c r="HKX39" s="21"/>
      <c r="HKY39" s="21"/>
      <c r="HKZ39" s="21"/>
      <c r="HLA39" s="21"/>
      <c r="HLB39" s="21"/>
      <c r="HLC39" s="21"/>
      <c r="HLD39" s="21"/>
      <c r="HLE39" s="21"/>
      <c r="HLF39" s="21"/>
      <c r="HLG39" s="21"/>
      <c r="HLH39" s="21"/>
      <c r="HLI39" s="21"/>
      <c r="HLJ39" s="21"/>
      <c r="HLK39" s="21"/>
      <c r="HLL39" s="21"/>
      <c r="HLM39" s="21"/>
      <c r="HLN39" s="21"/>
      <c r="HLO39" s="21"/>
      <c r="HLP39" s="21"/>
      <c r="HLQ39" s="21"/>
      <c r="HLR39" s="21"/>
      <c r="HLS39" s="21"/>
      <c r="HLT39" s="21"/>
      <c r="HLU39" s="21"/>
      <c r="HLV39" s="21"/>
      <c r="HLW39" s="21"/>
      <c r="HLX39" s="21"/>
      <c r="HLY39" s="21"/>
      <c r="HLZ39" s="21"/>
      <c r="HMA39" s="21"/>
      <c r="HMB39" s="21"/>
      <c r="HMC39" s="21"/>
      <c r="HMD39" s="21"/>
      <c r="HME39" s="21"/>
      <c r="HMF39" s="21"/>
      <c r="HMG39" s="21"/>
      <c r="HMH39" s="21"/>
      <c r="HMI39" s="21"/>
      <c r="HMJ39" s="21"/>
      <c r="HMK39" s="21"/>
      <c r="HML39" s="21"/>
      <c r="HMM39" s="21"/>
      <c r="HMN39" s="21"/>
      <c r="HMO39" s="21"/>
      <c r="HMP39" s="21"/>
      <c r="HMQ39" s="21"/>
      <c r="HMR39" s="21"/>
      <c r="HMS39" s="21"/>
      <c r="HMT39" s="21"/>
      <c r="HMU39" s="21"/>
      <c r="HMV39" s="21"/>
      <c r="HMW39" s="21"/>
      <c r="HMX39" s="21"/>
      <c r="HMY39" s="21"/>
      <c r="HMZ39" s="21"/>
      <c r="HNA39" s="21"/>
      <c r="HNB39" s="21"/>
      <c r="HNC39" s="21"/>
      <c r="HND39" s="21"/>
      <c r="HNE39" s="21"/>
      <c r="HNF39" s="21"/>
      <c r="HNG39" s="21"/>
      <c r="HNH39" s="21"/>
      <c r="HNI39" s="21"/>
      <c r="HNJ39" s="21"/>
      <c r="HNK39" s="21"/>
      <c r="HNL39" s="21"/>
      <c r="HNM39" s="21"/>
      <c r="HNN39" s="21"/>
      <c r="HNO39" s="21"/>
      <c r="HNP39" s="21"/>
      <c r="HNQ39" s="21"/>
      <c r="HNR39" s="21"/>
      <c r="HNS39" s="21"/>
      <c r="HNT39" s="21"/>
      <c r="HNU39" s="21"/>
      <c r="HNV39" s="21"/>
      <c r="HNW39" s="21"/>
      <c r="HNX39" s="21"/>
      <c r="HNY39" s="21"/>
      <c r="HNZ39" s="21"/>
      <c r="HOA39" s="21"/>
      <c r="HOB39" s="21"/>
      <c r="HOC39" s="21"/>
      <c r="HOD39" s="21"/>
      <c r="HOE39" s="21"/>
      <c r="HOF39" s="21"/>
      <c r="HOG39" s="21"/>
      <c r="HOH39" s="21"/>
      <c r="HOI39" s="21"/>
      <c r="HOJ39" s="21"/>
      <c r="HOK39" s="21"/>
      <c r="HOL39" s="21"/>
      <c r="HOM39" s="21"/>
      <c r="HON39" s="21"/>
      <c r="HOO39" s="21"/>
      <c r="HOP39" s="21"/>
      <c r="HOQ39" s="21"/>
      <c r="HOR39" s="21"/>
      <c r="HOS39" s="21"/>
      <c r="HOT39" s="21"/>
      <c r="HOU39" s="21"/>
      <c r="HOV39" s="21"/>
      <c r="HOW39" s="21"/>
      <c r="HOX39" s="21"/>
      <c r="HOY39" s="21"/>
      <c r="HOZ39" s="21"/>
      <c r="HPA39" s="21"/>
      <c r="HPB39" s="21"/>
      <c r="HPC39" s="21"/>
      <c r="HPD39" s="21"/>
      <c r="HPE39" s="21"/>
      <c r="HPF39" s="21"/>
      <c r="HPG39" s="21"/>
      <c r="HPH39" s="21"/>
      <c r="HPI39" s="21"/>
      <c r="HPJ39" s="21"/>
      <c r="HPK39" s="21"/>
      <c r="HPL39" s="21"/>
      <c r="HPM39" s="21"/>
      <c r="HPN39" s="21"/>
      <c r="HPO39" s="21"/>
      <c r="HPP39" s="21"/>
      <c r="HPQ39" s="21"/>
      <c r="HPR39" s="21"/>
      <c r="HPS39" s="21"/>
      <c r="HPT39" s="21"/>
      <c r="HPU39" s="21"/>
      <c r="HPV39" s="21"/>
      <c r="HPW39" s="21"/>
      <c r="HPX39" s="21"/>
      <c r="HPY39" s="21"/>
      <c r="HPZ39" s="21"/>
      <c r="HQA39" s="21"/>
      <c r="HQB39" s="21"/>
      <c r="HQC39" s="21"/>
      <c r="HQD39" s="21"/>
      <c r="HQE39" s="21"/>
      <c r="HQF39" s="21"/>
      <c r="HQG39" s="21"/>
      <c r="HQH39" s="21"/>
      <c r="HQI39" s="21"/>
      <c r="HQJ39" s="21"/>
      <c r="HQK39" s="21"/>
      <c r="HQL39" s="21"/>
      <c r="HQM39" s="21"/>
      <c r="HQN39" s="21"/>
      <c r="HQO39" s="21"/>
      <c r="HQP39" s="21"/>
      <c r="HQQ39" s="21"/>
      <c r="HQR39" s="21"/>
      <c r="HQS39" s="21"/>
      <c r="HQT39" s="21"/>
      <c r="HQU39" s="21"/>
      <c r="HQV39" s="21"/>
      <c r="HQW39" s="21"/>
      <c r="HQX39" s="21"/>
      <c r="HQY39" s="21"/>
      <c r="HQZ39" s="21"/>
      <c r="HRA39" s="21"/>
      <c r="HRB39" s="21"/>
      <c r="HRC39" s="21"/>
      <c r="HRD39" s="21"/>
      <c r="HRE39" s="21"/>
      <c r="HRF39" s="21"/>
      <c r="HRG39" s="21"/>
      <c r="HRH39" s="21"/>
      <c r="HRI39" s="21"/>
      <c r="HRJ39" s="21"/>
      <c r="HRK39" s="21"/>
      <c r="HRL39" s="21"/>
      <c r="HRM39" s="21"/>
      <c r="HRN39" s="21"/>
      <c r="HRO39" s="21"/>
      <c r="HRP39" s="21"/>
      <c r="HRQ39" s="21"/>
      <c r="HRR39" s="21"/>
      <c r="HRS39" s="21"/>
      <c r="HRT39" s="21"/>
      <c r="HRU39" s="21"/>
      <c r="HRV39" s="21"/>
      <c r="HRW39" s="21"/>
      <c r="HRX39" s="21"/>
      <c r="HRY39" s="21"/>
      <c r="HRZ39" s="21"/>
      <c r="HSA39" s="21"/>
      <c r="HSB39" s="21"/>
      <c r="HSC39" s="21"/>
      <c r="HSD39" s="21"/>
      <c r="HSE39" s="21"/>
      <c r="HSF39" s="21"/>
      <c r="HSG39" s="21"/>
      <c r="HSH39" s="21"/>
      <c r="HSI39" s="21"/>
      <c r="HSJ39" s="21"/>
      <c r="HSK39" s="21"/>
      <c r="HSL39" s="21"/>
      <c r="HSM39" s="21"/>
      <c r="HSN39" s="21"/>
      <c r="HSO39" s="21"/>
      <c r="HSP39" s="21"/>
      <c r="HSQ39" s="21"/>
      <c r="HSR39" s="21"/>
      <c r="HSS39" s="21"/>
      <c r="HST39" s="21"/>
      <c r="HSU39" s="21"/>
      <c r="HSV39" s="21"/>
      <c r="HSW39" s="21"/>
      <c r="HSX39" s="21"/>
      <c r="HSY39" s="21"/>
      <c r="HSZ39" s="21"/>
      <c r="HTA39" s="21"/>
      <c r="HTB39" s="21"/>
      <c r="HTC39" s="21"/>
      <c r="HTD39" s="21"/>
      <c r="HTE39" s="21"/>
      <c r="HTF39" s="21"/>
      <c r="HTG39" s="21"/>
      <c r="HTH39" s="21"/>
      <c r="HTI39" s="21"/>
      <c r="HTJ39" s="21"/>
      <c r="HTK39" s="21"/>
      <c r="HTL39" s="21"/>
      <c r="HTM39" s="21"/>
      <c r="HTN39" s="21"/>
      <c r="HTO39" s="21"/>
      <c r="HTP39" s="21"/>
      <c r="HTQ39" s="21"/>
      <c r="HTR39" s="21"/>
      <c r="HTS39" s="21"/>
      <c r="HTT39" s="21"/>
      <c r="HTU39" s="21"/>
      <c r="HTV39" s="21"/>
      <c r="HTW39" s="21"/>
      <c r="HTX39" s="21"/>
      <c r="HTY39" s="21"/>
      <c r="HTZ39" s="21"/>
      <c r="HUA39" s="21"/>
      <c r="HUB39" s="21"/>
      <c r="HUC39" s="21"/>
      <c r="HUD39" s="21"/>
      <c r="HUE39" s="21"/>
      <c r="HUF39" s="21"/>
      <c r="HUG39" s="21"/>
      <c r="HUH39" s="21"/>
      <c r="HUI39" s="21"/>
      <c r="HUJ39" s="21"/>
      <c r="HUK39" s="21"/>
      <c r="HUL39" s="21"/>
      <c r="HUM39" s="21"/>
      <c r="HUN39" s="21"/>
      <c r="HUO39" s="21"/>
      <c r="HUP39" s="21"/>
      <c r="HUQ39" s="21"/>
      <c r="HUR39" s="21"/>
      <c r="HUS39" s="21"/>
      <c r="HUT39" s="21"/>
      <c r="HUU39" s="21"/>
      <c r="HUV39" s="21"/>
      <c r="HUW39" s="21"/>
      <c r="HUX39" s="21"/>
      <c r="HUY39" s="21"/>
      <c r="HUZ39" s="21"/>
      <c r="HVA39" s="21"/>
      <c r="HVB39" s="21"/>
      <c r="HVC39" s="21"/>
      <c r="HVD39" s="21"/>
      <c r="HVE39" s="21"/>
      <c r="HVF39" s="21"/>
      <c r="HVG39" s="21"/>
      <c r="HVH39" s="21"/>
      <c r="HVI39" s="21"/>
      <c r="HVJ39" s="21"/>
      <c r="HVK39" s="21"/>
      <c r="HVL39" s="21"/>
      <c r="HVM39" s="21"/>
      <c r="HVN39" s="21"/>
      <c r="HVO39" s="21"/>
      <c r="HVP39" s="21"/>
      <c r="HVQ39" s="21"/>
      <c r="HVR39" s="21"/>
      <c r="HVS39" s="21"/>
      <c r="HVT39" s="21"/>
      <c r="HVU39" s="21"/>
      <c r="HVV39" s="21"/>
      <c r="HVW39" s="21"/>
      <c r="HVX39" s="21"/>
      <c r="HVY39" s="21"/>
      <c r="HVZ39" s="21"/>
      <c r="HWA39" s="21"/>
      <c r="HWB39" s="21"/>
      <c r="HWC39" s="21"/>
      <c r="HWD39" s="21"/>
      <c r="HWE39" s="21"/>
      <c r="HWF39" s="21"/>
      <c r="HWG39" s="21"/>
      <c r="HWH39" s="21"/>
      <c r="HWI39" s="21"/>
      <c r="HWJ39" s="21"/>
      <c r="HWK39" s="21"/>
      <c r="HWL39" s="21"/>
      <c r="HWM39" s="21"/>
      <c r="HWN39" s="21"/>
      <c r="HWO39" s="21"/>
      <c r="HWP39" s="21"/>
      <c r="HWQ39" s="21"/>
      <c r="HWR39" s="21"/>
      <c r="HWS39" s="21"/>
      <c r="HWT39" s="21"/>
      <c r="HWU39" s="21"/>
      <c r="HWV39" s="21"/>
      <c r="HWW39" s="21"/>
      <c r="HWX39" s="21"/>
      <c r="HWY39" s="21"/>
      <c r="HWZ39" s="21"/>
      <c r="HXA39" s="21"/>
      <c r="HXB39" s="21"/>
      <c r="HXC39" s="21"/>
      <c r="HXD39" s="21"/>
      <c r="HXE39" s="21"/>
      <c r="HXF39" s="21"/>
      <c r="HXG39" s="21"/>
      <c r="HXH39" s="21"/>
      <c r="HXI39" s="21"/>
      <c r="HXJ39" s="21"/>
      <c r="HXK39" s="21"/>
      <c r="HXL39" s="21"/>
      <c r="HXM39" s="21"/>
      <c r="HXN39" s="21"/>
      <c r="HXO39" s="21"/>
      <c r="HXP39" s="21"/>
      <c r="HXQ39" s="21"/>
      <c r="HXR39" s="21"/>
      <c r="HXS39" s="21"/>
      <c r="HXT39" s="21"/>
      <c r="HXU39" s="21"/>
      <c r="HXV39" s="21"/>
      <c r="HXW39" s="21"/>
      <c r="HXX39" s="21"/>
      <c r="HXY39" s="21"/>
      <c r="HXZ39" s="21"/>
      <c r="HYA39" s="21"/>
      <c r="HYB39" s="21"/>
      <c r="HYC39" s="21"/>
      <c r="HYD39" s="21"/>
      <c r="HYE39" s="21"/>
      <c r="HYF39" s="21"/>
      <c r="HYG39" s="21"/>
      <c r="HYH39" s="21"/>
      <c r="HYI39" s="21"/>
      <c r="HYJ39" s="21"/>
      <c r="HYK39" s="21"/>
      <c r="HYL39" s="21"/>
      <c r="HYM39" s="21"/>
      <c r="HYN39" s="21"/>
      <c r="HYO39" s="21"/>
      <c r="HYP39" s="21"/>
      <c r="HYQ39" s="21"/>
      <c r="HYR39" s="21"/>
      <c r="HYS39" s="21"/>
      <c r="HYT39" s="21"/>
      <c r="HYU39" s="21"/>
      <c r="HYV39" s="21"/>
      <c r="HYW39" s="21"/>
      <c r="HYX39" s="21"/>
      <c r="HYY39" s="21"/>
      <c r="HYZ39" s="21"/>
      <c r="HZA39" s="21"/>
      <c r="HZB39" s="21"/>
      <c r="HZC39" s="21"/>
      <c r="HZD39" s="21"/>
      <c r="HZE39" s="21"/>
      <c r="HZF39" s="21"/>
      <c r="HZG39" s="21"/>
      <c r="HZH39" s="21"/>
      <c r="HZI39" s="21"/>
      <c r="HZJ39" s="21"/>
      <c r="HZK39" s="21"/>
      <c r="HZL39" s="21"/>
      <c r="HZM39" s="21"/>
      <c r="HZN39" s="21"/>
      <c r="HZO39" s="21"/>
      <c r="HZP39" s="21"/>
      <c r="HZQ39" s="21"/>
      <c r="HZR39" s="21"/>
      <c r="HZS39" s="21"/>
      <c r="HZT39" s="21"/>
      <c r="HZU39" s="21"/>
      <c r="HZV39" s="21"/>
      <c r="HZW39" s="21"/>
      <c r="HZX39" s="21"/>
      <c r="HZY39" s="21"/>
      <c r="HZZ39" s="21"/>
      <c r="IAA39" s="21"/>
      <c r="IAB39" s="21"/>
      <c r="IAC39" s="21"/>
      <c r="IAD39" s="21"/>
      <c r="IAE39" s="21"/>
      <c r="IAF39" s="21"/>
      <c r="IAG39" s="21"/>
      <c r="IAH39" s="21"/>
      <c r="IAI39" s="21"/>
      <c r="IAJ39" s="21"/>
      <c r="IAK39" s="21"/>
      <c r="IAL39" s="21"/>
      <c r="IAM39" s="21"/>
      <c r="IAN39" s="21"/>
      <c r="IAO39" s="21"/>
      <c r="IAP39" s="21"/>
      <c r="IAQ39" s="21"/>
      <c r="IAR39" s="21"/>
      <c r="IAS39" s="21"/>
      <c r="IAT39" s="21"/>
      <c r="IAU39" s="21"/>
      <c r="IAV39" s="21"/>
      <c r="IAW39" s="21"/>
      <c r="IAX39" s="21"/>
      <c r="IAY39" s="21"/>
      <c r="IAZ39" s="21"/>
      <c r="IBA39" s="21"/>
      <c r="IBB39" s="21"/>
      <c r="IBC39" s="21"/>
      <c r="IBD39" s="21"/>
      <c r="IBE39" s="21"/>
      <c r="IBF39" s="21"/>
      <c r="IBG39" s="21"/>
      <c r="IBH39" s="21"/>
      <c r="IBI39" s="21"/>
      <c r="IBJ39" s="21"/>
      <c r="IBK39" s="21"/>
      <c r="IBL39" s="21"/>
      <c r="IBM39" s="21"/>
      <c r="IBN39" s="21"/>
      <c r="IBO39" s="21"/>
      <c r="IBP39" s="21"/>
      <c r="IBQ39" s="21"/>
      <c r="IBR39" s="21"/>
      <c r="IBS39" s="21"/>
      <c r="IBT39" s="21"/>
      <c r="IBU39" s="21"/>
      <c r="IBV39" s="21"/>
      <c r="IBW39" s="21"/>
      <c r="IBX39" s="21"/>
      <c r="IBY39" s="21"/>
      <c r="IBZ39" s="21"/>
      <c r="ICA39" s="21"/>
      <c r="ICB39" s="21"/>
      <c r="ICC39" s="21"/>
      <c r="ICD39" s="21"/>
      <c r="ICE39" s="21"/>
      <c r="ICF39" s="21"/>
      <c r="ICG39" s="21"/>
      <c r="ICH39" s="21"/>
      <c r="ICI39" s="21"/>
      <c r="ICJ39" s="21"/>
      <c r="ICK39" s="21"/>
      <c r="ICL39" s="21"/>
      <c r="ICM39" s="21"/>
      <c r="ICN39" s="21"/>
      <c r="ICO39" s="21"/>
      <c r="ICP39" s="21"/>
      <c r="ICQ39" s="21"/>
      <c r="ICR39" s="21"/>
      <c r="ICS39" s="21"/>
      <c r="ICT39" s="21"/>
      <c r="ICU39" s="21"/>
      <c r="ICV39" s="21"/>
      <c r="ICW39" s="21"/>
      <c r="ICX39" s="21"/>
      <c r="ICY39" s="21"/>
      <c r="ICZ39" s="21"/>
      <c r="IDA39" s="21"/>
      <c r="IDB39" s="21"/>
      <c r="IDC39" s="21"/>
      <c r="IDD39" s="21"/>
      <c r="IDE39" s="21"/>
      <c r="IDF39" s="21"/>
      <c r="IDG39" s="21"/>
      <c r="IDH39" s="21"/>
      <c r="IDI39" s="21"/>
      <c r="IDJ39" s="21"/>
      <c r="IDK39" s="21"/>
      <c r="IDL39" s="21"/>
      <c r="IDM39" s="21"/>
      <c r="IDN39" s="21"/>
      <c r="IDO39" s="21"/>
      <c r="IDP39" s="21"/>
      <c r="IDQ39" s="21"/>
      <c r="IDR39" s="21"/>
      <c r="IDS39" s="21"/>
      <c r="IDT39" s="21"/>
      <c r="IDU39" s="21"/>
      <c r="IDV39" s="21"/>
      <c r="IDW39" s="21"/>
      <c r="IDX39" s="21"/>
      <c r="IDY39" s="21"/>
      <c r="IDZ39" s="21"/>
      <c r="IEA39" s="21"/>
      <c r="IEB39" s="21"/>
      <c r="IEC39" s="21"/>
      <c r="IED39" s="21"/>
      <c r="IEE39" s="21"/>
      <c r="IEF39" s="21"/>
      <c r="IEG39" s="21"/>
      <c r="IEH39" s="21"/>
      <c r="IEI39" s="21"/>
      <c r="IEJ39" s="21"/>
      <c r="IEK39" s="21"/>
      <c r="IEL39" s="21"/>
      <c r="IEM39" s="21"/>
      <c r="IEN39" s="21"/>
      <c r="IEO39" s="21"/>
      <c r="IEP39" s="21"/>
      <c r="IEQ39" s="21"/>
      <c r="IER39" s="21"/>
      <c r="IES39" s="21"/>
      <c r="IET39" s="21"/>
      <c r="IEU39" s="21"/>
      <c r="IEV39" s="21"/>
      <c r="IEW39" s="21"/>
      <c r="IEX39" s="21"/>
      <c r="IEY39" s="21"/>
      <c r="IEZ39" s="21"/>
      <c r="IFA39" s="21"/>
      <c r="IFB39" s="21"/>
      <c r="IFC39" s="21"/>
      <c r="IFD39" s="21"/>
      <c r="IFE39" s="21"/>
      <c r="IFF39" s="21"/>
      <c r="IFG39" s="21"/>
      <c r="IFH39" s="21"/>
      <c r="IFI39" s="21"/>
      <c r="IFJ39" s="21"/>
      <c r="IFK39" s="21"/>
      <c r="IFL39" s="21"/>
      <c r="IFM39" s="21"/>
      <c r="IFN39" s="21"/>
      <c r="IFO39" s="21"/>
      <c r="IFP39" s="21"/>
      <c r="IFQ39" s="21"/>
      <c r="IFR39" s="21"/>
      <c r="IFS39" s="21"/>
      <c r="IFT39" s="21"/>
      <c r="IFU39" s="21"/>
      <c r="IFV39" s="21"/>
      <c r="IFW39" s="21"/>
      <c r="IFX39" s="21"/>
      <c r="IFY39" s="21"/>
      <c r="IFZ39" s="21"/>
      <c r="IGA39" s="21"/>
      <c r="IGB39" s="21"/>
      <c r="IGC39" s="21"/>
      <c r="IGD39" s="21"/>
      <c r="IGE39" s="21"/>
      <c r="IGF39" s="21"/>
      <c r="IGG39" s="21"/>
      <c r="IGH39" s="21"/>
      <c r="IGI39" s="21"/>
      <c r="IGJ39" s="21"/>
      <c r="IGK39" s="21"/>
      <c r="IGL39" s="21"/>
      <c r="IGM39" s="21"/>
      <c r="IGN39" s="21"/>
      <c r="IGO39" s="21"/>
      <c r="IGP39" s="21"/>
      <c r="IGQ39" s="21"/>
      <c r="IGR39" s="21"/>
      <c r="IGS39" s="21"/>
      <c r="IGT39" s="21"/>
      <c r="IGU39" s="21"/>
      <c r="IGV39" s="21"/>
      <c r="IGW39" s="21"/>
      <c r="IGX39" s="21"/>
      <c r="IGY39" s="21"/>
      <c r="IGZ39" s="21"/>
      <c r="IHA39" s="21"/>
      <c r="IHB39" s="21"/>
      <c r="IHC39" s="21"/>
      <c r="IHD39" s="21"/>
      <c r="IHE39" s="21"/>
      <c r="IHF39" s="21"/>
      <c r="IHG39" s="21"/>
      <c r="IHH39" s="21"/>
      <c r="IHI39" s="21"/>
      <c r="IHJ39" s="21"/>
      <c r="IHK39" s="21"/>
      <c r="IHL39" s="21"/>
      <c r="IHM39" s="21"/>
      <c r="IHN39" s="21"/>
      <c r="IHO39" s="21"/>
      <c r="IHP39" s="21"/>
      <c r="IHQ39" s="21"/>
      <c r="IHR39" s="21"/>
      <c r="IHS39" s="21"/>
      <c r="IHT39" s="21"/>
      <c r="IHU39" s="21"/>
      <c r="IHV39" s="21"/>
      <c r="IHW39" s="21"/>
      <c r="IHX39" s="21"/>
      <c r="IHY39" s="21"/>
      <c r="IHZ39" s="21"/>
      <c r="IIA39" s="21"/>
      <c r="IIB39" s="21"/>
      <c r="IIC39" s="21"/>
      <c r="IID39" s="21"/>
      <c r="IIE39" s="21"/>
      <c r="IIF39" s="21"/>
      <c r="IIG39" s="21"/>
      <c r="IIH39" s="21"/>
      <c r="III39" s="21"/>
      <c r="IIJ39" s="21"/>
      <c r="IIK39" s="21"/>
      <c r="IIL39" s="21"/>
      <c r="IIM39" s="21"/>
      <c r="IIN39" s="21"/>
      <c r="IIO39" s="21"/>
      <c r="IIP39" s="21"/>
      <c r="IIQ39" s="21"/>
      <c r="IIR39" s="21"/>
      <c r="IIS39" s="21"/>
      <c r="IIT39" s="21"/>
      <c r="IIU39" s="21"/>
      <c r="IIV39" s="21"/>
      <c r="IIW39" s="21"/>
      <c r="IIX39" s="21"/>
      <c r="IIY39" s="21"/>
      <c r="IIZ39" s="21"/>
      <c r="IJA39" s="21"/>
      <c r="IJB39" s="21"/>
      <c r="IJC39" s="21"/>
      <c r="IJD39" s="21"/>
      <c r="IJE39" s="21"/>
      <c r="IJF39" s="21"/>
      <c r="IJG39" s="21"/>
      <c r="IJH39" s="21"/>
      <c r="IJI39" s="21"/>
      <c r="IJJ39" s="21"/>
      <c r="IJK39" s="21"/>
      <c r="IJL39" s="21"/>
      <c r="IJM39" s="21"/>
      <c r="IJN39" s="21"/>
      <c r="IJO39" s="21"/>
      <c r="IJP39" s="21"/>
      <c r="IJQ39" s="21"/>
      <c r="IJR39" s="21"/>
      <c r="IJS39" s="21"/>
      <c r="IJT39" s="21"/>
      <c r="IJU39" s="21"/>
      <c r="IJV39" s="21"/>
      <c r="IJW39" s="21"/>
      <c r="IJX39" s="21"/>
      <c r="IJY39" s="21"/>
      <c r="IJZ39" s="21"/>
      <c r="IKA39" s="21"/>
      <c r="IKB39" s="21"/>
      <c r="IKC39" s="21"/>
      <c r="IKD39" s="21"/>
      <c r="IKE39" s="21"/>
      <c r="IKF39" s="21"/>
      <c r="IKG39" s="21"/>
      <c r="IKH39" s="21"/>
      <c r="IKI39" s="21"/>
      <c r="IKJ39" s="21"/>
      <c r="IKK39" s="21"/>
      <c r="IKL39" s="21"/>
      <c r="IKM39" s="21"/>
      <c r="IKN39" s="21"/>
      <c r="IKO39" s="21"/>
      <c r="IKP39" s="21"/>
      <c r="IKQ39" s="21"/>
      <c r="IKR39" s="21"/>
      <c r="IKS39" s="21"/>
      <c r="IKT39" s="21"/>
      <c r="IKU39" s="21"/>
      <c r="IKV39" s="21"/>
      <c r="IKW39" s="21"/>
      <c r="IKX39" s="21"/>
      <c r="IKY39" s="21"/>
      <c r="IKZ39" s="21"/>
      <c r="ILA39" s="21"/>
      <c r="ILB39" s="21"/>
      <c r="ILC39" s="21"/>
      <c r="ILD39" s="21"/>
      <c r="ILE39" s="21"/>
      <c r="ILF39" s="21"/>
      <c r="ILG39" s="21"/>
      <c r="ILH39" s="21"/>
      <c r="ILI39" s="21"/>
      <c r="ILJ39" s="21"/>
      <c r="ILK39" s="21"/>
      <c r="ILL39" s="21"/>
      <c r="ILM39" s="21"/>
      <c r="ILN39" s="21"/>
      <c r="ILO39" s="21"/>
      <c r="ILP39" s="21"/>
      <c r="ILQ39" s="21"/>
      <c r="ILR39" s="21"/>
      <c r="ILS39" s="21"/>
      <c r="ILT39" s="21"/>
      <c r="ILU39" s="21"/>
      <c r="ILV39" s="21"/>
      <c r="ILW39" s="21"/>
      <c r="ILX39" s="21"/>
      <c r="ILY39" s="21"/>
      <c r="ILZ39" s="21"/>
      <c r="IMA39" s="21"/>
      <c r="IMB39" s="21"/>
      <c r="IMC39" s="21"/>
      <c r="IMD39" s="21"/>
      <c r="IME39" s="21"/>
      <c r="IMF39" s="21"/>
      <c r="IMG39" s="21"/>
      <c r="IMH39" s="21"/>
      <c r="IMI39" s="21"/>
      <c r="IMJ39" s="21"/>
      <c r="IMK39" s="21"/>
      <c r="IML39" s="21"/>
      <c r="IMM39" s="21"/>
      <c r="IMN39" s="21"/>
      <c r="IMO39" s="21"/>
      <c r="IMP39" s="21"/>
      <c r="IMQ39" s="21"/>
      <c r="IMR39" s="21"/>
      <c r="IMS39" s="21"/>
      <c r="IMT39" s="21"/>
      <c r="IMU39" s="21"/>
      <c r="IMV39" s="21"/>
      <c r="IMW39" s="21"/>
      <c r="IMX39" s="21"/>
      <c r="IMY39" s="21"/>
      <c r="IMZ39" s="21"/>
      <c r="INA39" s="21"/>
      <c r="INB39" s="21"/>
      <c r="INC39" s="21"/>
      <c r="IND39" s="21"/>
      <c r="INE39" s="21"/>
      <c r="INF39" s="21"/>
      <c r="ING39" s="21"/>
      <c r="INH39" s="21"/>
      <c r="INI39" s="21"/>
      <c r="INJ39" s="21"/>
      <c r="INK39" s="21"/>
      <c r="INL39" s="21"/>
      <c r="INM39" s="21"/>
      <c r="INN39" s="21"/>
      <c r="INO39" s="21"/>
      <c r="INP39" s="21"/>
      <c r="INQ39" s="21"/>
      <c r="INR39" s="21"/>
      <c r="INS39" s="21"/>
      <c r="INT39" s="21"/>
      <c r="INU39" s="21"/>
      <c r="INV39" s="21"/>
      <c r="INW39" s="21"/>
      <c r="INX39" s="21"/>
      <c r="INY39" s="21"/>
      <c r="INZ39" s="21"/>
      <c r="IOA39" s="21"/>
      <c r="IOB39" s="21"/>
      <c r="IOC39" s="21"/>
      <c r="IOD39" s="21"/>
      <c r="IOE39" s="21"/>
      <c r="IOF39" s="21"/>
      <c r="IOG39" s="21"/>
      <c r="IOH39" s="21"/>
      <c r="IOI39" s="21"/>
      <c r="IOJ39" s="21"/>
      <c r="IOK39" s="21"/>
      <c r="IOL39" s="21"/>
      <c r="IOM39" s="21"/>
      <c r="ION39" s="21"/>
      <c r="IOO39" s="21"/>
      <c r="IOP39" s="21"/>
      <c r="IOQ39" s="21"/>
      <c r="IOR39" s="21"/>
      <c r="IOS39" s="21"/>
      <c r="IOT39" s="21"/>
      <c r="IOU39" s="21"/>
      <c r="IOV39" s="21"/>
      <c r="IOW39" s="21"/>
      <c r="IOX39" s="21"/>
      <c r="IOY39" s="21"/>
      <c r="IOZ39" s="21"/>
      <c r="IPA39" s="21"/>
      <c r="IPB39" s="21"/>
      <c r="IPC39" s="21"/>
      <c r="IPD39" s="21"/>
      <c r="IPE39" s="21"/>
      <c r="IPF39" s="21"/>
      <c r="IPG39" s="21"/>
      <c r="IPH39" s="21"/>
      <c r="IPI39" s="21"/>
      <c r="IPJ39" s="21"/>
      <c r="IPK39" s="21"/>
      <c r="IPL39" s="21"/>
      <c r="IPM39" s="21"/>
      <c r="IPN39" s="21"/>
      <c r="IPO39" s="21"/>
      <c r="IPP39" s="21"/>
      <c r="IPQ39" s="21"/>
      <c r="IPR39" s="21"/>
      <c r="IPS39" s="21"/>
      <c r="IPT39" s="21"/>
      <c r="IPU39" s="21"/>
      <c r="IPV39" s="21"/>
      <c r="IPW39" s="21"/>
      <c r="IPX39" s="21"/>
      <c r="IPY39" s="21"/>
      <c r="IPZ39" s="21"/>
      <c r="IQA39" s="21"/>
      <c r="IQB39" s="21"/>
      <c r="IQC39" s="21"/>
      <c r="IQD39" s="21"/>
      <c r="IQE39" s="21"/>
      <c r="IQF39" s="21"/>
      <c r="IQG39" s="21"/>
      <c r="IQH39" s="21"/>
      <c r="IQI39" s="21"/>
      <c r="IQJ39" s="21"/>
      <c r="IQK39" s="21"/>
      <c r="IQL39" s="21"/>
      <c r="IQM39" s="21"/>
      <c r="IQN39" s="21"/>
      <c r="IQO39" s="21"/>
      <c r="IQP39" s="21"/>
      <c r="IQQ39" s="21"/>
      <c r="IQR39" s="21"/>
      <c r="IQS39" s="21"/>
      <c r="IQT39" s="21"/>
      <c r="IQU39" s="21"/>
      <c r="IQV39" s="21"/>
      <c r="IQW39" s="21"/>
      <c r="IQX39" s="21"/>
      <c r="IQY39" s="21"/>
      <c r="IQZ39" s="21"/>
      <c r="IRA39" s="21"/>
      <c r="IRB39" s="21"/>
      <c r="IRC39" s="21"/>
      <c r="IRD39" s="21"/>
      <c r="IRE39" s="21"/>
      <c r="IRF39" s="21"/>
      <c r="IRG39" s="21"/>
      <c r="IRH39" s="21"/>
      <c r="IRI39" s="21"/>
      <c r="IRJ39" s="21"/>
      <c r="IRK39" s="21"/>
      <c r="IRL39" s="21"/>
      <c r="IRM39" s="21"/>
      <c r="IRN39" s="21"/>
      <c r="IRO39" s="21"/>
      <c r="IRP39" s="21"/>
      <c r="IRQ39" s="21"/>
      <c r="IRR39" s="21"/>
      <c r="IRS39" s="21"/>
      <c r="IRT39" s="21"/>
      <c r="IRU39" s="21"/>
      <c r="IRV39" s="21"/>
      <c r="IRW39" s="21"/>
      <c r="IRX39" s="21"/>
      <c r="IRY39" s="21"/>
      <c r="IRZ39" s="21"/>
      <c r="ISA39" s="21"/>
      <c r="ISB39" s="21"/>
      <c r="ISC39" s="21"/>
      <c r="ISD39" s="21"/>
      <c r="ISE39" s="21"/>
      <c r="ISF39" s="21"/>
      <c r="ISG39" s="21"/>
      <c r="ISH39" s="21"/>
      <c r="ISI39" s="21"/>
      <c r="ISJ39" s="21"/>
      <c r="ISK39" s="21"/>
      <c r="ISL39" s="21"/>
      <c r="ISM39" s="21"/>
      <c r="ISN39" s="21"/>
      <c r="ISO39" s="21"/>
      <c r="ISP39" s="21"/>
      <c r="ISQ39" s="21"/>
      <c r="ISR39" s="21"/>
      <c r="ISS39" s="21"/>
      <c r="IST39" s="21"/>
      <c r="ISU39" s="21"/>
      <c r="ISV39" s="21"/>
      <c r="ISW39" s="21"/>
      <c r="ISX39" s="21"/>
      <c r="ISY39" s="21"/>
      <c r="ISZ39" s="21"/>
      <c r="ITA39" s="21"/>
      <c r="ITB39" s="21"/>
      <c r="ITC39" s="21"/>
      <c r="ITD39" s="21"/>
      <c r="ITE39" s="21"/>
      <c r="ITF39" s="21"/>
      <c r="ITG39" s="21"/>
      <c r="ITH39" s="21"/>
      <c r="ITI39" s="21"/>
      <c r="ITJ39" s="21"/>
      <c r="ITK39" s="21"/>
      <c r="ITL39" s="21"/>
      <c r="ITM39" s="21"/>
      <c r="ITN39" s="21"/>
      <c r="ITO39" s="21"/>
      <c r="ITP39" s="21"/>
      <c r="ITQ39" s="21"/>
      <c r="ITR39" s="21"/>
      <c r="ITS39" s="21"/>
      <c r="ITT39" s="21"/>
      <c r="ITU39" s="21"/>
      <c r="ITV39" s="21"/>
      <c r="ITW39" s="21"/>
      <c r="ITX39" s="21"/>
      <c r="ITY39" s="21"/>
      <c r="ITZ39" s="21"/>
      <c r="IUA39" s="21"/>
      <c r="IUB39" s="21"/>
      <c r="IUC39" s="21"/>
      <c r="IUD39" s="21"/>
      <c r="IUE39" s="21"/>
      <c r="IUF39" s="21"/>
      <c r="IUG39" s="21"/>
      <c r="IUH39" s="21"/>
      <c r="IUI39" s="21"/>
      <c r="IUJ39" s="21"/>
      <c r="IUK39" s="21"/>
      <c r="IUL39" s="21"/>
      <c r="IUM39" s="21"/>
      <c r="IUN39" s="21"/>
      <c r="IUO39" s="21"/>
      <c r="IUP39" s="21"/>
      <c r="IUQ39" s="21"/>
      <c r="IUR39" s="21"/>
      <c r="IUS39" s="21"/>
      <c r="IUT39" s="21"/>
      <c r="IUU39" s="21"/>
      <c r="IUV39" s="21"/>
      <c r="IUW39" s="21"/>
      <c r="IUX39" s="21"/>
      <c r="IUY39" s="21"/>
      <c r="IUZ39" s="21"/>
      <c r="IVA39" s="21"/>
      <c r="IVB39" s="21"/>
      <c r="IVC39" s="21"/>
      <c r="IVD39" s="21"/>
      <c r="IVE39" s="21"/>
      <c r="IVF39" s="21"/>
      <c r="IVG39" s="21"/>
      <c r="IVH39" s="21"/>
      <c r="IVI39" s="21"/>
      <c r="IVJ39" s="21"/>
      <c r="IVK39" s="21"/>
      <c r="IVL39" s="21"/>
      <c r="IVM39" s="21"/>
      <c r="IVN39" s="21"/>
      <c r="IVO39" s="21"/>
      <c r="IVP39" s="21"/>
      <c r="IVQ39" s="21"/>
      <c r="IVR39" s="21"/>
      <c r="IVS39" s="21"/>
      <c r="IVT39" s="21"/>
      <c r="IVU39" s="21"/>
      <c r="IVV39" s="21"/>
      <c r="IVW39" s="21"/>
      <c r="IVX39" s="21"/>
      <c r="IVY39" s="21"/>
      <c r="IVZ39" s="21"/>
      <c r="IWA39" s="21"/>
      <c r="IWB39" s="21"/>
      <c r="IWC39" s="21"/>
      <c r="IWD39" s="21"/>
      <c r="IWE39" s="21"/>
      <c r="IWF39" s="21"/>
      <c r="IWG39" s="21"/>
      <c r="IWH39" s="21"/>
      <c r="IWI39" s="21"/>
      <c r="IWJ39" s="21"/>
      <c r="IWK39" s="21"/>
      <c r="IWL39" s="21"/>
      <c r="IWM39" s="21"/>
      <c r="IWN39" s="21"/>
      <c r="IWO39" s="21"/>
      <c r="IWP39" s="21"/>
      <c r="IWQ39" s="21"/>
      <c r="IWR39" s="21"/>
      <c r="IWS39" s="21"/>
      <c r="IWT39" s="21"/>
      <c r="IWU39" s="21"/>
      <c r="IWV39" s="21"/>
      <c r="IWW39" s="21"/>
      <c r="IWX39" s="21"/>
      <c r="IWY39" s="21"/>
      <c r="IWZ39" s="21"/>
      <c r="IXA39" s="21"/>
      <c r="IXB39" s="21"/>
      <c r="IXC39" s="21"/>
      <c r="IXD39" s="21"/>
      <c r="IXE39" s="21"/>
      <c r="IXF39" s="21"/>
      <c r="IXG39" s="21"/>
      <c r="IXH39" s="21"/>
      <c r="IXI39" s="21"/>
      <c r="IXJ39" s="21"/>
      <c r="IXK39" s="21"/>
      <c r="IXL39" s="21"/>
      <c r="IXM39" s="21"/>
      <c r="IXN39" s="21"/>
      <c r="IXO39" s="21"/>
      <c r="IXP39" s="21"/>
      <c r="IXQ39" s="21"/>
      <c r="IXR39" s="21"/>
      <c r="IXS39" s="21"/>
      <c r="IXT39" s="21"/>
      <c r="IXU39" s="21"/>
      <c r="IXV39" s="21"/>
      <c r="IXW39" s="21"/>
      <c r="IXX39" s="21"/>
      <c r="IXY39" s="21"/>
      <c r="IXZ39" s="21"/>
      <c r="IYA39" s="21"/>
      <c r="IYB39" s="21"/>
      <c r="IYC39" s="21"/>
      <c r="IYD39" s="21"/>
      <c r="IYE39" s="21"/>
      <c r="IYF39" s="21"/>
      <c r="IYG39" s="21"/>
      <c r="IYH39" s="21"/>
      <c r="IYI39" s="21"/>
      <c r="IYJ39" s="21"/>
      <c r="IYK39" s="21"/>
      <c r="IYL39" s="21"/>
      <c r="IYM39" s="21"/>
      <c r="IYN39" s="21"/>
      <c r="IYO39" s="21"/>
      <c r="IYP39" s="21"/>
      <c r="IYQ39" s="21"/>
      <c r="IYR39" s="21"/>
      <c r="IYS39" s="21"/>
      <c r="IYT39" s="21"/>
      <c r="IYU39" s="21"/>
      <c r="IYV39" s="21"/>
      <c r="IYW39" s="21"/>
      <c r="IYX39" s="21"/>
      <c r="IYY39" s="21"/>
      <c r="IYZ39" s="21"/>
      <c r="IZA39" s="21"/>
      <c r="IZB39" s="21"/>
      <c r="IZC39" s="21"/>
      <c r="IZD39" s="21"/>
      <c r="IZE39" s="21"/>
      <c r="IZF39" s="21"/>
      <c r="IZG39" s="21"/>
      <c r="IZH39" s="21"/>
      <c r="IZI39" s="21"/>
      <c r="IZJ39" s="21"/>
      <c r="IZK39" s="21"/>
      <c r="IZL39" s="21"/>
      <c r="IZM39" s="21"/>
      <c r="IZN39" s="21"/>
      <c r="IZO39" s="21"/>
      <c r="IZP39" s="21"/>
      <c r="IZQ39" s="21"/>
      <c r="IZR39" s="21"/>
      <c r="IZS39" s="21"/>
      <c r="IZT39" s="21"/>
      <c r="IZU39" s="21"/>
      <c r="IZV39" s="21"/>
      <c r="IZW39" s="21"/>
      <c r="IZX39" s="21"/>
      <c r="IZY39" s="21"/>
      <c r="IZZ39" s="21"/>
      <c r="JAA39" s="21"/>
      <c r="JAB39" s="21"/>
      <c r="JAC39" s="21"/>
      <c r="JAD39" s="21"/>
      <c r="JAE39" s="21"/>
      <c r="JAF39" s="21"/>
      <c r="JAG39" s="21"/>
      <c r="JAH39" s="21"/>
      <c r="JAI39" s="21"/>
      <c r="JAJ39" s="21"/>
      <c r="JAK39" s="21"/>
      <c r="JAL39" s="21"/>
      <c r="JAM39" s="21"/>
      <c r="JAN39" s="21"/>
      <c r="JAO39" s="21"/>
      <c r="JAP39" s="21"/>
      <c r="JAQ39" s="21"/>
      <c r="JAR39" s="21"/>
      <c r="JAS39" s="21"/>
      <c r="JAT39" s="21"/>
      <c r="JAU39" s="21"/>
      <c r="JAV39" s="21"/>
      <c r="JAW39" s="21"/>
      <c r="JAX39" s="21"/>
      <c r="JAY39" s="21"/>
      <c r="JAZ39" s="21"/>
      <c r="JBA39" s="21"/>
      <c r="JBB39" s="21"/>
      <c r="JBC39" s="21"/>
      <c r="JBD39" s="21"/>
      <c r="JBE39" s="21"/>
      <c r="JBF39" s="21"/>
      <c r="JBG39" s="21"/>
      <c r="JBH39" s="21"/>
      <c r="JBI39" s="21"/>
      <c r="JBJ39" s="21"/>
      <c r="JBK39" s="21"/>
      <c r="JBL39" s="21"/>
      <c r="JBM39" s="21"/>
      <c r="JBN39" s="21"/>
      <c r="JBO39" s="21"/>
      <c r="JBP39" s="21"/>
      <c r="JBQ39" s="21"/>
      <c r="JBR39" s="21"/>
      <c r="JBS39" s="21"/>
      <c r="JBT39" s="21"/>
      <c r="JBU39" s="21"/>
      <c r="JBV39" s="21"/>
      <c r="JBW39" s="21"/>
      <c r="JBX39" s="21"/>
      <c r="JBY39" s="21"/>
      <c r="JBZ39" s="21"/>
      <c r="JCA39" s="21"/>
      <c r="JCB39" s="21"/>
      <c r="JCC39" s="21"/>
      <c r="JCD39" s="21"/>
      <c r="JCE39" s="21"/>
      <c r="JCF39" s="21"/>
      <c r="JCG39" s="21"/>
      <c r="JCH39" s="21"/>
      <c r="JCI39" s="21"/>
      <c r="JCJ39" s="21"/>
      <c r="JCK39" s="21"/>
      <c r="JCL39" s="21"/>
      <c r="JCM39" s="21"/>
      <c r="JCN39" s="21"/>
      <c r="JCO39" s="21"/>
      <c r="JCP39" s="21"/>
      <c r="JCQ39" s="21"/>
      <c r="JCR39" s="21"/>
      <c r="JCS39" s="21"/>
      <c r="JCT39" s="21"/>
      <c r="JCU39" s="21"/>
      <c r="JCV39" s="21"/>
      <c r="JCW39" s="21"/>
      <c r="JCX39" s="21"/>
      <c r="JCY39" s="21"/>
      <c r="JCZ39" s="21"/>
      <c r="JDA39" s="21"/>
      <c r="JDB39" s="21"/>
      <c r="JDC39" s="21"/>
      <c r="JDD39" s="21"/>
      <c r="JDE39" s="21"/>
      <c r="JDF39" s="21"/>
      <c r="JDG39" s="21"/>
      <c r="JDH39" s="21"/>
      <c r="JDI39" s="21"/>
      <c r="JDJ39" s="21"/>
      <c r="JDK39" s="21"/>
      <c r="JDL39" s="21"/>
      <c r="JDM39" s="21"/>
      <c r="JDN39" s="21"/>
      <c r="JDO39" s="21"/>
      <c r="JDP39" s="21"/>
      <c r="JDQ39" s="21"/>
      <c r="JDR39" s="21"/>
      <c r="JDS39" s="21"/>
      <c r="JDT39" s="21"/>
      <c r="JDU39" s="21"/>
      <c r="JDV39" s="21"/>
      <c r="JDW39" s="21"/>
      <c r="JDX39" s="21"/>
      <c r="JDY39" s="21"/>
      <c r="JDZ39" s="21"/>
      <c r="JEA39" s="21"/>
      <c r="JEB39" s="21"/>
      <c r="JEC39" s="21"/>
      <c r="JED39" s="21"/>
      <c r="JEE39" s="21"/>
      <c r="JEF39" s="21"/>
      <c r="JEG39" s="21"/>
      <c r="JEH39" s="21"/>
      <c r="JEI39" s="21"/>
      <c r="JEJ39" s="21"/>
      <c r="JEK39" s="21"/>
      <c r="JEL39" s="21"/>
      <c r="JEM39" s="21"/>
      <c r="JEN39" s="21"/>
      <c r="JEO39" s="21"/>
      <c r="JEP39" s="21"/>
      <c r="JEQ39" s="21"/>
      <c r="JER39" s="21"/>
      <c r="JES39" s="21"/>
      <c r="JET39" s="21"/>
      <c r="JEU39" s="21"/>
      <c r="JEV39" s="21"/>
      <c r="JEW39" s="21"/>
      <c r="JEX39" s="21"/>
      <c r="JEY39" s="21"/>
      <c r="JEZ39" s="21"/>
      <c r="JFA39" s="21"/>
      <c r="JFB39" s="21"/>
      <c r="JFC39" s="21"/>
      <c r="JFD39" s="21"/>
      <c r="JFE39" s="21"/>
      <c r="JFF39" s="21"/>
      <c r="JFG39" s="21"/>
      <c r="JFH39" s="21"/>
      <c r="JFI39" s="21"/>
      <c r="JFJ39" s="21"/>
      <c r="JFK39" s="21"/>
      <c r="JFL39" s="21"/>
      <c r="JFM39" s="21"/>
      <c r="JFN39" s="21"/>
      <c r="JFO39" s="21"/>
      <c r="JFP39" s="21"/>
      <c r="JFQ39" s="21"/>
      <c r="JFR39" s="21"/>
      <c r="JFS39" s="21"/>
      <c r="JFT39" s="21"/>
      <c r="JFU39" s="21"/>
      <c r="JFV39" s="21"/>
      <c r="JFW39" s="21"/>
      <c r="JFX39" s="21"/>
      <c r="JFY39" s="21"/>
      <c r="JFZ39" s="21"/>
      <c r="JGA39" s="21"/>
      <c r="JGB39" s="21"/>
      <c r="JGC39" s="21"/>
      <c r="JGD39" s="21"/>
      <c r="JGE39" s="21"/>
      <c r="JGF39" s="21"/>
      <c r="JGG39" s="21"/>
      <c r="JGH39" s="21"/>
      <c r="JGI39" s="21"/>
      <c r="JGJ39" s="21"/>
      <c r="JGK39" s="21"/>
      <c r="JGL39" s="21"/>
      <c r="JGM39" s="21"/>
      <c r="JGN39" s="21"/>
      <c r="JGO39" s="21"/>
      <c r="JGP39" s="21"/>
      <c r="JGQ39" s="21"/>
      <c r="JGR39" s="21"/>
      <c r="JGS39" s="21"/>
      <c r="JGT39" s="21"/>
      <c r="JGU39" s="21"/>
      <c r="JGV39" s="21"/>
      <c r="JGW39" s="21"/>
      <c r="JGX39" s="21"/>
      <c r="JGY39" s="21"/>
      <c r="JGZ39" s="21"/>
      <c r="JHA39" s="21"/>
      <c r="JHB39" s="21"/>
      <c r="JHC39" s="21"/>
      <c r="JHD39" s="21"/>
      <c r="JHE39" s="21"/>
      <c r="JHF39" s="21"/>
      <c r="JHG39" s="21"/>
      <c r="JHH39" s="21"/>
      <c r="JHI39" s="21"/>
      <c r="JHJ39" s="21"/>
      <c r="JHK39" s="21"/>
      <c r="JHL39" s="21"/>
      <c r="JHM39" s="21"/>
      <c r="JHN39" s="21"/>
      <c r="JHO39" s="21"/>
      <c r="JHP39" s="21"/>
      <c r="JHQ39" s="21"/>
      <c r="JHR39" s="21"/>
      <c r="JHS39" s="21"/>
      <c r="JHT39" s="21"/>
      <c r="JHU39" s="21"/>
      <c r="JHV39" s="21"/>
      <c r="JHW39" s="21"/>
      <c r="JHX39" s="21"/>
      <c r="JHY39" s="21"/>
      <c r="JHZ39" s="21"/>
      <c r="JIA39" s="21"/>
      <c r="JIB39" s="21"/>
      <c r="JIC39" s="21"/>
      <c r="JID39" s="21"/>
      <c r="JIE39" s="21"/>
      <c r="JIF39" s="21"/>
      <c r="JIG39" s="21"/>
      <c r="JIH39" s="21"/>
      <c r="JII39" s="21"/>
      <c r="JIJ39" s="21"/>
      <c r="JIK39" s="21"/>
      <c r="JIL39" s="21"/>
      <c r="JIM39" s="21"/>
      <c r="JIN39" s="21"/>
      <c r="JIO39" s="21"/>
      <c r="JIP39" s="21"/>
      <c r="JIQ39" s="21"/>
      <c r="JIR39" s="21"/>
      <c r="JIS39" s="21"/>
      <c r="JIT39" s="21"/>
      <c r="JIU39" s="21"/>
      <c r="JIV39" s="21"/>
      <c r="JIW39" s="21"/>
      <c r="JIX39" s="21"/>
      <c r="JIY39" s="21"/>
      <c r="JIZ39" s="21"/>
      <c r="JJA39" s="21"/>
      <c r="JJB39" s="21"/>
      <c r="JJC39" s="21"/>
      <c r="JJD39" s="21"/>
      <c r="JJE39" s="21"/>
      <c r="JJF39" s="21"/>
      <c r="JJG39" s="21"/>
      <c r="JJH39" s="21"/>
      <c r="JJI39" s="21"/>
      <c r="JJJ39" s="21"/>
      <c r="JJK39" s="21"/>
      <c r="JJL39" s="21"/>
      <c r="JJM39" s="21"/>
      <c r="JJN39" s="21"/>
      <c r="JJO39" s="21"/>
      <c r="JJP39" s="21"/>
      <c r="JJQ39" s="21"/>
      <c r="JJR39" s="21"/>
      <c r="JJS39" s="21"/>
      <c r="JJT39" s="21"/>
      <c r="JJU39" s="21"/>
      <c r="JJV39" s="21"/>
      <c r="JJW39" s="21"/>
      <c r="JJX39" s="21"/>
      <c r="JJY39" s="21"/>
      <c r="JJZ39" s="21"/>
      <c r="JKA39" s="21"/>
      <c r="JKB39" s="21"/>
      <c r="JKC39" s="21"/>
      <c r="JKD39" s="21"/>
      <c r="JKE39" s="21"/>
      <c r="JKF39" s="21"/>
      <c r="JKG39" s="21"/>
      <c r="JKH39" s="21"/>
      <c r="JKI39" s="21"/>
      <c r="JKJ39" s="21"/>
      <c r="JKK39" s="21"/>
      <c r="JKL39" s="21"/>
      <c r="JKM39" s="21"/>
      <c r="JKN39" s="21"/>
      <c r="JKO39" s="21"/>
      <c r="JKP39" s="21"/>
      <c r="JKQ39" s="21"/>
      <c r="JKR39" s="21"/>
      <c r="JKS39" s="21"/>
      <c r="JKT39" s="21"/>
      <c r="JKU39" s="21"/>
      <c r="JKV39" s="21"/>
      <c r="JKW39" s="21"/>
      <c r="JKX39" s="21"/>
      <c r="JKY39" s="21"/>
      <c r="JKZ39" s="21"/>
      <c r="JLA39" s="21"/>
      <c r="JLB39" s="21"/>
      <c r="JLC39" s="21"/>
      <c r="JLD39" s="21"/>
      <c r="JLE39" s="21"/>
      <c r="JLF39" s="21"/>
      <c r="JLG39" s="21"/>
      <c r="JLH39" s="21"/>
      <c r="JLI39" s="21"/>
      <c r="JLJ39" s="21"/>
      <c r="JLK39" s="21"/>
      <c r="JLL39" s="21"/>
      <c r="JLM39" s="21"/>
      <c r="JLN39" s="21"/>
      <c r="JLO39" s="21"/>
      <c r="JLP39" s="21"/>
      <c r="JLQ39" s="21"/>
      <c r="JLR39" s="21"/>
      <c r="JLS39" s="21"/>
      <c r="JLT39" s="21"/>
      <c r="JLU39" s="21"/>
      <c r="JLV39" s="21"/>
      <c r="JLW39" s="21"/>
      <c r="JLX39" s="21"/>
      <c r="JLY39" s="21"/>
      <c r="JLZ39" s="21"/>
      <c r="JMA39" s="21"/>
      <c r="JMB39" s="21"/>
      <c r="JMC39" s="21"/>
      <c r="JMD39" s="21"/>
      <c r="JME39" s="21"/>
      <c r="JMF39" s="21"/>
      <c r="JMG39" s="21"/>
      <c r="JMH39" s="21"/>
      <c r="JMI39" s="21"/>
      <c r="JMJ39" s="21"/>
      <c r="JMK39" s="21"/>
      <c r="JML39" s="21"/>
      <c r="JMM39" s="21"/>
      <c r="JMN39" s="21"/>
      <c r="JMO39" s="21"/>
      <c r="JMP39" s="21"/>
      <c r="JMQ39" s="21"/>
      <c r="JMR39" s="21"/>
      <c r="JMS39" s="21"/>
      <c r="JMT39" s="21"/>
      <c r="JMU39" s="21"/>
      <c r="JMV39" s="21"/>
      <c r="JMW39" s="21"/>
      <c r="JMX39" s="21"/>
      <c r="JMY39" s="21"/>
      <c r="JMZ39" s="21"/>
      <c r="JNA39" s="21"/>
      <c r="JNB39" s="21"/>
      <c r="JNC39" s="21"/>
      <c r="JND39" s="21"/>
      <c r="JNE39" s="21"/>
      <c r="JNF39" s="21"/>
      <c r="JNG39" s="21"/>
      <c r="JNH39" s="21"/>
      <c r="JNI39" s="21"/>
      <c r="JNJ39" s="21"/>
      <c r="JNK39" s="21"/>
      <c r="JNL39" s="21"/>
      <c r="JNM39" s="21"/>
      <c r="JNN39" s="21"/>
      <c r="JNO39" s="21"/>
      <c r="JNP39" s="21"/>
      <c r="JNQ39" s="21"/>
      <c r="JNR39" s="21"/>
      <c r="JNS39" s="21"/>
      <c r="JNT39" s="21"/>
      <c r="JNU39" s="21"/>
      <c r="JNV39" s="21"/>
      <c r="JNW39" s="21"/>
      <c r="JNX39" s="21"/>
      <c r="JNY39" s="21"/>
      <c r="JNZ39" s="21"/>
      <c r="JOA39" s="21"/>
      <c r="JOB39" s="21"/>
      <c r="JOC39" s="21"/>
      <c r="JOD39" s="21"/>
      <c r="JOE39" s="21"/>
      <c r="JOF39" s="21"/>
      <c r="JOG39" s="21"/>
      <c r="JOH39" s="21"/>
      <c r="JOI39" s="21"/>
      <c r="JOJ39" s="21"/>
      <c r="JOK39" s="21"/>
      <c r="JOL39" s="21"/>
      <c r="JOM39" s="21"/>
      <c r="JON39" s="21"/>
      <c r="JOO39" s="21"/>
      <c r="JOP39" s="21"/>
      <c r="JOQ39" s="21"/>
      <c r="JOR39" s="21"/>
      <c r="JOS39" s="21"/>
      <c r="JOT39" s="21"/>
      <c r="JOU39" s="21"/>
      <c r="JOV39" s="21"/>
      <c r="JOW39" s="21"/>
      <c r="JOX39" s="21"/>
      <c r="JOY39" s="21"/>
      <c r="JOZ39" s="21"/>
      <c r="JPA39" s="21"/>
      <c r="JPB39" s="21"/>
      <c r="JPC39" s="21"/>
      <c r="JPD39" s="21"/>
      <c r="JPE39" s="21"/>
      <c r="JPF39" s="21"/>
      <c r="JPG39" s="21"/>
      <c r="JPH39" s="21"/>
      <c r="JPI39" s="21"/>
      <c r="JPJ39" s="21"/>
      <c r="JPK39" s="21"/>
      <c r="JPL39" s="21"/>
      <c r="JPM39" s="21"/>
      <c r="JPN39" s="21"/>
      <c r="JPO39" s="21"/>
      <c r="JPP39" s="21"/>
      <c r="JPQ39" s="21"/>
      <c r="JPR39" s="21"/>
      <c r="JPS39" s="21"/>
      <c r="JPT39" s="21"/>
      <c r="JPU39" s="21"/>
      <c r="JPV39" s="21"/>
      <c r="JPW39" s="21"/>
      <c r="JPX39" s="21"/>
      <c r="JPY39" s="21"/>
      <c r="JPZ39" s="21"/>
      <c r="JQA39" s="21"/>
      <c r="JQB39" s="21"/>
      <c r="JQC39" s="21"/>
      <c r="JQD39" s="21"/>
      <c r="JQE39" s="21"/>
      <c r="JQF39" s="21"/>
      <c r="JQG39" s="21"/>
      <c r="JQH39" s="21"/>
      <c r="JQI39" s="21"/>
      <c r="JQJ39" s="21"/>
      <c r="JQK39" s="21"/>
      <c r="JQL39" s="21"/>
      <c r="JQM39" s="21"/>
      <c r="JQN39" s="21"/>
      <c r="JQO39" s="21"/>
      <c r="JQP39" s="21"/>
      <c r="JQQ39" s="21"/>
      <c r="JQR39" s="21"/>
      <c r="JQS39" s="21"/>
      <c r="JQT39" s="21"/>
      <c r="JQU39" s="21"/>
      <c r="JQV39" s="21"/>
      <c r="JQW39" s="21"/>
      <c r="JQX39" s="21"/>
      <c r="JQY39" s="21"/>
      <c r="JQZ39" s="21"/>
      <c r="JRA39" s="21"/>
      <c r="JRB39" s="21"/>
      <c r="JRC39" s="21"/>
      <c r="JRD39" s="21"/>
      <c r="JRE39" s="21"/>
      <c r="JRF39" s="21"/>
      <c r="JRG39" s="21"/>
      <c r="JRH39" s="21"/>
      <c r="JRI39" s="21"/>
      <c r="JRJ39" s="21"/>
      <c r="JRK39" s="21"/>
      <c r="JRL39" s="21"/>
      <c r="JRM39" s="21"/>
      <c r="JRN39" s="21"/>
      <c r="JRO39" s="21"/>
      <c r="JRP39" s="21"/>
      <c r="JRQ39" s="21"/>
      <c r="JRR39" s="21"/>
      <c r="JRS39" s="21"/>
      <c r="JRT39" s="21"/>
      <c r="JRU39" s="21"/>
      <c r="JRV39" s="21"/>
      <c r="JRW39" s="21"/>
      <c r="JRX39" s="21"/>
      <c r="JRY39" s="21"/>
      <c r="JRZ39" s="21"/>
      <c r="JSA39" s="21"/>
      <c r="JSB39" s="21"/>
      <c r="JSC39" s="21"/>
      <c r="JSD39" s="21"/>
      <c r="JSE39" s="21"/>
      <c r="JSF39" s="21"/>
      <c r="JSG39" s="21"/>
      <c r="JSH39" s="21"/>
      <c r="JSI39" s="21"/>
      <c r="JSJ39" s="21"/>
      <c r="JSK39" s="21"/>
      <c r="JSL39" s="21"/>
      <c r="JSM39" s="21"/>
      <c r="JSN39" s="21"/>
      <c r="JSO39" s="21"/>
      <c r="JSP39" s="21"/>
      <c r="JSQ39" s="21"/>
      <c r="JSR39" s="21"/>
      <c r="JSS39" s="21"/>
      <c r="JST39" s="21"/>
      <c r="JSU39" s="21"/>
      <c r="JSV39" s="21"/>
      <c r="JSW39" s="21"/>
      <c r="JSX39" s="21"/>
      <c r="JSY39" s="21"/>
      <c r="JSZ39" s="21"/>
      <c r="JTA39" s="21"/>
      <c r="JTB39" s="21"/>
      <c r="JTC39" s="21"/>
      <c r="JTD39" s="21"/>
      <c r="JTE39" s="21"/>
      <c r="JTF39" s="21"/>
      <c r="JTG39" s="21"/>
      <c r="JTH39" s="21"/>
      <c r="JTI39" s="21"/>
      <c r="JTJ39" s="21"/>
      <c r="JTK39" s="21"/>
      <c r="JTL39" s="21"/>
      <c r="JTM39" s="21"/>
      <c r="JTN39" s="21"/>
      <c r="JTO39" s="21"/>
      <c r="JTP39" s="21"/>
      <c r="JTQ39" s="21"/>
      <c r="JTR39" s="21"/>
      <c r="JTS39" s="21"/>
      <c r="JTT39" s="21"/>
      <c r="JTU39" s="21"/>
      <c r="JTV39" s="21"/>
      <c r="JTW39" s="21"/>
      <c r="JTX39" s="21"/>
      <c r="JTY39" s="21"/>
      <c r="JTZ39" s="21"/>
      <c r="JUA39" s="21"/>
      <c r="JUB39" s="21"/>
      <c r="JUC39" s="21"/>
      <c r="JUD39" s="21"/>
      <c r="JUE39" s="21"/>
      <c r="JUF39" s="21"/>
      <c r="JUG39" s="21"/>
      <c r="JUH39" s="21"/>
      <c r="JUI39" s="21"/>
      <c r="JUJ39" s="21"/>
      <c r="JUK39" s="21"/>
      <c r="JUL39" s="21"/>
      <c r="JUM39" s="21"/>
      <c r="JUN39" s="21"/>
      <c r="JUO39" s="21"/>
      <c r="JUP39" s="21"/>
      <c r="JUQ39" s="21"/>
      <c r="JUR39" s="21"/>
      <c r="JUS39" s="21"/>
      <c r="JUT39" s="21"/>
      <c r="JUU39" s="21"/>
      <c r="JUV39" s="21"/>
      <c r="JUW39" s="21"/>
      <c r="JUX39" s="21"/>
      <c r="JUY39" s="21"/>
      <c r="JUZ39" s="21"/>
      <c r="JVA39" s="21"/>
      <c r="JVB39" s="21"/>
      <c r="JVC39" s="21"/>
      <c r="JVD39" s="21"/>
      <c r="JVE39" s="21"/>
      <c r="JVF39" s="21"/>
      <c r="JVG39" s="21"/>
      <c r="JVH39" s="21"/>
      <c r="JVI39" s="21"/>
      <c r="JVJ39" s="21"/>
      <c r="JVK39" s="21"/>
      <c r="JVL39" s="21"/>
      <c r="JVM39" s="21"/>
      <c r="JVN39" s="21"/>
      <c r="JVO39" s="21"/>
      <c r="JVP39" s="21"/>
      <c r="JVQ39" s="21"/>
      <c r="JVR39" s="21"/>
      <c r="JVS39" s="21"/>
      <c r="JVT39" s="21"/>
      <c r="JVU39" s="21"/>
      <c r="JVV39" s="21"/>
      <c r="JVW39" s="21"/>
      <c r="JVX39" s="21"/>
      <c r="JVY39" s="21"/>
      <c r="JVZ39" s="21"/>
      <c r="JWA39" s="21"/>
      <c r="JWB39" s="21"/>
      <c r="JWC39" s="21"/>
      <c r="JWD39" s="21"/>
      <c r="JWE39" s="21"/>
      <c r="JWF39" s="21"/>
      <c r="JWG39" s="21"/>
      <c r="JWH39" s="21"/>
      <c r="JWI39" s="21"/>
      <c r="JWJ39" s="21"/>
      <c r="JWK39" s="21"/>
      <c r="JWL39" s="21"/>
      <c r="JWM39" s="21"/>
      <c r="JWN39" s="21"/>
      <c r="JWO39" s="21"/>
      <c r="JWP39" s="21"/>
      <c r="JWQ39" s="21"/>
      <c r="JWR39" s="21"/>
      <c r="JWS39" s="21"/>
      <c r="JWT39" s="21"/>
      <c r="JWU39" s="21"/>
      <c r="JWV39" s="21"/>
      <c r="JWW39" s="21"/>
      <c r="JWX39" s="21"/>
      <c r="JWY39" s="21"/>
      <c r="JWZ39" s="21"/>
      <c r="JXA39" s="21"/>
      <c r="JXB39" s="21"/>
      <c r="JXC39" s="21"/>
      <c r="JXD39" s="21"/>
      <c r="JXE39" s="21"/>
      <c r="JXF39" s="21"/>
      <c r="JXG39" s="21"/>
      <c r="JXH39" s="21"/>
      <c r="JXI39" s="21"/>
      <c r="JXJ39" s="21"/>
      <c r="JXK39" s="21"/>
      <c r="JXL39" s="21"/>
      <c r="JXM39" s="21"/>
      <c r="JXN39" s="21"/>
      <c r="JXO39" s="21"/>
      <c r="JXP39" s="21"/>
      <c r="JXQ39" s="21"/>
      <c r="JXR39" s="21"/>
      <c r="JXS39" s="21"/>
      <c r="JXT39" s="21"/>
      <c r="JXU39" s="21"/>
      <c r="JXV39" s="21"/>
      <c r="JXW39" s="21"/>
      <c r="JXX39" s="21"/>
      <c r="JXY39" s="21"/>
      <c r="JXZ39" s="21"/>
      <c r="JYA39" s="21"/>
      <c r="JYB39" s="21"/>
      <c r="JYC39" s="21"/>
      <c r="JYD39" s="21"/>
      <c r="JYE39" s="21"/>
      <c r="JYF39" s="21"/>
      <c r="JYG39" s="21"/>
      <c r="JYH39" s="21"/>
      <c r="JYI39" s="21"/>
      <c r="JYJ39" s="21"/>
      <c r="JYK39" s="21"/>
      <c r="JYL39" s="21"/>
      <c r="JYM39" s="21"/>
      <c r="JYN39" s="21"/>
      <c r="JYO39" s="21"/>
      <c r="JYP39" s="21"/>
      <c r="JYQ39" s="21"/>
      <c r="JYR39" s="21"/>
      <c r="JYS39" s="21"/>
      <c r="JYT39" s="21"/>
      <c r="JYU39" s="21"/>
      <c r="JYV39" s="21"/>
      <c r="JYW39" s="21"/>
      <c r="JYX39" s="21"/>
      <c r="JYY39" s="21"/>
      <c r="JYZ39" s="21"/>
      <c r="JZA39" s="21"/>
      <c r="JZB39" s="21"/>
      <c r="JZC39" s="21"/>
      <c r="JZD39" s="21"/>
      <c r="JZE39" s="21"/>
      <c r="JZF39" s="21"/>
      <c r="JZG39" s="21"/>
      <c r="JZH39" s="21"/>
      <c r="JZI39" s="21"/>
      <c r="JZJ39" s="21"/>
      <c r="JZK39" s="21"/>
      <c r="JZL39" s="21"/>
      <c r="JZM39" s="21"/>
      <c r="JZN39" s="21"/>
      <c r="JZO39" s="21"/>
      <c r="JZP39" s="21"/>
      <c r="JZQ39" s="21"/>
      <c r="JZR39" s="21"/>
      <c r="JZS39" s="21"/>
      <c r="JZT39" s="21"/>
      <c r="JZU39" s="21"/>
      <c r="JZV39" s="21"/>
      <c r="JZW39" s="21"/>
      <c r="JZX39" s="21"/>
      <c r="JZY39" s="21"/>
      <c r="JZZ39" s="21"/>
      <c r="KAA39" s="21"/>
      <c r="KAB39" s="21"/>
      <c r="KAC39" s="21"/>
      <c r="KAD39" s="21"/>
      <c r="KAE39" s="21"/>
      <c r="KAF39" s="21"/>
      <c r="KAG39" s="21"/>
      <c r="KAH39" s="21"/>
      <c r="KAI39" s="21"/>
      <c r="KAJ39" s="21"/>
      <c r="KAK39" s="21"/>
      <c r="KAL39" s="21"/>
      <c r="KAM39" s="21"/>
      <c r="KAN39" s="21"/>
      <c r="KAO39" s="21"/>
      <c r="KAP39" s="21"/>
      <c r="KAQ39" s="21"/>
      <c r="KAR39" s="21"/>
      <c r="KAS39" s="21"/>
      <c r="KAT39" s="21"/>
      <c r="KAU39" s="21"/>
      <c r="KAV39" s="21"/>
      <c r="KAW39" s="21"/>
      <c r="KAX39" s="21"/>
      <c r="KAY39" s="21"/>
      <c r="KAZ39" s="21"/>
      <c r="KBA39" s="21"/>
      <c r="KBB39" s="21"/>
      <c r="KBC39" s="21"/>
      <c r="KBD39" s="21"/>
      <c r="KBE39" s="21"/>
      <c r="KBF39" s="21"/>
      <c r="KBG39" s="21"/>
      <c r="KBH39" s="21"/>
      <c r="KBI39" s="21"/>
      <c r="KBJ39" s="21"/>
      <c r="KBK39" s="21"/>
      <c r="KBL39" s="21"/>
      <c r="KBM39" s="21"/>
      <c r="KBN39" s="21"/>
      <c r="KBO39" s="21"/>
      <c r="KBP39" s="21"/>
      <c r="KBQ39" s="21"/>
      <c r="KBR39" s="21"/>
      <c r="KBS39" s="21"/>
      <c r="KBT39" s="21"/>
      <c r="KBU39" s="21"/>
      <c r="KBV39" s="21"/>
      <c r="KBW39" s="21"/>
      <c r="KBX39" s="21"/>
      <c r="KBY39" s="21"/>
      <c r="KBZ39" s="21"/>
      <c r="KCA39" s="21"/>
      <c r="KCB39" s="21"/>
      <c r="KCC39" s="21"/>
      <c r="KCD39" s="21"/>
      <c r="KCE39" s="21"/>
      <c r="KCF39" s="21"/>
      <c r="KCG39" s="21"/>
      <c r="KCH39" s="21"/>
      <c r="KCI39" s="21"/>
      <c r="KCJ39" s="21"/>
      <c r="KCK39" s="21"/>
      <c r="KCL39" s="21"/>
      <c r="KCM39" s="21"/>
      <c r="KCN39" s="21"/>
      <c r="KCO39" s="21"/>
      <c r="KCP39" s="21"/>
      <c r="KCQ39" s="21"/>
      <c r="KCR39" s="21"/>
      <c r="KCS39" s="21"/>
      <c r="KCT39" s="21"/>
      <c r="KCU39" s="21"/>
      <c r="KCV39" s="21"/>
      <c r="KCW39" s="21"/>
      <c r="KCX39" s="21"/>
      <c r="KCY39" s="21"/>
      <c r="KCZ39" s="21"/>
      <c r="KDA39" s="21"/>
      <c r="KDB39" s="21"/>
      <c r="KDC39" s="21"/>
      <c r="KDD39" s="21"/>
      <c r="KDE39" s="21"/>
      <c r="KDF39" s="21"/>
      <c r="KDG39" s="21"/>
      <c r="KDH39" s="21"/>
      <c r="KDI39" s="21"/>
      <c r="KDJ39" s="21"/>
      <c r="KDK39" s="21"/>
      <c r="KDL39" s="21"/>
      <c r="KDM39" s="21"/>
      <c r="KDN39" s="21"/>
      <c r="KDO39" s="21"/>
      <c r="KDP39" s="21"/>
      <c r="KDQ39" s="21"/>
      <c r="KDR39" s="21"/>
      <c r="KDS39" s="21"/>
      <c r="KDT39" s="21"/>
      <c r="KDU39" s="21"/>
      <c r="KDV39" s="21"/>
      <c r="KDW39" s="21"/>
      <c r="KDX39" s="21"/>
      <c r="KDY39" s="21"/>
      <c r="KDZ39" s="21"/>
      <c r="KEA39" s="21"/>
      <c r="KEB39" s="21"/>
      <c r="KEC39" s="21"/>
      <c r="KED39" s="21"/>
      <c r="KEE39" s="21"/>
      <c r="KEF39" s="21"/>
      <c r="KEG39" s="21"/>
      <c r="KEH39" s="21"/>
      <c r="KEI39" s="21"/>
      <c r="KEJ39" s="21"/>
      <c r="KEK39" s="21"/>
      <c r="KEL39" s="21"/>
      <c r="KEM39" s="21"/>
      <c r="KEN39" s="21"/>
      <c r="KEO39" s="21"/>
      <c r="KEP39" s="21"/>
      <c r="KEQ39" s="21"/>
      <c r="KER39" s="21"/>
      <c r="KES39" s="21"/>
      <c r="KET39" s="21"/>
      <c r="KEU39" s="21"/>
      <c r="KEV39" s="21"/>
      <c r="KEW39" s="21"/>
      <c r="KEX39" s="21"/>
      <c r="KEY39" s="21"/>
      <c r="KEZ39" s="21"/>
      <c r="KFA39" s="21"/>
      <c r="KFB39" s="21"/>
      <c r="KFC39" s="21"/>
      <c r="KFD39" s="21"/>
      <c r="KFE39" s="21"/>
      <c r="KFF39" s="21"/>
      <c r="KFG39" s="21"/>
      <c r="KFH39" s="21"/>
      <c r="KFI39" s="21"/>
      <c r="KFJ39" s="21"/>
      <c r="KFK39" s="21"/>
      <c r="KFL39" s="21"/>
      <c r="KFM39" s="21"/>
      <c r="KFN39" s="21"/>
      <c r="KFO39" s="21"/>
      <c r="KFP39" s="21"/>
      <c r="KFQ39" s="21"/>
      <c r="KFR39" s="21"/>
      <c r="KFS39" s="21"/>
      <c r="KFT39" s="21"/>
      <c r="KFU39" s="21"/>
      <c r="KFV39" s="21"/>
      <c r="KFW39" s="21"/>
      <c r="KFX39" s="21"/>
      <c r="KFY39" s="21"/>
      <c r="KFZ39" s="21"/>
      <c r="KGA39" s="21"/>
      <c r="KGB39" s="21"/>
      <c r="KGC39" s="21"/>
      <c r="KGD39" s="21"/>
      <c r="KGE39" s="21"/>
      <c r="KGF39" s="21"/>
      <c r="KGG39" s="21"/>
      <c r="KGH39" s="21"/>
      <c r="KGI39" s="21"/>
      <c r="KGJ39" s="21"/>
      <c r="KGK39" s="21"/>
      <c r="KGL39" s="21"/>
      <c r="KGM39" s="21"/>
      <c r="KGN39" s="21"/>
      <c r="KGO39" s="21"/>
      <c r="KGP39" s="21"/>
      <c r="KGQ39" s="21"/>
      <c r="KGR39" s="21"/>
      <c r="KGS39" s="21"/>
      <c r="KGT39" s="21"/>
      <c r="KGU39" s="21"/>
      <c r="KGV39" s="21"/>
      <c r="KGW39" s="21"/>
      <c r="KGX39" s="21"/>
      <c r="KGY39" s="21"/>
      <c r="KGZ39" s="21"/>
      <c r="KHA39" s="21"/>
      <c r="KHB39" s="21"/>
      <c r="KHC39" s="21"/>
      <c r="KHD39" s="21"/>
      <c r="KHE39" s="21"/>
      <c r="KHF39" s="21"/>
      <c r="KHG39" s="21"/>
      <c r="KHH39" s="21"/>
      <c r="KHI39" s="21"/>
      <c r="KHJ39" s="21"/>
      <c r="KHK39" s="21"/>
      <c r="KHL39" s="21"/>
      <c r="KHM39" s="21"/>
      <c r="KHN39" s="21"/>
      <c r="KHO39" s="21"/>
      <c r="KHP39" s="21"/>
      <c r="KHQ39" s="21"/>
      <c r="KHR39" s="21"/>
      <c r="KHS39" s="21"/>
      <c r="KHT39" s="21"/>
      <c r="KHU39" s="21"/>
      <c r="KHV39" s="21"/>
      <c r="KHW39" s="21"/>
      <c r="KHX39" s="21"/>
      <c r="KHY39" s="21"/>
      <c r="KHZ39" s="21"/>
      <c r="KIA39" s="21"/>
      <c r="KIB39" s="21"/>
      <c r="KIC39" s="21"/>
      <c r="KID39" s="21"/>
      <c r="KIE39" s="21"/>
      <c r="KIF39" s="21"/>
      <c r="KIG39" s="21"/>
      <c r="KIH39" s="21"/>
      <c r="KII39" s="21"/>
      <c r="KIJ39" s="21"/>
      <c r="KIK39" s="21"/>
      <c r="KIL39" s="21"/>
      <c r="KIM39" s="21"/>
      <c r="KIN39" s="21"/>
      <c r="KIO39" s="21"/>
      <c r="KIP39" s="21"/>
      <c r="KIQ39" s="21"/>
      <c r="KIR39" s="21"/>
      <c r="KIS39" s="21"/>
      <c r="KIT39" s="21"/>
      <c r="KIU39" s="21"/>
      <c r="KIV39" s="21"/>
      <c r="KIW39" s="21"/>
      <c r="KIX39" s="21"/>
      <c r="KIY39" s="21"/>
      <c r="KIZ39" s="21"/>
      <c r="KJA39" s="21"/>
      <c r="KJB39" s="21"/>
      <c r="KJC39" s="21"/>
      <c r="KJD39" s="21"/>
      <c r="KJE39" s="21"/>
      <c r="KJF39" s="21"/>
      <c r="KJG39" s="21"/>
      <c r="KJH39" s="21"/>
      <c r="KJI39" s="21"/>
      <c r="KJJ39" s="21"/>
      <c r="KJK39" s="21"/>
      <c r="KJL39" s="21"/>
      <c r="KJM39" s="21"/>
      <c r="KJN39" s="21"/>
      <c r="KJO39" s="21"/>
      <c r="KJP39" s="21"/>
      <c r="KJQ39" s="21"/>
      <c r="KJR39" s="21"/>
      <c r="KJS39" s="21"/>
      <c r="KJT39" s="21"/>
      <c r="KJU39" s="21"/>
      <c r="KJV39" s="21"/>
      <c r="KJW39" s="21"/>
      <c r="KJX39" s="21"/>
      <c r="KJY39" s="21"/>
      <c r="KJZ39" s="21"/>
      <c r="KKA39" s="21"/>
      <c r="KKB39" s="21"/>
      <c r="KKC39" s="21"/>
      <c r="KKD39" s="21"/>
      <c r="KKE39" s="21"/>
      <c r="KKF39" s="21"/>
      <c r="KKG39" s="21"/>
      <c r="KKH39" s="21"/>
      <c r="KKI39" s="21"/>
      <c r="KKJ39" s="21"/>
      <c r="KKK39" s="21"/>
      <c r="KKL39" s="21"/>
      <c r="KKM39" s="21"/>
      <c r="KKN39" s="21"/>
      <c r="KKO39" s="21"/>
      <c r="KKP39" s="21"/>
      <c r="KKQ39" s="21"/>
      <c r="KKR39" s="21"/>
      <c r="KKS39" s="21"/>
      <c r="KKT39" s="21"/>
      <c r="KKU39" s="21"/>
      <c r="KKV39" s="21"/>
      <c r="KKW39" s="21"/>
      <c r="KKX39" s="21"/>
      <c r="KKY39" s="21"/>
      <c r="KKZ39" s="21"/>
      <c r="KLA39" s="21"/>
      <c r="KLB39" s="21"/>
      <c r="KLC39" s="21"/>
      <c r="KLD39" s="21"/>
      <c r="KLE39" s="21"/>
      <c r="KLF39" s="21"/>
      <c r="KLG39" s="21"/>
      <c r="KLH39" s="21"/>
      <c r="KLI39" s="21"/>
      <c r="KLJ39" s="21"/>
      <c r="KLK39" s="21"/>
      <c r="KLL39" s="21"/>
      <c r="KLM39" s="21"/>
      <c r="KLN39" s="21"/>
      <c r="KLO39" s="21"/>
      <c r="KLP39" s="21"/>
      <c r="KLQ39" s="21"/>
      <c r="KLR39" s="21"/>
      <c r="KLS39" s="21"/>
      <c r="KLT39" s="21"/>
      <c r="KLU39" s="21"/>
      <c r="KLV39" s="21"/>
      <c r="KLW39" s="21"/>
      <c r="KLX39" s="21"/>
      <c r="KLY39" s="21"/>
      <c r="KLZ39" s="21"/>
      <c r="KMA39" s="21"/>
      <c r="KMB39" s="21"/>
      <c r="KMC39" s="21"/>
      <c r="KMD39" s="21"/>
      <c r="KME39" s="21"/>
      <c r="KMF39" s="21"/>
      <c r="KMG39" s="21"/>
      <c r="KMH39" s="21"/>
      <c r="KMI39" s="21"/>
      <c r="KMJ39" s="21"/>
      <c r="KMK39" s="21"/>
      <c r="KML39" s="21"/>
      <c r="KMM39" s="21"/>
      <c r="KMN39" s="21"/>
      <c r="KMO39" s="21"/>
      <c r="KMP39" s="21"/>
      <c r="KMQ39" s="21"/>
      <c r="KMR39" s="21"/>
      <c r="KMS39" s="21"/>
      <c r="KMT39" s="21"/>
      <c r="KMU39" s="21"/>
      <c r="KMV39" s="21"/>
      <c r="KMW39" s="21"/>
      <c r="KMX39" s="21"/>
      <c r="KMY39" s="21"/>
      <c r="KMZ39" s="21"/>
      <c r="KNA39" s="21"/>
      <c r="KNB39" s="21"/>
      <c r="KNC39" s="21"/>
      <c r="KND39" s="21"/>
      <c r="KNE39" s="21"/>
      <c r="KNF39" s="21"/>
      <c r="KNG39" s="21"/>
      <c r="KNH39" s="21"/>
      <c r="KNI39" s="21"/>
      <c r="KNJ39" s="21"/>
      <c r="KNK39" s="21"/>
      <c r="KNL39" s="21"/>
      <c r="KNM39" s="21"/>
      <c r="KNN39" s="21"/>
      <c r="KNO39" s="21"/>
      <c r="KNP39" s="21"/>
      <c r="KNQ39" s="21"/>
      <c r="KNR39" s="21"/>
      <c r="KNS39" s="21"/>
      <c r="KNT39" s="21"/>
      <c r="KNU39" s="21"/>
      <c r="KNV39" s="21"/>
      <c r="KNW39" s="21"/>
      <c r="KNX39" s="21"/>
      <c r="KNY39" s="21"/>
      <c r="KNZ39" s="21"/>
      <c r="KOA39" s="21"/>
      <c r="KOB39" s="21"/>
      <c r="KOC39" s="21"/>
      <c r="KOD39" s="21"/>
      <c r="KOE39" s="21"/>
      <c r="KOF39" s="21"/>
      <c r="KOG39" s="21"/>
      <c r="KOH39" s="21"/>
      <c r="KOI39" s="21"/>
      <c r="KOJ39" s="21"/>
      <c r="KOK39" s="21"/>
      <c r="KOL39" s="21"/>
      <c r="KOM39" s="21"/>
      <c r="KON39" s="21"/>
      <c r="KOO39" s="21"/>
      <c r="KOP39" s="21"/>
      <c r="KOQ39" s="21"/>
      <c r="KOR39" s="21"/>
      <c r="KOS39" s="21"/>
      <c r="KOT39" s="21"/>
      <c r="KOU39" s="21"/>
      <c r="KOV39" s="21"/>
      <c r="KOW39" s="21"/>
      <c r="KOX39" s="21"/>
      <c r="KOY39" s="21"/>
      <c r="KOZ39" s="21"/>
      <c r="KPA39" s="21"/>
      <c r="KPB39" s="21"/>
      <c r="KPC39" s="21"/>
      <c r="KPD39" s="21"/>
      <c r="KPE39" s="21"/>
      <c r="KPF39" s="21"/>
      <c r="KPG39" s="21"/>
      <c r="KPH39" s="21"/>
      <c r="KPI39" s="21"/>
      <c r="KPJ39" s="21"/>
      <c r="KPK39" s="21"/>
      <c r="KPL39" s="21"/>
      <c r="KPM39" s="21"/>
      <c r="KPN39" s="21"/>
      <c r="KPO39" s="21"/>
      <c r="KPP39" s="21"/>
      <c r="KPQ39" s="21"/>
      <c r="KPR39" s="21"/>
      <c r="KPS39" s="21"/>
      <c r="KPT39" s="21"/>
      <c r="KPU39" s="21"/>
      <c r="KPV39" s="21"/>
      <c r="KPW39" s="21"/>
      <c r="KPX39" s="21"/>
      <c r="KPY39" s="21"/>
      <c r="KPZ39" s="21"/>
      <c r="KQA39" s="21"/>
      <c r="KQB39" s="21"/>
      <c r="KQC39" s="21"/>
      <c r="KQD39" s="21"/>
      <c r="KQE39" s="21"/>
      <c r="KQF39" s="21"/>
      <c r="KQG39" s="21"/>
      <c r="KQH39" s="21"/>
      <c r="KQI39" s="21"/>
      <c r="KQJ39" s="21"/>
      <c r="KQK39" s="21"/>
      <c r="KQL39" s="21"/>
      <c r="KQM39" s="21"/>
      <c r="KQN39" s="21"/>
      <c r="KQO39" s="21"/>
      <c r="KQP39" s="21"/>
      <c r="KQQ39" s="21"/>
      <c r="KQR39" s="21"/>
      <c r="KQS39" s="21"/>
      <c r="KQT39" s="21"/>
      <c r="KQU39" s="21"/>
      <c r="KQV39" s="21"/>
      <c r="KQW39" s="21"/>
      <c r="KQX39" s="21"/>
      <c r="KQY39" s="21"/>
      <c r="KQZ39" s="21"/>
      <c r="KRA39" s="21"/>
      <c r="KRB39" s="21"/>
      <c r="KRC39" s="21"/>
      <c r="KRD39" s="21"/>
      <c r="KRE39" s="21"/>
      <c r="KRF39" s="21"/>
      <c r="KRG39" s="21"/>
      <c r="KRH39" s="21"/>
      <c r="KRI39" s="21"/>
      <c r="KRJ39" s="21"/>
      <c r="KRK39" s="21"/>
      <c r="KRL39" s="21"/>
      <c r="KRM39" s="21"/>
      <c r="KRN39" s="21"/>
      <c r="KRO39" s="21"/>
      <c r="KRP39" s="21"/>
      <c r="KRQ39" s="21"/>
      <c r="KRR39" s="21"/>
      <c r="KRS39" s="21"/>
      <c r="KRT39" s="21"/>
      <c r="KRU39" s="21"/>
      <c r="KRV39" s="21"/>
      <c r="KRW39" s="21"/>
      <c r="KRX39" s="21"/>
      <c r="KRY39" s="21"/>
      <c r="KRZ39" s="21"/>
      <c r="KSA39" s="21"/>
      <c r="KSB39" s="21"/>
      <c r="KSC39" s="21"/>
      <c r="KSD39" s="21"/>
      <c r="KSE39" s="21"/>
      <c r="KSF39" s="21"/>
      <c r="KSG39" s="21"/>
      <c r="KSH39" s="21"/>
      <c r="KSI39" s="21"/>
      <c r="KSJ39" s="21"/>
      <c r="KSK39" s="21"/>
      <c r="KSL39" s="21"/>
      <c r="KSM39" s="21"/>
      <c r="KSN39" s="21"/>
      <c r="KSO39" s="21"/>
      <c r="KSP39" s="21"/>
      <c r="KSQ39" s="21"/>
      <c r="KSR39" s="21"/>
      <c r="KSS39" s="21"/>
      <c r="KST39" s="21"/>
      <c r="KSU39" s="21"/>
      <c r="KSV39" s="21"/>
      <c r="KSW39" s="21"/>
      <c r="KSX39" s="21"/>
      <c r="KSY39" s="21"/>
      <c r="KSZ39" s="21"/>
      <c r="KTA39" s="21"/>
      <c r="KTB39" s="21"/>
      <c r="KTC39" s="21"/>
      <c r="KTD39" s="21"/>
      <c r="KTE39" s="21"/>
      <c r="KTF39" s="21"/>
      <c r="KTG39" s="21"/>
      <c r="KTH39" s="21"/>
      <c r="KTI39" s="21"/>
      <c r="KTJ39" s="21"/>
      <c r="KTK39" s="21"/>
      <c r="KTL39" s="21"/>
      <c r="KTM39" s="21"/>
      <c r="KTN39" s="21"/>
      <c r="KTO39" s="21"/>
      <c r="KTP39" s="21"/>
      <c r="KTQ39" s="21"/>
      <c r="KTR39" s="21"/>
      <c r="KTS39" s="21"/>
      <c r="KTT39" s="21"/>
      <c r="KTU39" s="21"/>
      <c r="KTV39" s="21"/>
      <c r="KTW39" s="21"/>
      <c r="KTX39" s="21"/>
      <c r="KTY39" s="21"/>
      <c r="KTZ39" s="21"/>
      <c r="KUA39" s="21"/>
      <c r="KUB39" s="21"/>
      <c r="KUC39" s="21"/>
      <c r="KUD39" s="21"/>
      <c r="KUE39" s="21"/>
      <c r="KUF39" s="21"/>
      <c r="KUG39" s="21"/>
      <c r="KUH39" s="21"/>
      <c r="KUI39" s="21"/>
      <c r="KUJ39" s="21"/>
      <c r="KUK39" s="21"/>
      <c r="KUL39" s="21"/>
      <c r="KUM39" s="21"/>
      <c r="KUN39" s="21"/>
      <c r="KUO39" s="21"/>
      <c r="KUP39" s="21"/>
      <c r="KUQ39" s="21"/>
      <c r="KUR39" s="21"/>
      <c r="KUS39" s="21"/>
      <c r="KUT39" s="21"/>
      <c r="KUU39" s="21"/>
      <c r="KUV39" s="21"/>
      <c r="KUW39" s="21"/>
      <c r="KUX39" s="21"/>
      <c r="KUY39" s="21"/>
      <c r="KUZ39" s="21"/>
      <c r="KVA39" s="21"/>
      <c r="KVB39" s="21"/>
      <c r="KVC39" s="21"/>
      <c r="KVD39" s="21"/>
      <c r="KVE39" s="21"/>
      <c r="KVF39" s="21"/>
      <c r="KVG39" s="21"/>
      <c r="KVH39" s="21"/>
      <c r="KVI39" s="21"/>
      <c r="KVJ39" s="21"/>
      <c r="KVK39" s="21"/>
      <c r="KVL39" s="21"/>
      <c r="KVM39" s="21"/>
      <c r="KVN39" s="21"/>
      <c r="KVO39" s="21"/>
      <c r="KVP39" s="21"/>
      <c r="KVQ39" s="21"/>
      <c r="KVR39" s="21"/>
      <c r="KVS39" s="21"/>
      <c r="KVT39" s="21"/>
      <c r="KVU39" s="21"/>
      <c r="KVV39" s="21"/>
      <c r="KVW39" s="21"/>
      <c r="KVX39" s="21"/>
      <c r="KVY39" s="21"/>
      <c r="KVZ39" s="21"/>
      <c r="KWA39" s="21"/>
      <c r="KWB39" s="21"/>
      <c r="KWC39" s="21"/>
      <c r="KWD39" s="21"/>
      <c r="KWE39" s="21"/>
      <c r="KWF39" s="21"/>
      <c r="KWG39" s="21"/>
      <c r="KWH39" s="21"/>
      <c r="KWI39" s="21"/>
      <c r="KWJ39" s="21"/>
      <c r="KWK39" s="21"/>
      <c r="KWL39" s="21"/>
      <c r="KWM39" s="21"/>
      <c r="KWN39" s="21"/>
      <c r="KWO39" s="21"/>
      <c r="KWP39" s="21"/>
      <c r="KWQ39" s="21"/>
      <c r="KWR39" s="21"/>
      <c r="KWS39" s="21"/>
      <c r="KWT39" s="21"/>
      <c r="KWU39" s="21"/>
      <c r="KWV39" s="21"/>
      <c r="KWW39" s="21"/>
      <c r="KWX39" s="21"/>
      <c r="KWY39" s="21"/>
      <c r="KWZ39" s="21"/>
      <c r="KXA39" s="21"/>
      <c r="KXB39" s="21"/>
      <c r="KXC39" s="21"/>
      <c r="KXD39" s="21"/>
      <c r="KXE39" s="21"/>
      <c r="KXF39" s="21"/>
      <c r="KXG39" s="21"/>
      <c r="KXH39" s="21"/>
      <c r="KXI39" s="21"/>
      <c r="KXJ39" s="21"/>
      <c r="KXK39" s="21"/>
      <c r="KXL39" s="21"/>
      <c r="KXM39" s="21"/>
      <c r="KXN39" s="21"/>
      <c r="KXO39" s="21"/>
      <c r="KXP39" s="21"/>
      <c r="KXQ39" s="21"/>
      <c r="KXR39" s="21"/>
      <c r="KXS39" s="21"/>
      <c r="KXT39" s="21"/>
      <c r="KXU39" s="21"/>
      <c r="KXV39" s="21"/>
      <c r="KXW39" s="21"/>
      <c r="KXX39" s="21"/>
      <c r="KXY39" s="21"/>
      <c r="KXZ39" s="21"/>
      <c r="KYA39" s="21"/>
      <c r="KYB39" s="21"/>
      <c r="KYC39" s="21"/>
      <c r="KYD39" s="21"/>
      <c r="KYE39" s="21"/>
      <c r="KYF39" s="21"/>
      <c r="KYG39" s="21"/>
      <c r="KYH39" s="21"/>
      <c r="KYI39" s="21"/>
      <c r="KYJ39" s="21"/>
      <c r="KYK39" s="21"/>
      <c r="KYL39" s="21"/>
      <c r="KYM39" s="21"/>
      <c r="KYN39" s="21"/>
      <c r="KYO39" s="21"/>
      <c r="KYP39" s="21"/>
      <c r="KYQ39" s="21"/>
      <c r="KYR39" s="21"/>
      <c r="KYS39" s="21"/>
      <c r="KYT39" s="21"/>
      <c r="KYU39" s="21"/>
      <c r="KYV39" s="21"/>
      <c r="KYW39" s="21"/>
      <c r="KYX39" s="21"/>
      <c r="KYY39" s="21"/>
      <c r="KYZ39" s="21"/>
      <c r="KZA39" s="21"/>
      <c r="KZB39" s="21"/>
      <c r="KZC39" s="21"/>
      <c r="KZD39" s="21"/>
      <c r="KZE39" s="21"/>
      <c r="KZF39" s="21"/>
      <c r="KZG39" s="21"/>
      <c r="KZH39" s="21"/>
      <c r="KZI39" s="21"/>
      <c r="KZJ39" s="21"/>
      <c r="KZK39" s="21"/>
      <c r="KZL39" s="21"/>
      <c r="KZM39" s="21"/>
      <c r="KZN39" s="21"/>
      <c r="KZO39" s="21"/>
      <c r="KZP39" s="21"/>
      <c r="KZQ39" s="21"/>
      <c r="KZR39" s="21"/>
      <c r="KZS39" s="21"/>
      <c r="KZT39" s="21"/>
      <c r="KZU39" s="21"/>
      <c r="KZV39" s="21"/>
      <c r="KZW39" s="21"/>
      <c r="KZX39" s="21"/>
      <c r="KZY39" s="21"/>
      <c r="KZZ39" s="21"/>
      <c r="LAA39" s="21"/>
      <c r="LAB39" s="21"/>
      <c r="LAC39" s="21"/>
      <c r="LAD39" s="21"/>
      <c r="LAE39" s="21"/>
      <c r="LAF39" s="21"/>
      <c r="LAG39" s="21"/>
      <c r="LAH39" s="21"/>
      <c r="LAI39" s="21"/>
      <c r="LAJ39" s="21"/>
      <c r="LAK39" s="21"/>
      <c r="LAL39" s="21"/>
      <c r="LAM39" s="21"/>
      <c r="LAN39" s="21"/>
      <c r="LAO39" s="21"/>
      <c r="LAP39" s="21"/>
      <c r="LAQ39" s="21"/>
      <c r="LAR39" s="21"/>
      <c r="LAS39" s="21"/>
      <c r="LAT39" s="21"/>
      <c r="LAU39" s="21"/>
      <c r="LAV39" s="21"/>
      <c r="LAW39" s="21"/>
      <c r="LAX39" s="21"/>
      <c r="LAY39" s="21"/>
      <c r="LAZ39" s="21"/>
      <c r="LBA39" s="21"/>
      <c r="LBB39" s="21"/>
      <c r="LBC39" s="21"/>
      <c r="LBD39" s="21"/>
      <c r="LBE39" s="21"/>
      <c r="LBF39" s="21"/>
      <c r="LBG39" s="21"/>
      <c r="LBH39" s="21"/>
      <c r="LBI39" s="21"/>
      <c r="LBJ39" s="21"/>
      <c r="LBK39" s="21"/>
      <c r="LBL39" s="21"/>
      <c r="LBM39" s="21"/>
      <c r="LBN39" s="21"/>
      <c r="LBO39" s="21"/>
      <c r="LBP39" s="21"/>
      <c r="LBQ39" s="21"/>
      <c r="LBR39" s="21"/>
      <c r="LBS39" s="21"/>
      <c r="LBT39" s="21"/>
      <c r="LBU39" s="21"/>
      <c r="LBV39" s="21"/>
      <c r="LBW39" s="21"/>
      <c r="LBX39" s="21"/>
      <c r="LBY39" s="21"/>
      <c r="LBZ39" s="21"/>
      <c r="LCA39" s="21"/>
      <c r="LCB39" s="21"/>
      <c r="LCC39" s="21"/>
      <c r="LCD39" s="21"/>
      <c r="LCE39" s="21"/>
      <c r="LCF39" s="21"/>
      <c r="LCG39" s="21"/>
      <c r="LCH39" s="21"/>
      <c r="LCI39" s="21"/>
      <c r="LCJ39" s="21"/>
      <c r="LCK39" s="21"/>
      <c r="LCL39" s="21"/>
      <c r="LCM39" s="21"/>
      <c r="LCN39" s="21"/>
      <c r="LCO39" s="21"/>
      <c r="LCP39" s="21"/>
      <c r="LCQ39" s="21"/>
      <c r="LCR39" s="21"/>
      <c r="LCS39" s="21"/>
      <c r="LCT39" s="21"/>
      <c r="LCU39" s="21"/>
      <c r="LCV39" s="21"/>
      <c r="LCW39" s="21"/>
      <c r="LCX39" s="21"/>
      <c r="LCY39" s="21"/>
      <c r="LCZ39" s="21"/>
      <c r="LDA39" s="21"/>
      <c r="LDB39" s="21"/>
      <c r="LDC39" s="21"/>
      <c r="LDD39" s="21"/>
      <c r="LDE39" s="21"/>
      <c r="LDF39" s="21"/>
      <c r="LDG39" s="21"/>
      <c r="LDH39" s="21"/>
      <c r="LDI39" s="21"/>
      <c r="LDJ39" s="21"/>
      <c r="LDK39" s="21"/>
      <c r="LDL39" s="21"/>
      <c r="LDM39" s="21"/>
      <c r="LDN39" s="21"/>
      <c r="LDO39" s="21"/>
      <c r="LDP39" s="21"/>
      <c r="LDQ39" s="21"/>
      <c r="LDR39" s="21"/>
      <c r="LDS39" s="21"/>
      <c r="LDT39" s="21"/>
      <c r="LDU39" s="21"/>
      <c r="LDV39" s="21"/>
      <c r="LDW39" s="21"/>
      <c r="LDX39" s="21"/>
      <c r="LDY39" s="21"/>
      <c r="LDZ39" s="21"/>
      <c r="LEA39" s="21"/>
      <c r="LEB39" s="21"/>
      <c r="LEC39" s="21"/>
      <c r="LED39" s="21"/>
      <c r="LEE39" s="21"/>
      <c r="LEF39" s="21"/>
      <c r="LEG39" s="21"/>
      <c r="LEH39" s="21"/>
      <c r="LEI39" s="21"/>
      <c r="LEJ39" s="21"/>
      <c r="LEK39" s="21"/>
      <c r="LEL39" s="21"/>
      <c r="LEM39" s="21"/>
      <c r="LEN39" s="21"/>
      <c r="LEO39" s="21"/>
      <c r="LEP39" s="21"/>
      <c r="LEQ39" s="21"/>
      <c r="LER39" s="21"/>
      <c r="LES39" s="21"/>
      <c r="LET39" s="21"/>
      <c r="LEU39" s="21"/>
      <c r="LEV39" s="21"/>
      <c r="LEW39" s="21"/>
      <c r="LEX39" s="21"/>
      <c r="LEY39" s="21"/>
      <c r="LEZ39" s="21"/>
      <c r="LFA39" s="21"/>
      <c r="LFB39" s="21"/>
      <c r="LFC39" s="21"/>
      <c r="LFD39" s="21"/>
      <c r="LFE39" s="21"/>
      <c r="LFF39" s="21"/>
      <c r="LFG39" s="21"/>
      <c r="LFH39" s="21"/>
      <c r="LFI39" s="21"/>
      <c r="LFJ39" s="21"/>
      <c r="LFK39" s="21"/>
      <c r="LFL39" s="21"/>
      <c r="LFM39" s="21"/>
      <c r="LFN39" s="21"/>
      <c r="LFO39" s="21"/>
      <c r="LFP39" s="21"/>
      <c r="LFQ39" s="21"/>
      <c r="LFR39" s="21"/>
      <c r="LFS39" s="21"/>
      <c r="LFT39" s="21"/>
      <c r="LFU39" s="21"/>
      <c r="LFV39" s="21"/>
      <c r="LFW39" s="21"/>
      <c r="LFX39" s="21"/>
      <c r="LFY39" s="21"/>
      <c r="LFZ39" s="21"/>
      <c r="LGA39" s="21"/>
      <c r="LGB39" s="21"/>
      <c r="LGC39" s="21"/>
      <c r="LGD39" s="21"/>
      <c r="LGE39" s="21"/>
      <c r="LGF39" s="21"/>
      <c r="LGG39" s="21"/>
      <c r="LGH39" s="21"/>
      <c r="LGI39" s="21"/>
      <c r="LGJ39" s="21"/>
      <c r="LGK39" s="21"/>
      <c r="LGL39" s="21"/>
      <c r="LGM39" s="21"/>
      <c r="LGN39" s="21"/>
      <c r="LGO39" s="21"/>
      <c r="LGP39" s="21"/>
      <c r="LGQ39" s="21"/>
      <c r="LGR39" s="21"/>
      <c r="LGS39" s="21"/>
      <c r="LGT39" s="21"/>
      <c r="LGU39" s="21"/>
      <c r="LGV39" s="21"/>
      <c r="LGW39" s="21"/>
      <c r="LGX39" s="21"/>
      <c r="LGY39" s="21"/>
      <c r="LGZ39" s="21"/>
      <c r="LHA39" s="21"/>
      <c r="LHB39" s="21"/>
      <c r="LHC39" s="21"/>
      <c r="LHD39" s="21"/>
      <c r="LHE39" s="21"/>
      <c r="LHF39" s="21"/>
      <c r="LHG39" s="21"/>
      <c r="LHH39" s="21"/>
      <c r="LHI39" s="21"/>
      <c r="LHJ39" s="21"/>
      <c r="LHK39" s="21"/>
      <c r="LHL39" s="21"/>
      <c r="LHM39" s="21"/>
      <c r="LHN39" s="21"/>
      <c r="LHO39" s="21"/>
      <c r="LHP39" s="21"/>
      <c r="LHQ39" s="21"/>
      <c r="LHR39" s="21"/>
      <c r="LHS39" s="21"/>
      <c r="LHT39" s="21"/>
      <c r="LHU39" s="21"/>
      <c r="LHV39" s="21"/>
      <c r="LHW39" s="21"/>
      <c r="LHX39" s="21"/>
      <c r="LHY39" s="21"/>
      <c r="LHZ39" s="21"/>
      <c r="LIA39" s="21"/>
      <c r="LIB39" s="21"/>
      <c r="LIC39" s="21"/>
      <c r="LID39" s="21"/>
      <c r="LIE39" s="21"/>
      <c r="LIF39" s="21"/>
      <c r="LIG39" s="21"/>
      <c r="LIH39" s="21"/>
      <c r="LII39" s="21"/>
      <c r="LIJ39" s="21"/>
      <c r="LIK39" s="21"/>
      <c r="LIL39" s="21"/>
      <c r="LIM39" s="21"/>
      <c r="LIN39" s="21"/>
      <c r="LIO39" s="21"/>
      <c r="LIP39" s="21"/>
      <c r="LIQ39" s="21"/>
      <c r="LIR39" s="21"/>
      <c r="LIS39" s="21"/>
      <c r="LIT39" s="21"/>
      <c r="LIU39" s="21"/>
      <c r="LIV39" s="21"/>
      <c r="LIW39" s="21"/>
      <c r="LIX39" s="21"/>
      <c r="LIY39" s="21"/>
      <c r="LIZ39" s="21"/>
      <c r="LJA39" s="21"/>
      <c r="LJB39" s="21"/>
      <c r="LJC39" s="21"/>
      <c r="LJD39" s="21"/>
      <c r="LJE39" s="21"/>
      <c r="LJF39" s="21"/>
      <c r="LJG39" s="21"/>
      <c r="LJH39" s="21"/>
      <c r="LJI39" s="21"/>
      <c r="LJJ39" s="21"/>
      <c r="LJK39" s="21"/>
      <c r="LJL39" s="21"/>
      <c r="LJM39" s="21"/>
      <c r="LJN39" s="21"/>
      <c r="LJO39" s="21"/>
      <c r="LJP39" s="21"/>
      <c r="LJQ39" s="21"/>
      <c r="LJR39" s="21"/>
      <c r="LJS39" s="21"/>
      <c r="LJT39" s="21"/>
      <c r="LJU39" s="21"/>
      <c r="LJV39" s="21"/>
      <c r="LJW39" s="21"/>
      <c r="LJX39" s="21"/>
      <c r="LJY39" s="21"/>
      <c r="LJZ39" s="21"/>
      <c r="LKA39" s="21"/>
      <c r="LKB39" s="21"/>
      <c r="LKC39" s="21"/>
      <c r="LKD39" s="21"/>
      <c r="LKE39" s="21"/>
      <c r="LKF39" s="21"/>
      <c r="LKG39" s="21"/>
      <c r="LKH39" s="21"/>
      <c r="LKI39" s="21"/>
      <c r="LKJ39" s="21"/>
      <c r="LKK39" s="21"/>
      <c r="LKL39" s="21"/>
      <c r="LKM39" s="21"/>
      <c r="LKN39" s="21"/>
      <c r="LKO39" s="21"/>
      <c r="LKP39" s="21"/>
      <c r="LKQ39" s="21"/>
      <c r="LKR39" s="21"/>
      <c r="LKS39" s="21"/>
      <c r="LKT39" s="21"/>
      <c r="LKU39" s="21"/>
      <c r="LKV39" s="21"/>
      <c r="LKW39" s="21"/>
      <c r="LKX39" s="21"/>
      <c r="LKY39" s="21"/>
      <c r="LKZ39" s="21"/>
      <c r="LLA39" s="21"/>
      <c r="LLB39" s="21"/>
      <c r="LLC39" s="21"/>
      <c r="LLD39" s="21"/>
      <c r="LLE39" s="21"/>
      <c r="LLF39" s="21"/>
      <c r="LLG39" s="21"/>
      <c r="LLH39" s="21"/>
      <c r="LLI39" s="21"/>
      <c r="LLJ39" s="21"/>
      <c r="LLK39" s="21"/>
      <c r="LLL39" s="21"/>
      <c r="LLM39" s="21"/>
      <c r="LLN39" s="21"/>
      <c r="LLO39" s="21"/>
      <c r="LLP39" s="21"/>
      <c r="LLQ39" s="21"/>
      <c r="LLR39" s="21"/>
      <c r="LLS39" s="21"/>
      <c r="LLT39" s="21"/>
      <c r="LLU39" s="21"/>
      <c r="LLV39" s="21"/>
      <c r="LLW39" s="21"/>
      <c r="LLX39" s="21"/>
      <c r="LLY39" s="21"/>
      <c r="LLZ39" s="21"/>
      <c r="LMA39" s="21"/>
      <c r="LMB39" s="21"/>
      <c r="LMC39" s="21"/>
      <c r="LMD39" s="21"/>
      <c r="LME39" s="21"/>
      <c r="LMF39" s="21"/>
      <c r="LMG39" s="21"/>
      <c r="LMH39" s="21"/>
      <c r="LMI39" s="21"/>
      <c r="LMJ39" s="21"/>
      <c r="LMK39" s="21"/>
      <c r="LML39" s="21"/>
      <c r="LMM39" s="21"/>
      <c r="LMN39" s="21"/>
      <c r="LMO39" s="21"/>
      <c r="LMP39" s="21"/>
      <c r="LMQ39" s="21"/>
      <c r="LMR39" s="21"/>
      <c r="LMS39" s="21"/>
      <c r="LMT39" s="21"/>
      <c r="LMU39" s="21"/>
      <c r="LMV39" s="21"/>
      <c r="LMW39" s="21"/>
      <c r="LMX39" s="21"/>
      <c r="LMY39" s="21"/>
      <c r="LMZ39" s="21"/>
      <c r="LNA39" s="21"/>
      <c r="LNB39" s="21"/>
      <c r="LNC39" s="21"/>
      <c r="LND39" s="21"/>
      <c r="LNE39" s="21"/>
      <c r="LNF39" s="21"/>
      <c r="LNG39" s="21"/>
      <c r="LNH39" s="21"/>
      <c r="LNI39" s="21"/>
      <c r="LNJ39" s="21"/>
      <c r="LNK39" s="21"/>
      <c r="LNL39" s="21"/>
      <c r="LNM39" s="21"/>
      <c r="LNN39" s="21"/>
      <c r="LNO39" s="21"/>
      <c r="LNP39" s="21"/>
      <c r="LNQ39" s="21"/>
      <c r="LNR39" s="21"/>
      <c r="LNS39" s="21"/>
      <c r="LNT39" s="21"/>
      <c r="LNU39" s="21"/>
      <c r="LNV39" s="21"/>
      <c r="LNW39" s="21"/>
      <c r="LNX39" s="21"/>
      <c r="LNY39" s="21"/>
      <c r="LNZ39" s="21"/>
      <c r="LOA39" s="21"/>
      <c r="LOB39" s="21"/>
      <c r="LOC39" s="21"/>
      <c r="LOD39" s="21"/>
      <c r="LOE39" s="21"/>
      <c r="LOF39" s="21"/>
      <c r="LOG39" s="21"/>
      <c r="LOH39" s="21"/>
      <c r="LOI39" s="21"/>
      <c r="LOJ39" s="21"/>
      <c r="LOK39" s="21"/>
      <c r="LOL39" s="21"/>
      <c r="LOM39" s="21"/>
      <c r="LON39" s="21"/>
      <c r="LOO39" s="21"/>
      <c r="LOP39" s="21"/>
      <c r="LOQ39" s="21"/>
      <c r="LOR39" s="21"/>
      <c r="LOS39" s="21"/>
      <c r="LOT39" s="21"/>
      <c r="LOU39" s="21"/>
      <c r="LOV39" s="21"/>
      <c r="LOW39" s="21"/>
      <c r="LOX39" s="21"/>
      <c r="LOY39" s="21"/>
      <c r="LOZ39" s="21"/>
      <c r="LPA39" s="21"/>
      <c r="LPB39" s="21"/>
      <c r="LPC39" s="21"/>
      <c r="LPD39" s="21"/>
      <c r="LPE39" s="21"/>
      <c r="LPF39" s="21"/>
      <c r="LPG39" s="21"/>
      <c r="LPH39" s="21"/>
      <c r="LPI39" s="21"/>
      <c r="LPJ39" s="21"/>
      <c r="LPK39" s="21"/>
      <c r="LPL39" s="21"/>
      <c r="LPM39" s="21"/>
      <c r="LPN39" s="21"/>
      <c r="LPO39" s="21"/>
      <c r="LPP39" s="21"/>
      <c r="LPQ39" s="21"/>
      <c r="LPR39" s="21"/>
      <c r="LPS39" s="21"/>
      <c r="LPT39" s="21"/>
      <c r="LPU39" s="21"/>
      <c r="LPV39" s="21"/>
      <c r="LPW39" s="21"/>
      <c r="LPX39" s="21"/>
      <c r="LPY39" s="21"/>
      <c r="LPZ39" s="21"/>
      <c r="LQA39" s="21"/>
      <c r="LQB39" s="21"/>
      <c r="LQC39" s="21"/>
      <c r="LQD39" s="21"/>
      <c r="LQE39" s="21"/>
      <c r="LQF39" s="21"/>
      <c r="LQG39" s="21"/>
      <c r="LQH39" s="21"/>
      <c r="LQI39" s="21"/>
      <c r="LQJ39" s="21"/>
      <c r="LQK39" s="21"/>
      <c r="LQL39" s="21"/>
      <c r="LQM39" s="21"/>
      <c r="LQN39" s="21"/>
      <c r="LQO39" s="21"/>
      <c r="LQP39" s="21"/>
      <c r="LQQ39" s="21"/>
      <c r="LQR39" s="21"/>
      <c r="LQS39" s="21"/>
      <c r="LQT39" s="21"/>
      <c r="LQU39" s="21"/>
      <c r="LQV39" s="21"/>
      <c r="LQW39" s="21"/>
      <c r="LQX39" s="21"/>
      <c r="LQY39" s="21"/>
      <c r="LQZ39" s="21"/>
      <c r="LRA39" s="21"/>
      <c r="LRB39" s="21"/>
      <c r="LRC39" s="21"/>
      <c r="LRD39" s="21"/>
      <c r="LRE39" s="21"/>
      <c r="LRF39" s="21"/>
      <c r="LRG39" s="21"/>
      <c r="LRH39" s="21"/>
      <c r="LRI39" s="21"/>
      <c r="LRJ39" s="21"/>
      <c r="LRK39" s="21"/>
      <c r="LRL39" s="21"/>
      <c r="LRM39" s="21"/>
      <c r="LRN39" s="21"/>
      <c r="LRO39" s="21"/>
      <c r="LRP39" s="21"/>
      <c r="LRQ39" s="21"/>
      <c r="LRR39" s="21"/>
      <c r="LRS39" s="21"/>
      <c r="LRT39" s="21"/>
      <c r="LRU39" s="21"/>
      <c r="LRV39" s="21"/>
      <c r="LRW39" s="21"/>
      <c r="LRX39" s="21"/>
      <c r="LRY39" s="21"/>
      <c r="LRZ39" s="21"/>
      <c r="LSA39" s="21"/>
      <c r="LSB39" s="21"/>
      <c r="LSC39" s="21"/>
      <c r="LSD39" s="21"/>
      <c r="LSE39" s="21"/>
      <c r="LSF39" s="21"/>
      <c r="LSG39" s="21"/>
      <c r="LSH39" s="21"/>
      <c r="LSI39" s="21"/>
      <c r="LSJ39" s="21"/>
      <c r="LSK39" s="21"/>
      <c r="LSL39" s="21"/>
      <c r="LSM39" s="21"/>
      <c r="LSN39" s="21"/>
      <c r="LSO39" s="21"/>
      <c r="LSP39" s="21"/>
      <c r="LSQ39" s="21"/>
      <c r="LSR39" s="21"/>
      <c r="LSS39" s="21"/>
      <c r="LST39" s="21"/>
      <c r="LSU39" s="21"/>
      <c r="LSV39" s="21"/>
      <c r="LSW39" s="21"/>
      <c r="LSX39" s="21"/>
      <c r="LSY39" s="21"/>
      <c r="LSZ39" s="21"/>
      <c r="LTA39" s="21"/>
      <c r="LTB39" s="21"/>
      <c r="LTC39" s="21"/>
      <c r="LTD39" s="21"/>
      <c r="LTE39" s="21"/>
      <c r="LTF39" s="21"/>
      <c r="LTG39" s="21"/>
      <c r="LTH39" s="21"/>
      <c r="LTI39" s="21"/>
      <c r="LTJ39" s="21"/>
      <c r="LTK39" s="21"/>
      <c r="LTL39" s="21"/>
      <c r="LTM39" s="21"/>
      <c r="LTN39" s="21"/>
      <c r="LTO39" s="21"/>
      <c r="LTP39" s="21"/>
      <c r="LTQ39" s="21"/>
      <c r="LTR39" s="21"/>
      <c r="LTS39" s="21"/>
      <c r="LTT39" s="21"/>
      <c r="LTU39" s="21"/>
      <c r="LTV39" s="21"/>
      <c r="LTW39" s="21"/>
      <c r="LTX39" s="21"/>
      <c r="LTY39" s="21"/>
      <c r="LTZ39" s="21"/>
      <c r="LUA39" s="21"/>
      <c r="LUB39" s="21"/>
      <c r="LUC39" s="21"/>
      <c r="LUD39" s="21"/>
      <c r="LUE39" s="21"/>
      <c r="LUF39" s="21"/>
      <c r="LUG39" s="21"/>
      <c r="LUH39" s="21"/>
      <c r="LUI39" s="21"/>
      <c r="LUJ39" s="21"/>
      <c r="LUK39" s="21"/>
      <c r="LUL39" s="21"/>
      <c r="LUM39" s="21"/>
      <c r="LUN39" s="21"/>
      <c r="LUO39" s="21"/>
      <c r="LUP39" s="21"/>
      <c r="LUQ39" s="21"/>
      <c r="LUR39" s="21"/>
      <c r="LUS39" s="21"/>
      <c r="LUT39" s="21"/>
      <c r="LUU39" s="21"/>
      <c r="LUV39" s="21"/>
      <c r="LUW39" s="21"/>
      <c r="LUX39" s="21"/>
      <c r="LUY39" s="21"/>
      <c r="LUZ39" s="21"/>
      <c r="LVA39" s="21"/>
      <c r="LVB39" s="21"/>
      <c r="LVC39" s="21"/>
      <c r="LVD39" s="21"/>
      <c r="LVE39" s="21"/>
      <c r="LVF39" s="21"/>
      <c r="LVG39" s="21"/>
      <c r="LVH39" s="21"/>
      <c r="LVI39" s="21"/>
      <c r="LVJ39" s="21"/>
      <c r="LVK39" s="21"/>
      <c r="LVL39" s="21"/>
      <c r="LVM39" s="21"/>
      <c r="LVN39" s="21"/>
      <c r="LVO39" s="21"/>
      <c r="LVP39" s="21"/>
      <c r="LVQ39" s="21"/>
      <c r="LVR39" s="21"/>
      <c r="LVS39" s="21"/>
      <c r="LVT39" s="21"/>
      <c r="LVU39" s="21"/>
      <c r="LVV39" s="21"/>
      <c r="LVW39" s="21"/>
      <c r="LVX39" s="21"/>
      <c r="LVY39" s="21"/>
      <c r="LVZ39" s="21"/>
      <c r="LWA39" s="21"/>
      <c r="LWB39" s="21"/>
      <c r="LWC39" s="21"/>
      <c r="LWD39" s="21"/>
      <c r="LWE39" s="21"/>
      <c r="LWF39" s="21"/>
      <c r="LWG39" s="21"/>
      <c r="LWH39" s="21"/>
      <c r="LWI39" s="21"/>
      <c r="LWJ39" s="21"/>
      <c r="LWK39" s="21"/>
      <c r="LWL39" s="21"/>
      <c r="LWM39" s="21"/>
      <c r="LWN39" s="21"/>
      <c r="LWO39" s="21"/>
      <c r="LWP39" s="21"/>
      <c r="LWQ39" s="21"/>
      <c r="LWR39" s="21"/>
      <c r="LWS39" s="21"/>
      <c r="LWT39" s="21"/>
      <c r="LWU39" s="21"/>
      <c r="LWV39" s="21"/>
      <c r="LWW39" s="21"/>
      <c r="LWX39" s="21"/>
      <c r="LWY39" s="21"/>
      <c r="LWZ39" s="21"/>
      <c r="LXA39" s="21"/>
      <c r="LXB39" s="21"/>
      <c r="LXC39" s="21"/>
      <c r="LXD39" s="21"/>
      <c r="LXE39" s="21"/>
      <c r="LXF39" s="21"/>
      <c r="LXG39" s="21"/>
      <c r="LXH39" s="21"/>
      <c r="LXI39" s="21"/>
      <c r="LXJ39" s="21"/>
      <c r="LXK39" s="21"/>
      <c r="LXL39" s="21"/>
      <c r="LXM39" s="21"/>
      <c r="LXN39" s="21"/>
      <c r="LXO39" s="21"/>
      <c r="LXP39" s="21"/>
      <c r="LXQ39" s="21"/>
      <c r="LXR39" s="21"/>
      <c r="LXS39" s="21"/>
      <c r="LXT39" s="21"/>
      <c r="LXU39" s="21"/>
      <c r="LXV39" s="21"/>
      <c r="LXW39" s="21"/>
      <c r="LXX39" s="21"/>
      <c r="LXY39" s="21"/>
      <c r="LXZ39" s="21"/>
      <c r="LYA39" s="21"/>
      <c r="LYB39" s="21"/>
      <c r="LYC39" s="21"/>
      <c r="LYD39" s="21"/>
      <c r="LYE39" s="21"/>
      <c r="LYF39" s="21"/>
      <c r="LYG39" s="21"/>
      <c r="LYH39" s="21"/>
      <c r="LYI39" s="21"/>
      <c r="LYJ39" s="21"/>
      <c r="LYK39" s="21"/>
      <c r="LYL39" s="21"/>
      <c r="LYM39" s="21"/>
      <c r="LYN39" s="21"/>
      <c r="LYO39" s="21"/>
      <c r="LYP39" s="21"/>
      <c r="LYQ39" s="21"/>
      <c r="LYR39" s="21"/>
      <c r="LYS39" s="21"/>
      <c r="LYT39" s="21"/>
      <c r="LYU39" s="21"/>
      <c r="LYV39" s="21"/>
      <c r="LYW39" s="21"/>
      <c r="LYX39" s="21"/>
      <c r="LYY39" s="21"/>
      <c r="LYZ39" s="21"/>
      <c r="LZA39" s="21"/>
      <c r="LZB39" s="21"/>
      <c r="LZC39" s="21"/>
      <c r="LZD39" s="21"/>
      <c r="LZE39" s="21"/>
      <c r="LZF39" s="21"/>
      <c r="LZG39" s="21"/>
      <c r="LZH39" s="21"/>
      <c r="LZI39" s="21"/>
      <c r="LZJ39" s="21"/>
      <c r="LZK39" s="21"/>
      <c r="LZL39" s="21"/>
      <c r="LZM39" s="21"/>
      <c r="LZN39" s="21"/>
      <c r="LZO39" s="21"/>
      <c r="LZP39" s="21"/>
      <c r="LZQ39" s="21"/>
      <c r="LZR39" s="21"/>
      <c r="LZS39" s="21"/>
      <c r="LZT39" s="21"/>
      <c r="LZU39" s="21"/>
      <c r="LZV39" s="21"/>
      <c r="LZW39" s="21"/>
      <c r="LZX39" s="21"/>
      <c r="LZY39" s="21"/>
      <c r="LZZ39" s="21"/>
      <c r="MAA39" s="21"/>
      <c r="MAB39" s="21"/>
      <c r="MAC39" s="21"/>
      <c r="MAD39" s="21"/>
      <c r="MAE39" s="21"/>
      <c r="MAF39" s="21"/>
      <c r="MAG39" s="21"/>
      <c r="MAH39" s="21"/>
      <c r="MAI39" s="21"/>
      <c r="MAJ39" s="21"/>
      <c r="MAK39" s="21"/>
      <c r="MAL39" s="21"/>
      <c r="MAM39" s="21"/>
      <c r="MAN39" s="21"/>
      <c r="MAO39" s="21"/>
      <c r="MAP39" s="21"/>
      <c r="MAQ39" s="21"/>
      <c r="MAR39" s="21"/>
      <c r="MAS39" s="21"/>
      <c r="MAT39" s="21"/>
      <c r="MAU39" s="21"/>
      <c r="MAV39" s="21"/>
      <c r="MAW39" s="21"/>
      <c r="MAX39" s="21"/>
      <c r="MAY39" s="21"/>
      <c r="MAZ39" s="21"/>
      <c r="MBA39" s="21"/>
      <c r="MBB39" s="21"/>
      <c r="MBC39" s="21"/>
      <c r="MBD39" s="21"/>
      <c r="MBE39" s="21"/>
      <c r="MBF39" s="21"/>
      <c r="MBG39" s="21"/>
      <c r="MBH39" s="21"/>
      <c r="MBI39" s="21"/>
      <c r="MBJ39" s="21"/>
      <c r="MBK39" s="21"/>
      <c r="MBL39" s="21"/>
      <c r="MBM39" s="21"/>
      <c r="MBN39" s="21"/>
      <c r="MBO39" s="21"/>
      <c r="MBP39" s="21"/>
      <c r="MBQ39" s="21"/>
      <c r="MBR39" s="21"/>
      <c r="MBS39" s="21"/>
      <c r="MBT39" s="21"/>
      <c r="MBU39" s="21"/>
      <c r="MBV39" s="21"/>
      <c r="MBW39" s="21"/>
      <c r="MBX39" s="21"/>
      <c r="MBY39" s="21"/>
      <c r="MBZ39" s="21"/>
      <c r="MCA39" s="21"/>
      <c r="MCB39" s="21"/>
      <c r="MCC39" s="21"/>
      <c r="MCD39" s="21"/>
      <c r="MCE39" s="21"/>
      <c r="MCF39" s="21"/>
      <c r="MCG39" s="21"/>
      <c r="MCH39" s="21"/>
      <c r="MCI39" s="21"/>
      <c r="MCJ39" s="21"/>
      <c r="MCK39" s="21"/>
      <c r="MCL39" s="21"/>
      <c r="MCM39" s="21"/>
      <c r="MCN39" s="21"/>
      <c r="MCO39" s="21"/>
      <c r="MCP39" s="21"/>
      <c r="MCQ39" s="21"/>
      <c r="MCR39" s="21"/>
      <c r="MCS39" s="21"/>
      <c r="MCT39" s="21"/>
      <c r="MCU39" s="21"/>
      <c r="MCV39" s="21"/>
      <c r="MCW39" s="21"/>
      <c r="MCX39" s="21"/>
      <c r="MCY39" s="21"/>
      <c r="MCZ39" s="21"/>
      <c r="MDA39" s="21"/>
      <c r="MDB39" s="21"/>
      <c r="MDC39" s="21"/>
      <c r="MDD39" s="21"/>
      <c r="MDE39" s="21"/>
      <c r="MDF39" s="21"/>
      <c r="MDG39" s="21"/>
      <c r="MDH39" s="21"/>
      <c r="MDI39" s="21"/>
      <c r="MDJ39" s="21"/>
      <c r="MDK39" s="21"/>
      <c r="MDL39" s="21"/>
      <c r="MDM39" s="21"/>
      <c r="MDN39" s="21"/>
      <c r="MDO39" s="21"/>
      <c r="MDP39" s="21"/>
      <c r="MDQ39" s="21"/>
      <c r="MDR39" s="21"/>
      <c r="MDS39" s="21"/>
      <c r="MDT39" s="21"/>
      <c r="MDU39" s="21"/>
      <c r="MDV39" s="21"/>
      <c r="MDW39" s="21"/>
      <c r="MDX39" s="21"/>
      <c r="MDY39" s="21"/>
      <c r="MDZ39" s="21"/>
      <c r="MEA39" s="21"/>
      <c r="MEB39" s="21"/>
      <c r="MEC39" s="21"/>
      <c r="MED39" s="21"/>
      <c r="MEE39" s="21"/>
      <c r="MEF39" s="21"/>
      <c r="MEG39" s="21"/>
      <c r="MEH39" s="21"/>
      <c r="MEI39" s="21"/>
      <c r="MEJ39" s="21"/>
      <c r="MEK39" s="21"/>
      <c r="MEL39" s="21"/>
      <c r="MEM39" s="21"/>
      <c r="MEN39" s="21"/>
      <c r="MEO39" s="21"/>
      <c r="MEP39" s="21"/>
      <c r="MEQ39" s="21"/>
      <c r="MER39" s="21"/>
      <c r="MES39" s="21"/>
      <c r="MET39" s="21"/>
      <c r="MEU39" s="21"/>
      <c r="MEV39" s="21"/>
      <c r="MEW39" s="21"/>
      <c r="MEX39" s="21"/>
      <c r="MEY39" s="21"/>
      <c r="MEZ39" s="21"/>
      <c r="MFA39" s="21"/>
      <c r="MFB39" s="21"/>
      <c r="MFC39" s="21"/>
      <c r="MFD39" s="21"/>
      <c r="MFE39" s="21"/>
      <c r="MFF39" s="21"/>
      <c r="MFG39" s="21"/>
      <c r="MFH39" s="21"/>
      <c r="MFI39" s="21"/>
      <c r="MFJ39" s="21"/>
      <c r="MFK39" s="21"/>
      <c r="MFL39" s="21"/>
      <c r="MFM39" s="21"/>
      <c r="MFN39" s="21"/>
      <c r="MFO39" s="21"/>
      <c r="MFP39" s="21"/>
      <c r="MFQ39" s="21"/>
      <c r="MFR39" s="21"/>
      <c r="MFS39" s="21"/>
      <c r="MFT39" s="21"/>
      <c r="MFU39" s="21"/>
      <c r="MFV39" s="21"/>
      <c r="MFW39" s="21"/>
      <c r="MFX39" s="21"/>
      <c r="MFY39" s="21"/>
      <c r="MFZ39" s="21"/>
      <c r="MGA39" s="21"/>
      <c r="MGB39" s="21"/>
      <c r="MGC39" s="21"/>
      <c r="MGD39" s="21"/>
      <c r="MGE39" s="21"/>
      <c r="MGF39" s="21"/>
      <c r="MGG39" s="21"/>
      <c r="MGH39" s="21"/>
      <c r="MGI39" s="21"/>
      <c r="MGJ39" s="21"/>
      <c r="MGK39" s="21"/>
      <c r="MGL39" s="21"/>
      <c r="MGM39" s="21"/>
      <c r="MGN39" s="21"/>
      <c r="MGO39" s="21"/>
      <c r="MGP39" s="21"/>
      <c r="MGQ39" s="21"/>
      <c r="MGR39" s="21"/>
      <c r="MGS39" s="21"/>
      <c r="MGT39" s="21"/>
      <c r="MGU39" s="21"/>
      <c r="MGV39" s="21"/>
      <c r="MGW39" s="21"/>
      <c r="MGX39" s="21"/>
      <c r="MGY39" s="21"/>
      <c r="MGZ39" s="21"/>
      <c r="MHA39" s="21"/>
      <c r="MHB39" s="21"/>
      <c r="MHC39" s="21"/>
      <c r="MHD39" s="21"/>
      <c r="MHE39" s="21"/>
      <c r="MHF39" s="21"/>
      <c r="MHG39" s="21"/>
      <c r="MHH39" s="21"/>
      <c r="MHI39" s="21"/>
      <c r="MHJ39" s="21"/>
      <c r="MHK39" s="21"/>
      <c r="MHL39" s="21"/>
      <c r="MHM39" s="21"/>
      <c r="MHN39" s="21"/>
      <c r="MHO39" s="21"/>
      <c r="MHP39" s="21"/>
      <c r="MHQ39" s="21"/>
      <c r="MHR39" s="21"/>
      <c r="MHS39" s="21"/>
      <c r="MHT39" s="21"/>
      <c r="MHU39" s="21"/>
      <c r="MHV39" s="21"/>
      <c r="MHW39" s="21"/>
      <c r="MHX39" s="21"/>
      <c r="MHY39" s="21"/>
      <c r="MHZ39" s="21"/>
      <c r="MIA39" s="21"/>
      <c r="MIB39" s="21"/>
      <c r="MIC39" s="21"/>
      <c r="MID39" s="21"/>
      <c r="MIE39" s="21"/>
      <c r="MIF39" s="21"/>
      <c r="MIG39" s="21"/>
      <c r="MIH39" s="21"/>
      <c r="MII39" s="21"/>
      <c r="MIJ39" s="21"/>
      <c r="MIK39" s="21"/>
      <c r="MIL39" s="21"/>
      <c r="MIM39" s="21"/>
      <c r="MIN39" s="21"/>
      <c r="MIO39" s="21"/>
      <c r="MIP39" s="21"/>
      <c r="MIQ39" s="21"/>
      <c r="MIR39" s="21"/>
      <c r="MIS39" s="21"/>
      <c r="MIT39" s="21"/>
      <c r="MIU39" s="21"/>
      <c r="MIV39" s="21"/>
      <c r="MIW39" s="21"/>
      <c r="MIX39" s="21"/>
      <c r="MIY39" s="21"/>
      <c r="MIZ39" s="21"/>
      <c r="MJA39" s="21"/>
      <c r="MJB39" s="21"/>
      <c r="MJC39" s="21"/>
      <c r="MJD39" s="21"/>
      <c r="MJE39" s="21"/>
      <c r="MJF39" s="21"/>
      <c r="MJG39" s="21"/>
      <c r="MJH39" s="21"/>
      <c r="MJI39" s="21"/>
      <c r="MJJ39" s="21"/>
      <c r="MJK39" s="21"/>
      <c r="MJL39" s="21"/>
      <c r="MJM39" s="21"/>
      <c r="MJN39" s="21"/>
      <c r="MJO39" s="21"/>
      <c r="MJP39" s="21"/>
      <c r="MJQ39" s="21"/>
      <c r="MJR39" s="21"/>
      <c r="MJS39" s="21"/>
      <c r="MJT39" s="21"/>
      <c r="MJU39" s="21"/>
      <c r="MJV39" s="21"/>
      <c r="MJW39" s="21"/>
      <c r="MJX39" s="21"/>
      <c r="MJY39" s="21"/>
      <c r="MJZ39" s="21"/>
      <c r="MKA39" s="21"/>
      <c r="MKB39" s="21"/>
      <c r="MKC39" s="21"/>
      <c r="MKD39" s="21"/>
      <c r="MKE39" s="21"/>
      <c r="MKF39" s="21"/>
      <c r="MKG39" s="21"/>
      <c r="MKH39" s="21"/>
      <c r="MKI39" s="21"/>
      <c r="MKJ39" s="21"/>
      <c r="MKK39" s="21"/>
      <c r="MKL39" s="21"/>
      <c r="MKM39" s="21"/>
      <c r="MKN39" s="21"/>
      <c r="MKO39" s="21"/>
      <c r="MKP39" s="21"/>
      <c r="MKQ39" s="21"/>
      <c r="MKR39" s="21"/>
      <c r="MKS39" s="21"/>
      <c r="MKT39" s="21"/>
      <c r="MKU39" s="21"/>
      <c r="MKV39" s="21"/>
      <c r="MKW39" s="21"/>
      <c r="MKX39" s="21"/>
      <c r="MKY39" s="21"/>
      <c r="MKZ39" s="21"/>
      <c r="MLA39" s="21"/>
      <c r="MLB39" s="21"/>
      <c r="MLC39" s="21"/>
      <c r="MLD39" s="21"/>
      <c r="MLE39" s="21"/>
      <c r="MLF39" s="21"/>
      <c r="MLG39" s="21"/>
      <c r="MLH39" s="21"/>
      <c r="MLI39" s="21"/>
      <c r="MLJ39" s="21"/>
      <c r="MLK39" s="21"/>
      <c r="MLL39" s="21"/>
      <c r="MLM39" s="21"/>
      <c r="MLN39" s="21"/>
      <c r="MLO39" s="21"/>
      <c r="MLP39" s="21"/>
      <c r="MLQ39" s="21"/>
      <c r="MLR39" s="21"/>
      <c r="MLS39" s="21"/>
      <c r="MLT39" s="21"/>
      <c r="MLU39" s="21"/>
      <c r="MLV39" s="21"/>
      <c r="MLW39" s="21"/>
      <c r="MLX39" s="21"/>
      <c r="MLY39" s="21"/>
      <c r="MLZ39" s="21"/>
      <c r="MMA39" s="21"/>
      <c r="MMB39" s="21"/>
      <c r="MMC39" s="21"/>
      <c r="MMD39" s="21"/>
      <c r="MME39" s="21"/>
      <c r="MMF39" s="21"/>
      <c r="MMG39" s="21"/>
      <c r="MMH39" s="21"/>
      <c r="MMI39" s="21"/>
      <c r="MMJ39" s="21"/>
      <c r="MMK39" s="21"/>
      <c r="MML39" s="21"/>
      <c r="MMM39" s="21"/>
      <c r="MMN39" s="21"/>
      <c r="MMO39" s="21"/>
      <c r="MMP39" s="21"/>
      <c r="MMQ39" s="21"/>
      <c r="MMR39" s="21"/>
      <c r="MMS39" s="21"/>
      <c r="MMT39" s="21"/>
      <c r="MMU39" s="21"/>
      <c r="MMV39" s="21"/>
      <c r="MMW39" s="21"/>
      <c r="MMX39" s="21"/>
      <c r="MMY39" s="21"/>
      <c r="MMZ39" s="21"/>
      <c r="MNA39" s="21"/>
      <c r="MNB39" s="21"/>
      <c r="MNC39" s="21"/>
      <c r="MND39" s="21"/>
      <c r="MNE39" s="21"/>
      <c r="MNF39" s="21"/>
      <c r="MNG39" s="21"/>
      <c r="MNH39" s="21"/>
      <c r="MNI39" s="21"/>
      <c r="MNJ39" s="21"/>
      <c r="MNK39" s="21"/>
      <c r="MNL39" s="21"/>
      <c r="MNM39" s="21"/>
      <c r="MNN39" s="21"/>
      <c r="MNO39" s="21"/>
      <c r="MNP39" s="21"/>
      <c r="MNQ39" s="21"/>
      <c r="MNR39" s="21"/>
      <c r="MNS39" s="21"/>
      <c r="MNT39" s="21"/>
      <c r="MNU39" s="21"/>
      <c r="MNV39" s="21"/>
      <c r="MNW39" s="21"/>
      <c r="MNX39" s="21"/>
      <c r="MNY39" s="21"/>
      <c r="MNZ39" s="21"/>
      <c r="MOA39" s="21"/>
      <c r="MOB39" s="21"/>
      <c r="MOC39" s="21"/>
      <c r="MOD39" s="21"/>
      <c r="MOE39" s="21"/>
      <c r="MOF39" s="21"/>
      <c r="MOG39" s="21"/>
      <c r="MOH39" s="21"/>
      <c r="MOI39" s="21"/>
      <c r="MOJ39" s="21"/>
      <c r="MOK39" s="21"/>
      <c r="MOL39" s="21"/>
      <c r="MOM39" s="21"/>
      <c r="MON39" s="21"/>
      <c r="MOO39" s="21"/>
      <c r="MOP39" s="21"/>
      <c r="MOQ39" s="21"/>
      <c r="MOR39" s="21"/>
      <c r="MOS39" s="21"/>
      <c r="MOT39" s="21"/>
      <c r="MOU39" s="21"/>
      <c r="MOV39" s="21"/>
      <c r="MOW39" s="21"/>
      <c r="MOX39" s="21"/>
      <c r="MOY39" s="21"/>
      <c r="MOZ39" s="21"/>
      <c r="MPA39" s="21"/>
      <c r="MPB39" s="21"/>
      <c r="MPC39" s="21"/>
      <c r="MPD39" s="21"/>
      <c r="MPE39" s="21"/>
      <c r="MPF39" s="21"/>
      <c r="MPG39" s="21"/>
      <c r="MPH39" s="21"/>
      <c r="MPI39" s="21"/>
      <c r="MPJ39" s="21"/>
      <c r="MPK39" s="21"/>
      <c r="MPL39" s="21"/>
      <c r="MPM39" s="21"/>
      <c r="MPN39" s="21"/>
      <c r="MPO39" s="21"/>
      <c r="MPP39" s="21"/>
      <c r="MPQ39" s="21"/>
      <c r="MPR39" s="21"/>
      <c r="MPS39" s="21"/>
      <c r="MPT39" s="21"/>
      <c r="MPU39" s="21"/>
      <c r="MPV39" s="21"/>
      <c r="MPW39" s="21"/>
      <c r="MPX39" s="21"/>
      <c r="MPY39" s="21"/>
      <c r="MPZ39" s="21"/>
      <c r="MQA39" s="21"/>
      <c r="MQB39" s="21"/>
      <c r="MQC39" s="21"/>
      <c r="MQD39" s="21"/>
      <c r="MQE39" s="21"/>
      <c r="MQF39" s="21"/>
      <c r="MQG39" s="21"/>
      <c r="MQH39" s="21"/>
      <c r="MQI39" s="21"/>
      <c r="MQJ39" s="21"/>
      <c r="MQK39" s="21"/>
      <c r="MQL39" s="21"/>
      <c r="MQM39" s="21"/>
      <c r="MQN39" s="21"/>
      <c r="MQO39" s="21"/>
      <c r="MQP39" s="21"/>
      <c r="MQQ39" s="21"/>
      <c r="MQR39" s="21"/>
      <c r="MQS39" s="21"/>
      <c r="MQT39" s="21"/>
      <c r="MQU39" s="21"/>
      <c r="MQV39" s="21"/>
      <c r="MQW39" s="21"/>
      <c r="MQX39" s="21"/>
      <c r="MQY39" s="21"/>
      <c r="MQZ39" s="21"/>
      <c r="MRA39" s="21"/>
      <c r="MRB39" s="21"/>
      <c r="MRC39" s="21"/>
      <c r="MRD39" s="21"/>
      <c r="MRE39" s="21"/>
      <c r="MRF39" s="21"/>
      <c r="MRG39" s="21"/>
      <c r="MRH39" s="21"/>
      <c r="MRI39" s="21"/>
      <c r="MRJ39" s="21"/>
      <c r="MRK39" s="21"/>
      <c r="MRL39" s="21"/>
      <c r="MRM39" s="21"/>
      <c r="MRN39" s="21"/>
      <c r="MRO39" s="21"/>
      <c r="MRP39" s="21"/>
      <c r="MRQ39" s="21"/>
      <c r="MRR39" s="21"/>
      <c r="MRS39" s="21"/>
      <c r="MRT39" s="21"/>
      <c r="MRU39" s="21"/>
      <c r="MRV39" s="21"/>
      <c r="MRW39" s="21"/>
      <c r="MRX39" s="21"/>
      <c r="MRY39" s="21"/>
      <c r="MRZ39" s="21"/>
      <c r="MSA39" s="21"/>
      <c r="MSB39" s="21"/>
      <c r="MSC39" s="21"/>
      <c r="MSD39" s="21"/>
      <c r="MSE39" s="21"/>
      <c r="MSF39" s="21"/>
      <c r="MSG39" s="21"/>
      <c r="MSH39" s="21"/>
      <c r="MSI39" s="21"/>
      <c r="MSJ39" s="21"/>
      <c r="MSK39" s="21"/>
      <c r="MSL39" s="21"/>
      <c r="MSM39" s="21"/>
      <c r="MSN39" s="21"/>
      <c r="MSO39" s="21"/>
      <c r="MSP39" s="21"/>
      <c r="MSQ39" s="21"/>
      <c r="MSR39" s="21"/>
      <c r="MSS39" s="21"/>
      <c r="MST39" s="21"/>
      <c r="MSU39" s="21"/>
      <c r="MSV39" s="21"/>
      <c r="MSW39" s="21"/>
      <c r="MSX39" s="21"/>
      <c r="MSY39" s="21"/>
      <c r="MSZ39" s="21"/>
      <c r="MTA39" s="21"/>
      <c r="MTB39" s="21"/>
      <c r="MTC39" s="21"/>
      <c r="MTD39" s="21"/>
      <c r="MTE39" s="21"/>
      <c r="MTF39" s="21"/>
      <c r="MTG39" s="21"/>
      <c r="MTH39" s="21"/>
      <c r="MTI39" s="21"/>
      <c r="MTJ39" s="21"/>
      <c r="MTK39" s="21"/>
      <c r="MTL39" s="21"/>
      <c r="MTM39" s="21"/>
      <c r="MTN39" s="21"/>
      <c r="MTO39" s="21"/>
      <c r="MTP39" s="21"/>
      <c r="MTQ39" s="21"/>
      <c r="MTR39" s="21"/>
      <c r="MTS39" s="21"/>
      <c r="MTT39" s="21"/>
      <c r="MTU39" s="21"/>
      <c r="MTV39" s="21"/>
      <c r="MTW39" s="21"/>
      <c r="MTX39" s="21"/>
      <c r="MTY39" s="21"/>
      <c r="MTZ39" s="21"/>
      <c r="MUA39" s="21"/>
      <c r="MUB39" s="21"/>
      <c r="MUC39" s="21"/>
      <c r="MUD39" s="21"/>
      <c r="MUE39" s="21"/>
      <c r="MUF39" s="21"/>
      <c r="MUG39" s="21"/>
      <c r="MUH39" s="21"/>
      <c r="MUI39" s="21"/>
      <c r="MUJ39" s="21"/>
      <c r="MUK39" s="21"/>
      <c r="MUL39" s="21"/>
      <c r="MUM39" s="21"/>
      <c r="MUN39" s="21"/>
      <c r="MUO39" s="21"/>
      <c r="MUP39" s="21"/>
      <c r="MUQ39" s="21"/>
      <c r="MUR39" s="21"/>
      <c r="MUS39" s="21"/>
      <c r="MUT39" s="21"/>
      <c r="MUU39" s="21"/>
      <c r="MUV39" s="21"/>
      <c r="MUW39" s="21"/>
      <c r="MUX39" s="21"/>
      <c r="MUY39" s="21"/>
      <c r="MUZ39" s="21"/>
      <c r="MVA39" s="21"/>
      <c r="MVB39" s="21"/>
      <c r="MVC39" s="21"/>
      <c r="MVD39" s="21"/>
      <c r="MVE39" s="21"/>
      <c r="MVF39" s="21"/>
      <c r="MVG39" s="21"/>
      <c r="MVH39" s="21"/>
      <c r="MVI39" s="21"/>
      <c r="MVJ39" s="21"/>
      <c r="MVK39" s="21"/>
      <c r="MVL39" s="21"/>
      <c r="MVM39" s="21"/>
      <c r="MVN39" s="21"/>
      <c r="MVO39" s="21"/>
      <c r="MVP39" s="21"/>
      <c r="MVQ39" s="21"/>
      <c r="MVR39" s="21"/>
      <c r="MVS39" s="21"/>
      <c r="MVT39" s="21"/>
      <c r="MVU39" s="21"/>
      <c r="MVV39" s="21"/>
      <c r="MVW39" s="21"/>
      <c r="MVX39" s="21"/>
      <c r="MVY39" s="21"/>
      <c r="MVZ39" s="21"/>
      <c r="MWA39" s="21"/>
      <c r="MWB39" s="21"/>
      <c r="MWC39" s="21"/>
      <c r="MWD39" s="21"/>
      <c r="MWE39" s="21"/>
      <c r="MWF39" s="21"/>
      <c r="MWG39" s="21"/>
      <c r="MWH39" s="21"/>
      <c r="MWI39" s="21"/>
      <c r="MWJ39" s="21"/>
      <c r="MWK39" s="21"/>
      <c r="MWL39" s="21"/>
      <c r="MWM39" s="21"/>
      <c r="MWN39" s="21"/>
      <c r="MWO39" s="21"/>
      <c r="MWP39" s="21"/>
      <c r="MWQ39" s="21"/>
      <c r="MWR39" s="21"/>
      <c r="MWS39" s="21"/>
      <c r="MWT39" s="21"/>
      <c r="MWU39" s="21"/>
      <c r="MWV39" s="21"/>
      <c r="MWW39" s="21"/>
      <c r="MWX39" s="21"/>
      <c r="MWY39" s="21"/>
      <c r="MWZ39" s="21"/>
      <c r="MXA39" s="21"/>
      <c r="MXB39" s="21"/>
      <c r="MXC39" s="21"/>
      <c r="MXD39" s="21"/>
      <c r="MXE39" s="21"/>
      <c r="MXF39" s="21"/>
      <c r="MXG39" s="21"/>
      <c r="MXH39" s="21"/>
      <c r="MXI39" s="21"/>
      <c r="MXJ39" s="21"/>
      <c r="MXK39" s="21"/>
      <c r="MXL39" s="21"/>
      <c r="MXM39" s="21"/>
      <c r="MXN39" s="21"/>
      <c r="MXO39" s="21"/>
      <c r="MXP39" s="21"/>
      <c r="MXQ39" s="21"/>
      <c r="MXR39" s="21"/>
      <c r="MXS39" s="21"/>
      <c r="MXT39" s="21"/>
      <c r="MXU39" s="21"/>
      <c r="MXV39" s="21"/>
      <c r="MXW39" s="21"/>
      <c r="MXX39" s="21"/>
      <c r="MXY39" s="21"/>
      <c r="MXZ39" s="21"/>
      <c r="MYA39" s="21"/>
      <c r="MYB39" s="21"/>
      <c r="MYC39" s="21"/>
      <c r="MYD39" s="21"/>
      <c r="MYE39" s="21"/>
      <c r="MYF39" s="21"/>
      <c r="MYG39" s="21"/>
      <c r="MYH39" s="21"/>
      <c r="MYI39" s="21"/>
      <c r="MYJ39" s="21"/>
      <c r="MYK39" s="21"/>
      <c r="MYL39" s="21"/>
      <c r="MYM39" s="21"/>
      <c r="MYN39" s="21"/>
      <c r="MYO39" s="21"/>
      <c r="MYP39" s="21"/>
      <c r="MYQ39" s="21"/>
      <c r="MYR39" s="21"/>
      <c r="MYS39" s="21"/>
      <c r="MYT39" s="21"/>
      <c r="MYU39" s="21"/>
      <c r="MYV39" s="21"/>
      <c r="MYW39" s="21"/>
      <c r="MYX39" s="21"/>
      <c r="MYY39" s="21"/>
      <c r="MYZ39" s="21"/>
      <c r="MZA39" s="21"/>
      <c r="MZB39" s="21"/>
      <c r="MZC39" s="21"/>
      <c r="MZD39" s="21"/>
      <c r="MZE39" s="21"/>
      <c r="MZF39" s="21"/>
      <c r="MZG39" s="21"/>
      <c r="MZH39" s="21"/>
      <c r="MZI39" s="21"/>
      <c r="MZJ39" s="21"/>
      <c r="MZK39" s="21"/>
      <c r="MZL39" s="21"/>
      <c r="MZM39" s="21"/>
      <c r="MZN39" s="21"/>
      <c r="MZO39" s="21"/>
      <c r="MZP39" s="21"/>
      <c r="MZQ39" s="21"/>
      <c r="MZR39" s="21"/>
      <c r="MZS39" s="21"/>
      <c r="MZT39" s="21"/>
      <c r="MZU39" s="21"/>
      <c r="MZV39" s="21"/>
      <c r="MZW39" s="21"/>
      <c r="MZX39" s="21"/>
      <c r="MZY39" s="21"/>
      <c r="MZZ39" s="21"/>
      <c r="NAA39" s="21"/>
      <c r="NAB39" s="21"/>
      <c r="NAC39" s="21"/>
      <c r="NAD39" s="21"/>
      <c r="NAE39" s="21"/>
      <c r="NAF39" s="21"/>
      <c r="NAG39" s="21"/>
      <c r="NAH39" s="21"/>
      <c r="NAI39" s="21"/>
      <c r="NAJ39" s="21"/>
      <c r="NAK39" s="21"/>
      <c r="NAL39" s="21"/>
      <c r="NAM39" s="21"/>
      <c r="NAN39" s="21"/>
      <c r="NAO39" s="21"/>
      <c r="NAP39" s="21"/>
      <c r="NAQ39" s="21"/>
      <c r="NAR39" s="21"/>
      <c r="NAS39" s="21"/>
      <c r="NAT39" s="21"/>
      <c r="NAU39" s="21"/>
      <c r="NAV39" s="21"/>
      <c r="NAW39" s="21"/>
      <c r="NAX39" s="21"/>
      <c r="NAY39" s="21"/>
      <c r="NAZ39" s="21"/>
      <c r="NBA39" s="21"/>
      <c r="NBB39" s="21"/>
      <c r="NBC39" s="21"/>
      <c r="NBD39" s="21"/>
      <c r="NBE39" s="21"/>
      <c r="NBF39" s="21"/>
      <c r="NBG39" s="21"/>
      <c r="NBH39" s="21"/>
      <c r="NBI39" s="21"/>
      <c r="NBJ39" s="21"/>
      <c r="NBK39" s="21"/>
      <c r="NBL39" s="21"/>
      <c r="NBM39" s="21"/>
      <c r="NBN39" s="21"/>
      <c r="NBO39" s="21"/>
      <c r="NBP39" s="21"/>
      <c r="NBQ39" s="21"/>
      <c r="NBR39" s="21"/>
      <c r="NBS39" s="21"/>
      <c r="NBT39" s="21"/>
      <c r="NBU39" s="21"/>
      <c r="NBV39" s="21"/>
      <c r="NBW39" s="21"/>
      <c r="NBX39" s="21"/>
      <c r="NBY39" s="21"/>
      <c r="NBZ39" s="21"/>
      <c r="NCA39" s="21"/>
      <c r="NCB39" s="21"/>
      <c r="NCC39" s="21"/>
      <c r="NCD39" s="21"/>
      <c r="NCE39" s="21"/>
      <c r="NCF39" s="21"/>
      <c r="NCG39" s="21"/>
      <c r="NCH39" s="21"/>
      <c r="NCI39" s="21"/>
      <c r="NCJ39" s="21"/>
      <c r="NCK39" s="21"/>
      <c r="NCL39" s="21"/>
      <c r="NCM39" s="21"/>
      <c r="NCN39" s="21"/>
      <c r="NCO39" s="21"/>
      <c r="NCP39" s="21"/>
      <c r="NCQ39" s="21"/>
      <c r="NCR39" s="21"/>
      <c r="NCS39" s="21"/>
      <c r="NCT39" s="21"/>
      <c r="NCU39" s="21"/>
      <c r="NCV39" s="21"/>
      <c r="NCW39" s="21"/>
      <c r="NCX39" s="21"/>
      <c r="NCY39" s="21"/>
      <c r="NCZ39" s="21"/>
      <c r="NDA39" s="21"/>
      <c r="NDB39" s="21"/>
      <c r="NDC39" s="21"/>
      <c r="NDD39" s="21"/>
      <c r="NDE39" s="21"/>
      <c r="NDF39" s="21"/>
      <c r="NDG39" s="21"/>
      <c r="NDH39" s="21"/>
      <c r="NDI39" s="21"/>
      <c r="NDJ39" s="21"/>
      <c r="NDK39" s="21"/>
      <c r="NDL39" s="21"/>
      <c r="NDM39" s="21"/>
      <c r="NDN39" s="21"/>
      <c r="NDO39" s="21"/>
      <c r="NDP39" s="21"/>
      <c r="NDQ39" s="21"/>
      <c r="NDR39" s="21"/>
      <c r="NDS39" s="21"/>
      <c r="NDT39" s="21"/>
      <c r="NDU39" s="21"/>
      <c r="NDV39" s="21"/>
      <c r="NDW39" s="21"/>
      <c r="NDX39" s="21"/>
      <c r="NDY39" s="21"/>
      <c r="NDZ39" s="21"/>
      <c r="NEA39" s="21"/>
      <c r="NEB39" s="21"/>
      <c r="NEC39" s="21"/>
      <c r="NED39" s="21"/>
      <c r="NEE39" s="21"/>
      <c r="NEF39" s="21"/>
      <c r="NEG39" s="21"/>
      <c r="NEH39" s="21"/>
      <c r="NEI39" s="21"/>
      <c r="NEJ39" s="21"/>
      <c r="NEK39" s="21"/>
      <c r="NEL39" s="21"/>
      <c r="NEM39" s="21"/>
      <c r="NEN39" s="21"/>
      <c r="NEO39" s="21"/>
      <c r="NEP39" s="21"/>
      <c r="NEQ39" s="21"/>
      <c r="NER39" s="21"/>
      <c r="NES39" s="21"/>
      <c r="NET39" s="21"/>
      <c r="NEU39" s="21"/>
      <c r="NEV39" s="21"/>
      <c r="NEW39" s="21"/>
      <c r="NEX39" s="21"/>
      <c r="NEY39" s="21"/>
      <c r="NEZ39" s="21"/>
      <c r="NFA39" s="21"/>
      <c r="NFB39" s="21"/>
      <c r="NFC39" s="21"/>
      <c r="NFD39" s="21"/>
      <c r="NFE39" s="21"/>
      <c r="NFF39" s="21"/>
      <c r="NFG39" s="21"/>
      <c r="NFH39" s="21"/>
      <c r="NFI39" s="21"/>
      <c r="NFJ39" s="21"/>
      <c r="NFK39" s="21"/>
      <c r="NFL39" s="21"/>
      <c r="NFM39" s="21"/>
      <c r="NFN39" s="21"/>
      <c r="NFO39" s="21"/>
      <c r="NFP39" s="21"/>
      <c r="NFQ39" s="21"/>
      <c r="NFR39" s="21"/>
      <c r="NFS39" s="21"/>
      <c r="NFT39" s="21"/>
      <c r="NFU39" s="21"/>
      <c r="NFV39" s="21"/>
      <c r="NFW39" s="21"/>
      <c r="NFX39" s="21"/>
      <c r="NFY39" s="21"/>
      <c r="NFZ39" s="21"/>
      <c r="NGA39" s="21"/>
      <c r="NGB39" s="21"/>
      <c r="NGC39" s="21"/>
      <c r="NGD39" s="21"/>
      <c r="NGE39" s="21"/>
      <c r="NGF39" s="21"/>
      <c r="NGG39" s="21"/>
      <c r="NGH39" s="21"/>
      <c r="NGI39" s="21"/>
      <c r="NGJ39" s="21"/>
      <c r="NGK39" s="21"/>
      <c r="NGL39" s="21"/>
      <c r="NGM39" s="21"/>
      <c r="NGN39" s="21"/>
      <c r="NGO39" s="21"/>
      <c r="NGP39" s="21"/>
      <c r="NGQ39" s="21"/>
      <c r="NGR39" s="21"/>
      <c r="NGS39" s="21"/>
      <c r="NGT39" s="21"/>
      <c r="NGU39" s="21"/>
      <c r="NGV39" s="21"/>
      <c r="NGW39" s="21"/>
      <c r="NGX39" s="21"/>
      <c r="NGY39" s="21"/>
      <c r="NGZ39" s="21"/>
      <c r="NHA39" s="21"/>
      <c r="NHB39" s="21"/>
      <c r="NHC39" s="21"/>
      <c r="NHD39" s="21"/>
      <c r="NHE39" s="21"/>
      <c r="NHF39" s="21"/>
      <c r="NHG39" s="21"/>
      <c r="NHH39" s="21"/>
      <c r="NHI39" s="21"/>
      <c r="NHJ39" s="21"/>
      <c r="NHK39" s="21"/>
      <c r="NHL39" s="21"/>
      <c r="NHM39" s="21"/>
      <c r="NHN39" s="21"/>
      <c r="NHO39" s="21"/>
      <c r="NHP39" s="21"/>
      <c r="NHQ39" s="21"/>
      <c r="NHR39" s="21"/>
      <c r="NHS39" s="21"/>
      <c r="NHT39" s="21"/>
      <c r="NHU39" s="21"/>
      <c r="NHV39" s="21"/>
      <c r="NHW39" s="21"/>
      <c r="NHX39" s="21"/>
      <c r="NHY39" s="21"/>
      <c r="NHZ39" s="21"/>
      <c r="NIA39" s="21"/>
      <c r="NIB39" s="21"/>
      <c r="NIC39" s="21"/>
      <c r="NID39" s="21"/>
      <c r="NIE39" s="21"/>
      <c r="NIF39" s="21"/>
      <c r="NIG39" s="21"/>
      <c r="NIH39" s="21"/>
      <c r="NII39" s="21"/>
      <c r="NIJ39" s="21"/>
      <c r="NIK39" s="21"/>
      <c r="NIL39" s="21"/>
      <c r="NIM39" s="21"/>
      <c r="NIN39" s="21"/>
      <c r="NIO39" s="21"/>
      <c r="NIP39" s="21"/>
      <c r="NIQ39" s="21"/>
      <c r="NIR39" s="21"/>
      <c r="NIS39" s="21"/>
      <c r="NIT39" s="21"/>
      <c r="NIU39" s="21"/>
      <c r="NIV39" s="21"/>
      <c r="NIW39" s="21"/>
      <c r="NIX39" s="21"/>
      <c r="NIY39" s="21"/>
      <c r="NIZ39" s="21"/>
      <c r="NJA39" s="21"/>
      <c r="NJB39" s="21"/>
      <c r="NJC39" s="21"/>
      <c r="NJD39" s="21"/>
      <c r="NJE39" s="21"/>
      <c r="NJF39" s="21"/>
      <c r="NJG39" s="21"/>
      <c r="NJH39" s="21"/>
      <c r="NJI39" s="21"/>
      <c r="NJJ39" s="21"/>
      <c r="NJK39" s="21"/>
      <c r="NJL39" s="21"/>
      <c r="NJM39" s="21"/>
      <c r="NJN39" s="21"/>
      <c r="NJO39" s="21"/>
      <c r="NJP39" s="21"/>
      <c r="NJQ39" s="21"/>
      <c r="NJR39" s="21"/>
      <c r="NJS39" s="21"/>
      <c r="NJT39" s="21"/>
      <c r="NJU39" s="21"/>
      <c r="NJV39" s="21"/>
      <c r="NJW39" s="21"/>
      <c r="NJX39" s="21"/>
      <c r="NJY39" s="21"/>
      <c r="NJZ39" s="21"/>
      <c r="NKA39" s="21"/>
      <c r="NKB39" s="21"/>
      <c r="NKC39" s="21"/>
      <c r="NKD39" s="21"/>
      <c r="NKE39" s="21"/>
      <c r="NKF39" s="21"/>
      <c r="NKG39" s="21"/>
      <c r="NKH39" s="21"/>
      <c r="NKI39" s="21"/>
      <c r="NKJ39" s="21"/>
      <c r="NKK39" s="21"/>
      <c r="NKL39" s="21"/>
      <c r="NKM39" s="21"/>
      <c r="NKN39" s="21"/>
      <c r="NKO39" s="21"/>
      <c r="NKP39" s="21"/>
      <c r="NKQ39" s="21"/>
      <c r="NKR39" s="21"/>
      <c r="NKS39" s="21"/>
      <c r="NKT39" s="21"/>
      <c r="NKU39" s="21"/>
      <c r="NKV39" s="21"/>
      <c r="NKW39" s="21"/>
      <c r="NKX39" s="21"/>
      <c r="NKY39" s="21"/>
      <c r="NKZ39" s="21"/>
      <c r="NLA39" s="21"/>
      <c r="NLB39" s="21"/>
      <c r="NLC39" s="21"/>
      <c r="NLD39" s="21"/>
      <c r="NLE39" s="21"/>
      <c r="NLF39" s="21"/>
      <c r="NLG39" s="21"/>
      <c r="NLH39" s="21"/>
      <c r="NLI39" s="21"/>
      <c r="NLJ39" s="21"/>
      <c r="NLK39" s="21"/>
      <c r="NLL39" s="21"/>
      <c r="NLM39" s="21"/>
      <c r="NLN39" s="21"/>
      <c r="NLO39" s="21"/>
      <c r="NLP39" s="21"/>
      <c r="NLQ39" s="21"/>
      <c r="NLR39" s="21"/>
      <c r="NLS39" s="21"/>
      <c r="NLT39" s="21"/>
      <c r="NLU39" s="21"/>
      <c r="NLV39" s="21"/>
      <c r="NLW39" s="21"/>
      <c r="NLX39" s="21"/>
      <c r="NLY39" s="21"/>
      <c r="NLZ39" s="21"/>
      <c r="NMA39" s="21"/>
      <c r="NMB39" s="21"/>
      <c r="NMC39" s="21"/>
      <c r="NMD39" s="21"/>
      <c r="NME39" s="21"/>
      <c r="NMF39" s="21"/>
      <c r="NMG39" s="21"/>
      <c r="NMH39" s="21"/>
      <c r="NMI39" s="21"/>
      <c r="NMJ39" s="21"/>
      <c r="NMK39" s="21"/>
      <c r="NML39" s="21"/>
      <c r="NMM39" s="21"/>
      <c r="NMN39" s="21"/>
      <c r="NMO39" s="21"/>
      <c r="NMP39" s="21"/>
      <c r="NMQ39" s="21"/>
      <c r="NMR39" s="21"/>
      <c r="NMS39" s="21"/>
      <c r="NMT39" s="21"/>
      <c r="NMU39" s="21"/>
      <c r="NMV39" s="21"/>
      <c r="NMW39" s="21"/>
      <c r="NMX39" s="21"/>
      <c r="NMY39" s="21"/>
      <c r="NMZ39" s="21"/>
      <c r="NNA39" s="21"/>
      <c r="NNB39" s="21"/>
      <c r="NNC39" s="21"/>
      <c r="NND39" s="21"/>
      <c r="NNE39" s="21"/>
      <c r="NNF39" s="21"/>
      <c r="NNG39" s="21"/>
      <c r="NNH39" s="21"/>
      <c r="NNI39" s="21"/>
      <c r="NNJ39" s="21"/>
      <c r="NNK39" s="21"/>
      <c r="NNL39" s="21"/>
      <c r="NNM39" s="21"/>
      <c r="NNN39" s="21"/>
      <c r="NNO39" s="21"/>
      <c r="NNP39" s="21"/>
      <c r="NNQ39" s="21"/>
      <c r="NNR39" s="21"/>
      <c r="NNS39" s="21"/>
      <c r="NNT39" s="21"/>
      <c r="NNU39" s="21"/>
      <c r="NNV39" s="21"/>
      <c r="NNW39" s="21"/>
      <c r="NNX39" s="21"/>
      <c r="NNY39" s="21"/>
      <c r="NNZ39" s="21"/>
      <c r="NOA39" s="21"/>
      <c r="NOB39" s="21"/>
      <c r="NOC39" s="21"/>
      <c r="NOD39" s="21"/>
      <c r="NOE39" s="21"/>
      <c r="NOF39" s="21"/>
      <c r="NOG39" s="21"/>
      <c r="NOH39" s="21"/>
      <c r="NOI39" s="21"/>
      <c r="NOJ39" s="21"/>
      <c r="NOK39" s="21"/>
      <c r="NOL39" s="21"/>
      <c r="NOM39" s="21"/>
      <c r="NON39" s="21"/>
      <c r="NOO39" s="21"/>
      <c r="NOP39" s="21"/>
      <c r="NOQ39" s="21"/>
      <c r="NOR39" s="21"/>
      <c r="NOS39" s="21"/>
      <c r="NOT39" s="21"/>
      <c r="NOU39" s="21"/>
      <c r="NOV39" s="21"/>
      <c r="NOW39" s="21"/>
      <c r="NOX39" s="21"/>
      <c r="NOY39" s="21"/>
      <c r="NOZ39" s="21"/>
      <c r="NPA39" s="21"/>
      <c r="NPB39" s="21"/>
      <c r="NPC39" s="21"/>
      <c r="NPD39" s="21"/>
      <c r="NPE39" s="21"/>
      <c r="NPF39" s="21"/>
      <c r="NPG39" s="21"/>
      <c r="NPH39" s="21"/>
      <c r="NPI39" s="21"/>
      <c r="NPJ39" s="21"/>
      <c r="NPK39" s="21"/>
      <c r="NPL39" s="21"/>
      <c r="NPM39" s="21"/>
      <c r="NPN39" s="21"/>
      <c r="NPO39" s="21"/>
      <c r="NPP39" s="21"/>
      <c r="NPQ39" s="21"/>
      <c r="NPR39" s="21"/>
      <c r="NPS39" s="21"/>
      <c r="NPT39" s="21"/>
      <c r="NPU39" s="21"/>
      <c r="NPV39" s="21"/>
      <c r="NPW39" s="21"/>
      <c r="NPX39" s="21"/>
      <c r="NPY39" s="21"/>
      <c r="NPZ39" s="21"/>
      <c r="NQA39" s="21"/>
      <c r="NQB39" s="21"/>
      <c r="NQC39" s="21"/>
      <c r="NQD39" s="21"/>
      <c r="NQE39" s="21"/>
      <c r="NQF39" s="21"/>
      <c r="NQG39" s="21"/>
      <c r="NQH39" s="21"/>
      <c r="NQI39" s="21"/>
      <c r="NQJ39" s="21"/>
      <c r="NQK39" s="21"/>
      <c r="NQL39" s="21"/>
      <c r="NQM39" s="21"/>
      <c r="NQN39" s="21"/>
      <c r="NQO39" s="21"/>
      <c r="NQP39" s="21"/>
      <c r="NQQ39" s="21"/>
      <c r="NQR39" s="21"/>
      <c r="NQS39" s="21"/>
      <c r="NQT39" s="21"/>
      <c r="NQU39" s="21"/>
      <c r="NQV39" s="21"/>
      <c r="NQW39" s="21"/>
      <c r="NQX39" s="21"/>
      <c r="NQY39" s="21"/>
      <c r="NQZ39" s="21"/>
      <c r="NRA39" s="21"/>
      <c r="NRB39" s="21"/>
      <c r="NRC39" s="21"/>
      <c r="NRD39" s="21"/>
      <c r="NRE39" s="21"/>
      <c r="NRF39" s="21"/>
      <c r="NRG39" s="21"/>
      <c r="NRH39" s="21"/>
      <c r="NRI39" s="21"/>
      <c r="NRJ39" s="21"/>
      <c r="NRK39" s="21"/>
      <c r="NRL39" s="21"/>
      <c r="NRM39" s="21"/>
      <c r="NRN39" s="21"/>
      <c r="NRO39" s="21"/>
      <c r="NRP39" s="21"/>
      <c r="NRQ39" s="21"/>
      <c r="NRR39" s="21"/>
      <c r="NRS39" s="21"/>
      <c r="NRT39" s="21"/>
      <c r="NRU39" s="21"/>
      <c r="NRV39" s="21"/>
      <c r="NRW39" s="21"/>
      <c r="NRX39" s="21"/>
      <c r="NRY39" s="21"/>
      <c r="NRZ39" s="21"/>
      <c r="NSA39" s="21"/>
      <c r="NSB39" s="21"/>
      <c r="NSC39" s="21"/>
      <c r="NSD39" s="21"/>
      <c r="NSE39" s="21"/>
      <c r="NSF39" s="21"/>
      <c r="NSG39" s="21"/>
      <c r="NSH39" s="21"/>
      <c r="NSI39" s="21"/>
      <c r="NSJ39" s="21"/>
      <c r="NSK39" s="21"/>
      <c r="NSL39" s="21"/>
      <c r="NSM39" s="21"/>
      <c r="NSN39" s="21"/>
      <c r="NSO39" s="21"/>
      <c r="NSP39" s="21"/>
      <c r="NSQ39" s="21"/>
      <c r="NSR39" s="21"/>
      <c r="NSS39" s="21"/>
      <c r="NST39" s="21"/>
      <c r="NSU39" s="21"/>
      <c r="NSV39" s="21"/>
      <c r="NSW39" s="21"/>
      <c r="NSX39" s="21"/>
      <c r="NSY39" s="21"/>
      <c r="NSZ39" s="21"/>
      <c r="NTA39" s="21"/>
      <c r="NTB39" s="21"/>
      <c r="NTC39" s="21"/>
      <c r="NTD39" s="21"/>
      <c r="NTE39" s="21"/>
      <c r="NTF39" s="21"/>
      <c r="NTG39" s="21"/>
      <c r="NTH39" s="21"/>
      <c r="NTI39" s="21"/>
      <c r="NTJ39" s="21"/>
      <c r="NTK39" s="21"/>
      <c r="NTL39" s="21"/>
      <c r="NTM39" s="21"/>
      <c r="NTN39" s="21"/>
      <c r="NTO39" s="21"/>
      <c r="NTP39" s="21"/>
      <c r="NTQ39" s="21"/>
      <c r="NTR39" s="21"/>
      <c r="NTS39" s="21"/>
      <c r="NTT39" s="21"/>
      <c r="NTU39" s="21"/>
      <c r="NTV39" s="21"/>
      <c r="NTW39" s="21"/>
      <c r="NTX39" s="21"/>
      <c r="NTY39" s="21"/>
      <c r="NTZ39" s="21"/>
      <c r="NUA39" s="21"/>
      <c r="NUB39" s="21"/>
      <c r="NUC39" s="21"/>
      <c r="NUD39" s="21"/>
      <c r="NUE39" s="21"/>
      <c r="NUF39" s="21"/>
      <c r="NUG39" s="21"/>
      <c r="NUH39" s="21"/>
      <c r="NUI39" s="21"/>
      <c r="NUJ39" s="21"/>
      <c r="NUK39" s="21"/>
      <c r="NUL39" s="21"/>
      <c r="NUM39" s="21"/>
      <c r="NUN39" s="21"/>
      <c r="NUO39" s="21"/>
      <c r="NUP39" s="21"/>
      <c r="NUQ39" s="21"/>
      <c r="NUR39" s="21"/>
      <c r="NUS39" s="21"/>
      <c r="NUT39" s="21"/>
      <c r="NUU39" s="21"/>
      <c r="NUV39" s="21"/>
      <c r="NUW39" s="21"/>
      <c r="NUX39" s="21"/>
      <c r="NUY39" s="21"/>
      <c r="NUZ39" s="21"/>
      <c r="NVA39" s="21"/>
      <c r="NVB39" s="21"/>
      <c r="NVC39" s="21"/>
      <c r="NVD39" s="21"/>
      <c r="NVE39" s="21"/>
      <c r="NVF39" s="21"/>
      <c r="NVG39" s="21"/>
      <c r="NVH39" s="21"/>
      <c r="NVI39" s="21"/>
      <c r="NVJ39" s="21"/>
      <c r="NVK39" s="21"/>
      <c r="NVL39" s="21"/>
      <c r="NVM39" s="21"/>
      <c r="NVN39" s="21"/>
      <c r="NVO39" s="21"/>
      <c r="NVP39" s="21"/>
      <c r="NVQ39" s="21"/>
      <c r="NVR39" s="21"/>
      <c r="NVS39" s="21"/>
      <c r="NVT39" s="21"/>
      <c r="NVU39" s="21"/>
      <c r="NVV39" s="21"/>
      <c r="NVW39" s="21"/>
      <c r="NVX39" s="21"/>
      <c r="NVY39" s="21"/>
      <c r="NVZ39" s="21"/>
      <c r="NWA39" s="21"/>
      <c r="NWB39" s="21"/>
      <c r="NWC39" s="21"/>
      <c r="NWD39" s="21"/>
      <c r="NWE39" s="21"/>
      <c r="NWF39" s="21"/>
      <c r="NWG39" s="21"/>
      <c r="NWH39" s="21"/>
      <c r="NWI39" s="21"/>
      <c r="NWJ39" s="21"/>
      <c r="NWK39" s="21"/>
      <c r="NWL39" s="21"/>
      <c r="NWM39" s="21"/>
      <c r="NWN39" s="21"/>
      <c r="NWO39" s="21"/>
      <c r="NWP39" s="21"/>
      <c r="NWQ39" s="21"/>
      <c r="NWR39" s="21"/>
      <c r="NWS39" s="21"/>
      <c r="NWT39" s="21"/>
      <c r="NWU39" s="21"/>
      <c r="NWV39" s="21"/>
      <c r="NWW39" s="21"/>
      <c r="NWX39" s="21"/>
      <c r="NWY39" s="21"/>
      <c r="NWZ39" s="21"/>
      <c r="NXA39" s="21"/>
      <c r="NXB39" s="21"/>
      <c r="NXC39" s="21"/>
      <c r="NXD39" s="21"/>
      <c r="NXE39" s="21"/>
      <c r="NXF39" s="21"/>
      <c r="NXG39" s="21"/>
      <c r="NXH39" s="21"/>
      <c r="NXI39" s="21"/>
      <c r="NXJ39" s="21"/>
      <c r="NXK39" s="21"/>
      <c r="NXL39" s="21"/>
      <c r="NXM39" s="21"/>
      <c r="NXN39" s="21"/>
      <c r="NXO39" s="21"/>
      <c r="NXP39" s="21"/>
      <c r="NXQ39" s="21"/>
      <c r="NXR39" s="21"/>
      <c r="NXS39" s="21"/>
      <c r="NXT39" s="21"/>
      <c r="NXU39" s="21"/>
      <c r="NXV39" s="21"/>
      <c r="NXW39" s="21"/>
      <c r="NXX39" s="21"/>
      <c r="NXY39" s="21"/>
      <c r="NXZ39" s="21"/>
      <c r="NYA39" s="21"/>
      <c r="NYB39" s="21"/>
      <c r="NYC39" s="21"/>
      <c r="NYD39" s="21"/>
      <c r="NYE39" s="21"/>
      <c r="NYF39" s="21"/>
      <c r="NYG39" s="21"/>
      <c r="NYH39" s="21"/>
      <c r="NYI39" s="21"/>
      <c r="NYJ39" s="21"/>
      <c r="NYK39" s="21"/>
      <c r="NYL39" s="21"/>
      <c r="NYM39" s="21"/>
      <c r="NYN39" s="21"/>
      <c r="NYO39" s="21"/>
      <c r="NYP39" s="21"/>
      <c r="NYQ39" s="21"/>
      <c r="NYR39" s="21"/>
      <c r="NYS39" s="21"/>
      <c r="NYT39" s="21"/>
      <c r="NYU39" s="21"/>
      <c r="NYV39" s="21"/>
      <c r="NYW39" s="21"/>
      <c r="NYX39" s="21"/>
      <c r="NYY39" s="21"/>
      <c r="NYZ39" s="21"/>
      <c r="NZA39" s="21"/>
      <c r="NZB39" s="21"/>
      <c r="NZC39" s="21"/>
      <c r="NZD39" s="21"/>
      <c r="NZE39" s="21"/>
      <c r="NZF39" s="21"/>
      <c r="NZG39" s="21"/>
      <c r="NZH39" s="21"/>
      <c r="NZI39" s="21"/>
      <c r="NZJ39" s="21"/>
      <c r="NZK39" s="21"/>
      <c r="NZL39" s="21"/>
      <c r="NZM39" s="21"/>
      <c r="NZN39" s="21"/>
      <c r="NZO39" s="21"/>
      <c r="NZP39" s="21"/>
      <c r="NZQ39" s="21"/>
      <c r="NZR39" s="21"/>
      <c r="NZS39" s="21"/>
      <c r="NZT39" s="21"/>
      <c r="NZU39" s="21"/>
      <c r="NZV39" s="21"/>
      <c r="NZW39" s="21"/>
      <c r="NZX39" s="21"/>
      <c r="NZY39" s="21"/>
      <c r="NZZ39" s="21"/>
      <c r="OAA39" s="21"/>
      <c r="OAB39" s="21"/>
      <c r="OAC39" s="21"/>
      <c r="OAD39" s="21"/>
      <c r="OAE39" s="21"/>
      <c r="OAF39" s="21"/>
      <c r="OAG39" s="21"/>
      <c r="OAH39" s="21"/>
      <c r="OAI39" s="21"/>
      <c r="OAJ39" s="21"/>
      <c r="OAK39" s="21"/>
      <c r="OAL39" s="21"/>
      <c r="OAM39" s="21"/>
      <c r="OAN39" s="21"/>
      <c r="OAO39" s="21"/>
      <c r="OAP39" s="21"/>
      <c r="OAQ39" s="21"/>
      <c r="OAR39" s="21"/>
      <c r="OAS39" s="21"/>
      <c r="OAT39" s="21"/>
      <c r="OAU39" s="21"/>
      <c r="OAV39" s="21"/>
      <c r="OAW39" s="21"/>
      <c r="OAX39" s="21"/>
      <c r="OAY39" s="21"/>
      <c r="OAZ39" s="21"/>
      <c r="OBA39" s="21"/>
      <c r="OBB39" s="21"/>
      <c r="OBC39" s="21"/>
      <c r="OBD39" s="21"/>
      <c r="OBE39" s="21"/>
      <c r="OBF39" s="21"/>
      <c r="OBG39" s="21"/>
      <c r="OBH39" s="21"/>
      <c r="OBI39" s="21"/>
      <c r="OBJ39" s="21"/>
      <c r="OBK39" s="21"/>
      <c r="OBL39" s="21"/>
      <c r="OBM39" s="21"/>
      <c r="OBN39" s="21"/>
      <c r="OBO39" s="21"/>
      <c r="OBP39" s="21"/>
      <c r="OBQ39" s="21"/>
      <c r="OBR39" s="21"/>
      <c r="OBS39" s="21"/>
      <c r="OBT39" s="21"/>
      <c r="OBU39" s="21"/>
      <c r="OBV39" s="21"/>
      <c r="OBW39" s="21"/>
      <c r="OBX39" s="21"/>
      <c r="OBY39" s="21"/>
      <c r="OBZ39" s="21"/>
      <c r="OCA39" s="21"/>
      <c r="OCB39" s="21"/>
      <c r="OCC39" s="21"/>
      <c r="OCD39" s="21"/>
      <c r="OCE39" s="21"/>
      <c r="OCF39" s="21"/>
      <c r="OCG39" s="21"/>
      <c r="OCH39" s="21"/>
      <c r="OCI39" s="21"/>
      <c r="OCJ39" s="21"/>
      <c r="OCK39" s="21"/>
      <c r="OCL39" s="21"/>
      <c r="OCM39" s="21"/>
      <c r="OCN39" s="21"/>
      <c r="OCO39" s="21"/>
      <c r="OCP39" s="21"/>
      <c r="OCQ39" s="21"/>
      <c r="OCR39" s="21"/>
      <c r="OCS39" s="21"/>
      <c r="OCT39" s="21"/>
      <c r="OCU39" s="21"/>
      <c r="OCV39" s="21"/>
      <c r="OCW39" s="21"/>
      <c r="OCX39" s="21"/>
      <c r="OCY39" s="21"/>
      <c r="OCZ39" s="21"/>
      <c r="ODA39" s="21"/>
      <c r="ODB39" s="21"/>
      <c r="ODC39" s="21"/>
      <c r="ODD39" s="21"/>
      <c r="ODE39" s="21"/>
      <c r="ODF39" s="21"/>
      <c r="ODG39" s="21"/>
      <c r="ODH39" s="21"/>
      <c r="ODI39" s="21"/>
      <c r="ODJ39" s="21"/>
      <c r="ODK39" s="21"/>
      <c r="ODL39" s="21"/>
      <c r="ODM39" s="21"/>
      <c r="ODN39" s="21"/>
      <c r="ODO39" s="21"/>
      <c r="ODP39" s="21"/>
      <c r="ODQ39" s="21"/>
      <c r="ODR39" s="21"/>
      <c r="ODS39" s="21"/>
      <c r="ODT39" s="21"/>
      <c r="ODU39" s="21"/>
      <c r="ODV39" s="21"/>
      <c r="ODW39" s="21"/>
      <c r="ODX39" s="21"/>
      <c r="ODY39" s="21"/>
      <c r="ODZ39" s="21"/>
      <c r="OEA39" s="21"/>
      <c r="OEB39" s="21"/>
      <c r="OEC39" s="21"/>
      <c r="OED39" s="21"/>
      <c r="OEE39" s="21"/>
      <c r="OEF39" s="21"/>
      <c r="OEG39" s="21"/>
      <c r="OEH39" s="21"/>
      <c r="OEI39" s="21"/>
      <c r="OEJ39" s="21"/>
      <c r="OEK39" s="21"/>
      <c r="OEL39" s="21"/>
      <c r="OEM39" s="21"/>
      <c r="OEN39" s="21"/>
      <c r="OEO39" s="21"/>
      <c r="OEP39" s="21"/>
      <c r="OEQ39" s="21"/>
      <c r="OER39" s="21"/>
      <c r="OES39" s="21"/>
      <c r="OET39" s="21"/>
      <c r="OEU39" s="21"/>
      <c r="OEV39" s="21"/>
      <c r="OEW39" s="21"/>
      <c r="OEX39" s="21"/>
      <c r="OEY39" s="21"/>
      <c r="OEZ39" s="21"/>
      <c r="OFA39" s="21"/>
      <c r="OFB39" s="21"/>
      <c r="OFC39" s="21"/>
      <c r="OFD39" s="21"/>
      <c r="OFE39" s="21"/>
      <c r="OFF39" s="21"/>
      <c r="OFG39" s="21"/>
      <c r="OFH39" s="21"/>
      <c r="OFI39" s="21"/>
      <c r="OFJ39" s="21"/>
      <c r="OFK39" s="21"/>
      <c r="OFL39" s="21"/>
      <c r="OFM39" s="21"/>
      <c r="OFN39" s="21"/>
      <c r="OFO39" s="21"/>
      <c r="OFP39" s="21"/>
      <c r="OFQ39" s="21"/>
      <c r="OFR39" s="21"/>
      <c r="OFS39" s="21"/>
      <c r="OFT39" s="21"/>
      <c r="OFU39" s="21"/>
      <c r="OFV39" s="21"/>
      <c r="OFW39" s="21"/>
      <c r="OFX39" s="21"/>
      <c r="OFY39" s="21"/>
      <c r="OFZ39" s="21"/>
      <c r="OGA39" s="21"/>
      <c r="OGB39" s="21"/>
      <c r="OGC39" s="21"/>
      <c r="OGD39" s="21"/>
      <c r="OGE39" s="21"/>
      <c r="OGF39" s="21"/>
      <c r="OGG39" s="21"/>
      <c r="OGH39" s="21"/>
      <c r="OGI39" s="21"/>
      <c r="OGJ39" s="21"/>
      <c r="OGK39" s="21"/>
      <c r="OGL39" s="21"/>
      <c r="OGM39" s="21"/>
      <c r="OGN39" s="21"/>
      <c r="OGO39" s="21"/>
      <c r="OGP39" s="21"/>
      <c r="OGQ39" s="21"/>
      <c r="OGR39" s="21"/>
      <c r="OGS39" s="21"/>
      <c r="OGT39" s="21"/>
      <c r="OGU39" s="21"/>
      <c r="OGV39" s="21"/>
      <c r="OGW39" s="21"/>
      <c r="OGX39" s="21"/>
      <c r="OGY39" s="21"/>
      <c r="OGZ39" s="21"/>
      <c r="OHA39" s="21"/>
      <c r="OHB39" s="21"/>
      <c r="OHC39" s="21"/>
      <c r="OHD39" s="21"/>
      <c r="OHE39" s="21"/>
      <c r="OHF39" s="21"/>
      <c r="OHG39" s="21"/>
      <c r="OHH39" s="21"/>
      <c r="OHI39" s="21"/>
      <c r="OHJ39" s="21"/>
      <c r="OHK39" s="21"/>
      <c r="OHL39" s="21"/>
      <c r="OHM39" s="21"/>
      <c r="OHN39" s="21"/>
      <c r="OHO39" s="21"/>
      <c r="OHP39" s="21"/>
      <c r="OHQ39" s="21"/>
      <c r="OHR39" s="21"/>
      <c r="OHS39" s="21"/>
      <c r="OHT39" s="21"/>
      <c r="OHU39" s="21"/>
      <c r="OHV39" s="21"/>
      <c r="OHW39" s="21"/>
      <c r="OHX39" s="21"/>
      <c r="OHY39" s="21"/>
      <c r="OHZ39" s="21"/>
      <c r="OIA39" s="21"/>
      <c r="OIB39" s="21"/>
      <c r="OIC39" s="21"/>
      <c r="OID39" s="21"/>
      <c r="OIE39" s="21"/>
      <c r="OIF39" s="21"/>
      <c r="OIG39" s="21"/>
      <c r="OIH39" s="21"/>
      <c r="OII39" s="21"/>
      <c r="OIJ39" s="21"/>
      <c r="OIK39" s="21"/>
      <c r="OIL39" s="21"/>
      <c r="OIM39" s="21"/>
      <c r="OIN39" s="21"/>
      <c r="OIO39" s="21"/>
      <c r="OIP39" s="21"/>
      <c r="OIQ39" s="21"/>
      <c r="OIR39" s="21"/>
      <c r="OIS39" s="21"/>
      <c r="OIT39" s="21"/>
      <c r="OIU39" s="21"/>
      <c r="OIV39" s="21"/>
      <c r="OIW39" s="21"/>
      <c r="OIX39" s="21"/>
      <c r="OIY39" s="21"/>
      <c r="OIZ39" s="21"/>
      <c r="OJA39" s="21"/>
      <c r="OJB39" s="21"/>
      <c r="OJC39" s="21"/>
      <c r="OJD39" s="21"/>
      <c r="OJE39" s="21"/>
      <c r="OJF39" s="21"/>
      <c r="OJG39" s="21"/>
      <c r="OJH39" s="21"/>
      <c r="OJI39" s="21"/>
      <c r="OJJ39" s="21"/>
      <c r="OJK39" s="21"/>
      <c r="OJL39" s="21"/>
      <c r="OJM39" s="21"/>
      <c r="OJN39" s="21"/>
      <c r="OJO39" s="21"/>
      <c r="OJP39" s="21"/>
      <c r="OJQ39" s="21"/>
      <c r="OJR39" s="21"/>
      <c r="OJS39" s="21"/>
      <c r="OJT39" s="21"/>
      <c r="OJU39" s="21"/>
      <c r="OJV39" s="21"/>
      <c r="OJW39" s="21"/>
      <c r="OJX39" s="21"/>
      <c r="OJY39" s="21"/>
      <c r="OJZ39" s="21"/>
      <c r="OKA39" s="21"/>
      <c r="OKB39" s="21"/>
      <c r="OKC39" s="21"/>
      <c r="OKD39" s="21"/>
      <c r="OKE39" s="21"/>
      <c r="OKF39" s="21"/>
      <c r="OKG39" s="21"/>
      <c r="OKH39" s="21"/>
      <c r="OKI39" s="21"/>
      <c r="OKJ39" s="21"/>
      <c r="OKK39" s="21"/>
      <c r="OKL39" s="21"/>
      <c r="OKM39" s="21"/>
      <c r="OKN39" s="21"/>
      <c r="OKO39" s="21"/>
      <c r="OKP39" s="21"/>
      <c r="OKQ39" s="21"/>
      <c r="OKR39" s="21"/>
      <c r="OKS39" s="21"/>
      <c r="OKT39" s="21"/>
      <c r="OKU39" s="21"/>
      <c r="OKV39" s="21"/>
      <c r="OKW39" s="21"/>
      <c r="OKX39" s="21"/>
      <c r="OKY39" s="21"/>
      <c r="OKZ39" s="21"/>
      <c r="OLA39" s="21"/>
      <c r="OLB39" s="21"/>
      <c r="OLC39" s="21"/>
      <c r="OLD39" s="21"/>
      <c r="OLE39" s="21"/>
      <c r="OLF39" s="21"/>
      <c r="OLG39" s="21"/>
      <c r="OLH39" s="21"/>
      <c r="OLI39" s="21"/>
      <c r="OLJ39" s="21"/>
      <c r="OLK39" s="21"/>
      <c r="OLL39" s="21"/>
      <c r="OLM39" s="21"/>
      <c r="OLN39" s="21"/>
      <c r="OLO39" s="21"/>
      <c r="OLP39" s="21"/>
      <c r="OLQ39" s="21"/>
      <c r="OLR39" s="21"/>
      <c r="OLS39" s="21"/>
      <c r="OLT39" s="21"/>
      <c r="OLU39" s="21"/>
      <c r="OLV39" s="21"/>
      <c r="OLW39" s="21"/>
      <c r="OLX39" s="21"/>
      <c r="OLY39" s="21"/>
      <c r="OLZ39" s="21"/>
      <c r="OMA39" s="21"/>
      <c r="OMB39" s="21"/>
      <c r="OMC39" s="21"/>
      <c r="OMD39" s="21"/>
      <c r="OME39" s="21"/>
      <c r="OMF39" s="21"/>
      <c r="OMG39" s="21"/>
      <c r="OMH39" s="21"/>
      <c r="OMI39" s="21"/>
      <c r="OMJ39" s="21"/>
      <c r="OMK39" s="21"/>
      <c r="OML39" s="21"/>
      <c r="OMM39" s="21"/>
      <c r="OMN39" s="21"/>
      <c r="OMO39" s="21"/>
      <c r="OMP39" s="21"/>
      <c r="OMQ39" s="21"/>
      <c r="OMR39" s="21"/>
      <c r="OMS39" s="21"/>
      <c r="OMT39" s="21"/>
      <c r="OMU39" s="21"/>
      <c r="OMV39" s="21"/>
      <c r="OMW39" s="21"/>
      <c r="OMX39" s="21"/>
      <c r="OMY39" s="21"/>
      <c r="OMZ39" s="21"/>
      <c r="ONA39" s="21"/>
      <c r="ONB39" s="21"/>
      <c r="ONC39" s="21"/>
      <c r="OND39" s="21"/>
      <c r="ONE39" s="21"/>
      <c r="ONF39" s="21"/>
      <c r="ONG39" s="21"/>
      <c r="ONH39" s="21"/>
      <c r="ONI39" s="21"/>
      <c r="ONJ39" s="21"/>
      <c r="ONK39" s="21"/>
      <c r="ONL39" s="21"/>
      <c r="ONM39" s="21"/>
      <c r="ONN39" s="21"/>
      <c r="ONO39" s="21"/>
      <c r="ONP39" s="21"/>
      <c r="ONQ39" s="21"/>
      <c r="ONR39" s="21"/>
      <c r="ONS39" s="21"/>
      <c r="ONT39" s="21"/>
      <c r="ONU39" s="21"/>
      <c r="ONV39" s="21"/>
      <c r="ONW39" s="21"/>
      <c r="ONX39" s="21"/>
      <c r="ONY39" s="21"/>
      <c r="ONZ39" s="21"/>
      <c r="OOA39" s="21"/>
      <c r="OOB39" s="21"/>
      <c r="OOC39" s="21"/>
      <c r="OOD39" s="21"/>
      <c r="OOE39" s="21"/>
      <c r="OOF39" s="21"/>
      <c r="OOG39" s="21"/>
      <c r="OOH39" s="21"/>
      <c r="OOI39" s="21"/>
      <c r="OOJ39" s="21"/>
      <c r="OOK39" s="21"/>
      <c r="OOL39" s="21"/>
      <c r="OOM39" s="21"/>
      <c r="OON39" s="21"/>
      <c r="OOO39" s="21"/>
      <c r="OOP39" s="21"/>
      <c r="OOQ39" s="21"/>
      <c r="OOR39" s="21"/>
      <c r="OOS39" s="21"/>
      <c r="OOT39" s="21"/>
      <c r="OOU39" s="21"/>
      <c r="OOV39" s="21"/>
      <c r="OOW39" s="21"/>
      <c r="OOX39" s="21"/>
      <c r="OOY39" s="21"/>
      <c r="OOZ39" s="21"/>
      <c r="OPA39" s="21"/>
      <c r="OPB39" s="21"/>
      <c r="OPC39" s="21"/>
      <c r="OPD39" s="21"/>
      <c r="OPE39" s="21"/>
      <c r="OPF39" s="21"/>
      <c r="OPG39" s="21"/>
      <c r="OPH39" s="21"/>
      <c r="OPI39" s="21"/>
      <c r="OPJ39" s="21"/>
      <c r="OPK39" s="21"/>
      <c r="OPL39" s="21"/>
      <c r="OPM39" s="21"/>
      <c r="OPN39" s="21"/>
      <c r="OPO39" s="21"/>
      <c r="OPP39" s="21"/>
      <c r="OPQ39" s="21"/>
      <c r="OPR39" s="21"/>
      <c r="OPS39" s="21"/>
      <c r="OPT39" s="21"/>
      <c r="OPU39" s="21"/>
      <c r="OPV39" s="21"/>
      <c r="OPW39" s="21"/>
      <c r="OPX39" s="21"/>
      <c r="OPY39" s="21"/>
      <c r="OPZ39" s="21"/>
      <c r="OQA39" s="21"/>
      <c r="OQB39" s="21"/>
      <c r="OQC39" s="21"/>
      <c r="OQD39" s="21"/>
      <c r="OQE39" s="21"/>
      <c r="OQF39" s="21"/>
      <c r="OQG39" s="21"/>
      <c r="OQH39" s="21"/>
      <c r="OQI39" s="21"/>
      <c r="OQJ39" s="21"/>
      <c r="OQK39" s="21"/>
      <c r="OQL39" s="21"/>
      <c r="OQM39" s="21"/>
      <c r="OQN39" s="21"/>
      <c r="OQO39" s="21"/>
      <c r="OQP39" s="21"/>
      <c r="OQQ39" s="21"/>
      <c r="OQR39" s="21"/>
      <c r="OQS39" s="21"/>
      <c r="OQT39" s="21"/>
      <c r="OQU39" s="21"/>
      <c r="OQV39" s="21"/>
      <c r="OQW39" s="21"/>
      <c r="OQX39" s="21"/>
      <c r="OQY39" s="21"/>
      <c r="OQZ39" s="21"/>
      <c r="ORA39" s="21"/>
      <c r="ORB39" s="21"/>
      <c r="ORC39" s="21"/>
      <c r="ORD39" s="21"/>
      <c r="ORE39" s="21"/>
      <c r="ORF39" s="21"/>
      <c r="ORG39" s="21"/>
      <c r="ORH39" s="21"/>
      <c r="ORI39" s="21"/>
      <c r="ORJ39" s="21"/>
      <c r="ORK39" s="21"/>
      <c r="ORL39" s="21"/>
      <c r="ORM39" s="21"/>
      <c r="ORN39" s="21"/>
      <c r="ORO39" s="21"/>
      <c r="ORP39" s="21"/>
      <c r="ORQ39" s="21"/>
      <c r="ORR39" s="21"/>
      <c r="ORS39" s="21"/>
      <c r="ORT39" s="21"/>
      <c r="ORU39" s="21"/>
      <c r="ORV39" s="21"/>
      <c r="ORW39" s="21"/>
      <c r="ORX39" s="21"/>
      <c r="ORY39" s="21"/>
      <c r="ORZ39" s="21"/>
      <c r="OSA39" s="21"/>
      <c r="OSB39" s="21"/>
      <c r="OSC39" s="21"/>
      <c r="OSD39" s="21"/>
      <c r="OSE39" s="21"/>
      <c r="OSF39" s="21"/>
      <c r="OSG39" s="21"/>
      <c r="OSH39" s="21"/>
      <c r="OSI39" s="21"/>
      <c r="OSJ39" s="21"/>
      <c r="OSK39" s="21"/>
      <c r="OSL39" s="21"/>
      <c r="OSM39" s="21"/>
      <c r="OSN39" s="21"/>
      <c r="OSO39" s="21"/>
      <c r="OSP39" s="21"/>
      <c r="OSQ39" s="21"/>
      <c r="OSR39" s="21"/>
      <c r="OSS39" s="21"/>
      <c r="OST39" s="21"/>
      <c r="OSU39" s="21"/>
      <c r="OSV39" s="21"/>
      <c r="OSW39" s="21"/>
      <c r="OSX39" s="21"/>
      <c r="OSY39" s="21"/>
      <c r="OSZ39" s="21"/>
      <c r="OTA39" s="21"/>
      <c r="OTB39" s="21"/>
      <c r="OTC39" s="21"/>
      <c r="OTD39" s="21"/>
      <c r="OTE39" s="21"/>
      <c r="OTF39" s="21"/>
      <c r="OTG39" s="21"/>
      <c r="OTH39" s="21"/>
      <c r="OTI39" s="21"/>
      <c r="OTJ39" s="21"/>
      <c r="OTK39" s="21"/>
      <c r="OTL39" s="21"/>
      <c r="OTM39" s="21"/>
      <c r="OTN39" s="21"/>
      <c r="OTO39" s="21"/>
      <c r="OTP39" s="21"/>
      <c r="OTQ39" s="21"/>
      <c r="OTR39" s="21"/>
      <c r="OTS39" s="21"/>
      <c r="OTT39" s="21"/>
      <c r="OTU39" s="21"/>
      <c r="OTV39" s="21"/>
      <c r="OTW39" s="21"/>
      <c r="OTX39" s="21"/>
      <c r="OTY39" s="21"/>
      <c r="OTZ39" s="21"/>
      <c r="OUA39" s="21"/>
      <c r="OUB39" s="21"/>
      <c r="OUC39" s="21"/>
      <c r="OUD39" s="21"/>
      <c r="OUE39" s="21"/>
      <c r="OUF39" s="21"/>
      <c r="OUG39" s="21"/>
      <c r="OUH39" s="21"/>
      <c r="OUI39" s="21"/>
      <c r="OUJ39" s="21"/>
      <c r="OUK39" s="21"/>
      <c r="OUL39" s="21"/>
      <c r="OUM39" s="21"/>
      <c r="OUN39" s="21"/>
      <c r="OUO39" s="21"/>
      <c r="OUP39" s="21"/>
      <c r="OUQ39" s="21"/>
      <c r="OUR39" s="21"/>
      <c r="OUS39" s="21"/>
      <c r="OUT39" s="21"/>
      <c r="OUU39" s="21"/>
      <c r="OUV39" s="21"/>
      <c r="OUW39" s="21"/>
      <c r="OUX39" s="21"/>
      <c r="OUY39" s="21"/>
      <c r="OUZ39" s="21"/>
      <c r="OVA39" s="21"/>
      <c r="OVB39" s="21"/>
      <c r="OVC39" s="21"/>
      <c r="OVD39" s="21"/>
      <c r="OVE39" s="21"/>
      <c r="OVF39" s="21"/>
      <c r="OVG39" s="21"/>
      <c r="OVH39" s="21"/>
      <c r="OVI39" s="21"/>
      <c r="OVJ39" s="21"/>
      <c r="OVK39" s="21"/>
      <c r="OVL39" s="21"/>
      <c r="OVM39" s="21"/>
      <c r="OVN39" s="21"/>
      <c r="OVO39" s="21"/>
      <c r="OVP39" s="21"/>
      <c r="OVQ39" s="21"/>
      <c r="OVR39" s="21"/>
      <c r="OVS39" s="21"/>
      <c r="OVT39" s="21"/>
      <c r="OVU39" s="21"/>
      <c r="OVV39" s="21"/>
      <c r="OVW39" s="21"/>
      <c r="OVX39" s="21"/>
      <c r="OVY39" s="21"/>
      <c r="OVZ39" s="21"/>
      <c r="OWA39" s="21"/>
      <c r="OWB39" s="21"/>
      <c r="OWC39" s="21"/>
      <c r="OWD39" s="21"/>
      <c r="OWE39" s="21"/>
      <c r="OWF39" s="21"/>
      <c r="OWG39" s="21"/>
      <c r="OWH39" s="21"/>
      <c r="OWI39" s="21"/>
      <c r="OWJ39" s="21"/>
      <c r="OWK39" s="21"/>
      <c r="OWL39" s="21"/>
      <c r="OWM39" s="21"/>
      <c r="OWN39" s="21"/>
      <c r="OWO39" s="21"/>
      <c r="OWP39" s="21"/>
      <c r="OWQ39" s="21"/>
      <c r="OWR39" s="21"/>
      <c r="OWS39" s="21"/>
      <c r="OWT39" s="21"/>
      <c r="OWU39" s="21"/>
      <c r="OWV39" s="21"/>
      <c r="OWW39" s="21"/>
      <c r="OWX39" s="21"/>
      <c r="OWY39" s="21"/>
      <c r="OWZ39" s="21"/>
      <c r="OXA39" s="21"/>
      <c r="OXB39" s="21"/>
      <c r="OXC39" s="21"/>
      <c r="OXD39" s="21"/>
      <c r="OXE39" s="21"/>
      <c r="OXF39" s="21"/>
      <c r="OXG39" s="21"/>
      <c r="OXH39" s="21"/>
      <c r="OXI39" s="21"/>
      <c r="OXJ39" s="21"/>
      <c r="OXK39" s="21"/>
      <c r="OXL39" s="21"/>
      <c r="OXM39" s="21"/>
      <c r="OXN39" s="21"/>
      <c r="OXO39" s="21"/>
      <c r="OXP39" s="21"/>
      <c r="OXQ39" s="21"/>
      <c r="OXR39" s="21"/>
      <c r="OXS39" s="21"/>
      <c r="OXT39" s="21"/>
      <c r="OXU39" s="21"/>
      <c r="OXV39" s="21"/>
      <c r="OXW39" s="21"/>
      <c r="OXX39" s="21"/>
      <c r="OXY39" s="21"/>
      <c r="OXZ39" s="21"/>
      <c r="OYA39" s="21"/>
      <c r="OYB39" s="21"/>
      <c r="OYC39" s="21"/>
      <c r="OYD39" s="21"/>
      <c r="OYE39" s="21"/>
      <c r="OYF39" s="21"/>
      <c r="OYG39" s="21"/>
      <c r="OYH39" s="21"/>
      <c r="OYI39" s="21"/>
      <c r="OYJ39" s="21"/>
      <c r="OYK39" s="21"/>
      <c r="OYL39" s="21"/>
      <c r="OYM39" s="21"/>
      <c r="OYN39" s="21"/>
      <c r="OYO39" s="21"/>
      <c r="OYP39" s="21"/>
      <c r="OYQ39" s="21"/>
      <c r="OYR39" s="21"/>
      <c r="OYS39" s="21"/>
      <c r="OYT39" s="21"/>
      <c r="OYU39" s="21"/>
      <c r="OYV39" s="21"/>
      <c r="OYW39" s="21"/>
      <c r="OYX39" s="21"/>
      <c r="OYY39" s="21"/>
      <c r="OYZ39" s="21"/>
      <c r="OZA39" s="21"/>
      <c r="OZB39" s="21"/>
      <c r="OZC39" s="21"/>
      <c r="OZD39" s="21"/>
      <c r="OZE39" s="21"/>
      <c r="OZF39" s="21"/>
      <c r="OZG39" s="21"/>
      <c r="OZH39" s="21"/>
      <c r="OZI39" s="21"/>
      <c r="OZJ39" s="21"/>
      <c r="OZK39" s="21"/>
      <c r="OZL39" s="21"/>
      <c r="OZM39" s="21"/>
      <c r="OZN39" s="21"/>
      <c r="OZO39" s="21"/>
      <c r="OZP39" s="21"/>
      <c r="OZQ39" s="21"/>
      <c r="OZR39" s="21"/>
      <c r="OZS39" s="21"/>
      <c r="OZT39" s="21"/>
      <c r="OZU39" s="21"/>
      <c r="OZV39" s="21"/>
      <c r="OZW39" s="21"/>
      <c r="OZX39" s="21"/>
      <c r="OZY39" s="21"/>
      <c r="OZZ39" s="21"/>
      <c r="PAA39" s="21"/>
      <c r="PAB39" s="21"/>
      <c r="PAC39" s="21"/>
      <c r="PAD39" s="21"/>
      <c r="PAE39" s="21"/>
      <c r="PAF39" s="21"/>
      <c r="PAG39" s="21"/>
      <c r="PAH39" s="21"/>
      <c r="PAI39" s="21"/>
      <c r="PAJ39" s="21"/>
      <c r="PAK39" s="21"/>
      <c r="PAL39" s="21"/>
      <c r="PAM39" s="21"/>
      <c r="PAN39" s="21"/>
      <c r="PAO39" s="21"/>
      <c r="PAP39" s="21"/>
      <c r="PAQ39" s="21"/>
      <c r="PAR39" s="21"/>
      <c r="PAS39" s="21"/>
      <c r="PAT39" s="21"/>
      <c r="PAU39" s="21"/>
      <c r="PAV39" s="21"/>
      <c r="PAW39" s="21"/>
      <c r="PAX39" s="21"/>
      <c r="PAY39" s="21"/>
      <c r="PAZ39" s="21"/>
      <c r="PBA39" s="21"/>
      <c r="PBB39" s="21"/>
      <c r="PBC39" s="21"/>
      <c r="PBD39" s="21"/>
      <c r="PBE39" s="21"/>
      <c r="PBF39" s="21"/>
      <c r="PBG39" s="21"/>
      <c r="PBH39" s="21"/>
      <c r="PBI39" s="21"/>
      <c r="PBJ39" s="21"/>
      <c r="PBK39" s="21"/>
      <c r="PBL39" s="21"/>
      <c r="PBM39" s="21"/>
      <c r="PBN39" s="21"/>
      <c r="PBO39" s="21"/>
      <c r="PBP39" s="21"/>
      <c r="PBQ39" s="21"/>
      <c r="PBR39" s="21"/>
      <c r="PBS39" s="21"/>
      <c r="PBT39" s="21"/>
      <c r="PBU39" s="21"/>
      <c r="PBV39" s="21"/>
      <c r="PBW39" s="21"/>
      <c r="PBX39" s="21"/>
      <c r="PBY39" s="21"/>
      <c r="PBZ39" s="21"/>
      <c r="PCA39" s="21"/>
      <c r="PCB39" s="21"/>
      <c r="PCC39" s="21"/>
      <c r="PCD39" s="21"/>
      <c r="PCE39" s="21"/>
      <c r="PCF39" s="21"/>
      <c r="PCG39" s="21"/>
      <c r="PCH39" s="21"/>
      <c r="PCI39" s="21"/>
      <c r="PCJ39" s="21"/>
      <c r="PCK39" s="21"/>
      <c r="PCL39" s="21"/>
      <c r="PCM39" s="21"/>
      <c r="PCN39" s="21"/>
      <c r="PCO39" s="21"/>
      <c r="PCP39" s="21"/>
      <c r="PCQ39" s="21"/>
      <c r="PCR39" s="21"/>
      <c r="PCS39" s="21"/>
      <c r="PCT39" s="21"/>
      <c r="PCU39" s="21"/>
      <c r="PCV39" s="21"/>
      <c r="PCW39" s="21"/>
      <c r="PCX39" s="21"/>
      <c r="PCY39" s="21"/>
      <c r="PCZ39" s="21"/>
      <c r="PDA39" s="21"/>
      <c r="PDB39" s="21"/>
      <c r="PDC39" s="21"/>
      <c r="PDD39" s="21"/>
      <c r="PDE39" s="21"/>
      <c r="PDF39" s="21"/>
      <c r="PDG39" s="21"/>
      <c r="PDH39" s="21"/>
      <c r="PDI39" s="21"/>
      <c r="PDJ39" s="21"/>
      <c r="PDK39" s="21"/>
      <c r="PDL39" s="21"/>
      <c r="PDM39" s="21"/>
      <c r="PDN39" s="21"/>
      <c r="PDO39" s="21"/>
      <c r="PDP39" s="21"/>
      <c r="PDQ39" s="21"/>
      <c r="PDR39" s="21"/>
      <c r="PDS39" s="21"/>
      <c r="PDT39" s="21"/>
      <c r="PDU39" s="21"/>
      <c r="PDV39" s="21"/>
      <c r="PDW39" s="21"/>
      <c r="PDX39" s="21"/>
      <c r="PDY39" s="21"/>
      <c r="PDZ39" s="21"/>
      <c r="PEA39" s="21"/>
      <c r="PEB39" s="21"/>
      <c r="PEC39" s="21"/>
      <c r="PED39" s="21"/>
      <c r="PEE39" s="21"/>
      <c r="PEF39" s="21"/>
      <c r="PEG39" s="21"/>
      <c r="PEH39" s="21"/>
      <c r="PEI39" s="21"/>
      <c r="PEJ39" s="21"/>
      <c r="PEK39" s="21"/>
      <c r="PEL39" s="21"/>
      <c r="PEM39" s="21"/>
      <c r="PEN39" s="21"/>
      <c r="PEO39" s="21"/>
      <c r="PEP39" s="21"/>
      <c r="PEQ39" s="21"/>
      <c r="PER39" s="21"/>
      <c r="PES39" s="21"/>
      <c r="PET39" s="21"/>
      <c r="PEU39" s="21"/>
      <c r="PEV39" s="21"/>
      <c r="PEW39" s="21"/>
      <c r="PEX39" s="21"/>
      <c r="PEY39" s="21"/>
      <c r="PEZ39" s="21"/>
      <c r="PFA39" s="21"/>
      <c r="PFB39" s="21"/>
      <c r="PFC39" s="21"/>
      <c r="PFD39" s="21"/>
      <c r="PFE39" s="21"/>
      <c r="PFF39" s="21"/>
      <c r="PFG39" s="21"/>
      <c r="PFH39" s="21"/>
      <c r="PFI39" s="21"/>
      <c r="PFJ39" s="21"/>
      <c r="PFK39" s="21"/>
      <c r="PFL39" s="21"/>
      <c r="PFM39" s="21"/>
      <c r="PFN39" s="21"/>
      <c r="PFO39" s="21"/>
      <c r="PFP39" s="21"/>
      <c r="PFQ39" s="21"/>
      <c r="PFR39" s="21"/>
      <c r="PFS39" s="21"/>
      <c r="PFT39" s="21"/>
      <c r="PFU39" s="21"/>
      <c r="PFV39" s="21"/>
      <c r="PFW39" s="21"/>
      <c r="PFX39" s="21"/>
      <c r="PFY39" s="21"/>
      <c r="PFZ39" s="21"/>
      <c r="PGA39" s="21"/>
      <c r="PGB39" s="21"/>
      <c r="PGC39" s="21"/>
      <c r="PGD39" s="21"/>
      <c r="PGE39" s="21"/>
      <c r="PGF39" s="21"/>
      <c r="PGG39" s="21"/>
      <c r="PGH39" s="21"/>
      <c r="PGI39" s="21"/>
      <c r="PGJ39" s="21"/>
      <c r="PGK39" s="21"/>
      <c r="PGL39" s="21"/>
      <c r="PGM39" s="21"/>
      <c r="PGN39" s="21"/>
      <c r="PGO39" s="21"/>
      <c r="PGP39" s="21"/>
      <c r="PGQ39" s="21"/>
      <c r="PGR39" s="21"/>
      <c r="PGS39" s="21"/>
      <c r="PGT39" s="21"/>
      <c r="PGU39" s="21"/>
      <c r="PGV39" s="21"/>
      <c r="PGW39" s="21"/>
      <c r="PGX39" s="21"/>
      <c r="PGY39" s="21"/>
      <c r="PGZ39" s="21"/>
      <c r="PHA39" s="21"/>
      <c r="PHB39" s="21"/>
      <c r="PHC39" s="21"/>
      <c r="PHD39" s="21"/>
      <c r="PHE39" s="21"/>
      <c r="PHF39" s="21"/>
      <c r="PHG39" s="21"/>
      <c r="PHH39" s="21"/>
      <c r="PHI39" s="21"/>
      <c r="PHJ39" s="21"/>
      <c r="PHK39" s="21"/>
      <c r="PHL39" s="21"/>
      <c r="PHM39" s="21"/>
      <c r="PHN39" s="21"/>
      <c r="PHO39" s="21"/>
      <c r="PHP39" s="21"/>
      <c r="PHQ39" s="21"/>
      <c r="PHR39" s="21"/>
      <c r="PHS39" s="21"/>
      <c r="PHT39" s="21"/>
      <c r="PHU39" s="21"/>
      <c r="PHV39" s="21"/>
      <c r="PHW39" s="21"/>
      <c r="PHX39" s="21"/>
      <c r="PHY39" s="21"/>
      <c r="PHZ39" s="21"/>
      <c r="PIA39" s="21"/>
      <c r="PIB39" s="21"/>
      <c r="PIC39" s="21"/>
      <c r="PID39" s="21"/>
      <c r="PIE39" s="21"/>
      <c r="PIF39" s="21"/>
      <c r="PIG39" s="21"/>
      <c r="PIH39" s="21"/>
      <c r="PII39" s="21"/>
      <c r="PIJ39" s="21"/>
      <c r="PIK39" s="21"/>
      <c r="PIL39" s="21"/>
      <c r="PIM39" s="21"/>
      <c r="PIN39" s="21"/>
      <c r="PIO39" s="21"/>
      <c r="PIP39" s="21"/>
      <c r="PIQ39" s="21"/>
      <c r="PIR39" s="21"/>
      <c r="PIS39" s="21"/>
      <c r="PIT39" s="21"/>
      <c r="PIU39" s="21"/>
      <c r="PIV39" s="21"/>
      <c r="PIW39" s="21"/>
      <c r="PIX39" s="21"/>
      <c r="PIY39" s="21"/>
      <c r="PIZ39" s="21"/>
      <c r="PJA39" s="21"/>
      <c r="PJB39" s="21"/>
      <c r="PJC39" s="21"/>
      <c r="PJD39" s="21"/>
      <c r="PJE39" s="21"/>
      <c r="PJF39" s="21"/>
      <c r="PJG39" s="21"/>
      <c r="PJH39" s="21"/>
      <c r="PJI39" s="21"/>
      <c r="PJJ39" s="21"/>
      <c r="PJK39" s="21"/>
      <c r="PJL39" s="21"/>
      <c r="PJM39" s="21"/>
      <c r="PJN39" s="21"/>
      <c r="PJO39" s="21"/>
      <c r="PJP39" s="21"/>
      <c r="PJQ39" s="21"/>
      <c r="PJR39" s="21"/>
      <c r="PJS39" s="21"/>
      <c r="PJT39" s="21"/>
      <c r="PJU39" s="21"/>
      <c r="PJV39" s="21"/>
      <c r="PJW39" s="21"/>
      <c r="PJX39" s="21"/>
      <c r="PJY39" s="21"/>
      <c r="PJZ39" s="21"/>
      <c r="PKA39" s="21"/>
      <c r="PKB39" s="21"/>
      <c r="PKC39" s="21"/>
      <c r="PKD39" s="21"/>
      <c r="PKE39" s="21"/>
      <c r="PKF39" s="21"/>
      <c r="PKG39" s="21"/>
      <c r="PKH39" s="21"/>
      <c r="PKI39" s="21"/>
      <c r="PKJ39" s="21"/>
      <c r="PKK39" s="21"/>
      <c r="PKL39" s="21"/>
      <c r="PKM39" s="21"/>
      <c r="PKN39" s="21"/>
      <c r="PKO39" s="21"/>
      <c r="PKP39" s="21"/>
      <c r="PKQ39" s="21"/>
      <c r="PKR39" s="21"/>
      <c r="PKS39" s="21"/>
      <c r="PKT39" s="21"/>
      <c r="PKU39" s="21"/>
      <c r="PKV39" s="21"/>
      <c r="PKW39" s="21"/>
      <c r="PKX39" s="21"/>
      <c r="PKY39" s="21"/>
      <c r="PKZ39" s="21"/>
      <c r="PLA39" s="21"/>
      <c r="PLB39" s="21"/>
      <c r="PLC39" s="21"/>
      <c r="PLD39" s="21"/>
      <c r="PLE39" s="21"/>
      <c r="PLF39" s="21"/>
      <c r="PLG39" s="21"/>
      <c r="PLH39" s="21"/>
      <c r="PLI39" s="21"/>
      <c r="PLJ39" s="21"/>
      <c r="PLK39" s="21"/>
      <c r="PLL39" s="21"/>
      <c r="PLM39" s="21"/>
      <c r="PLN39" s="21"/>
      <c r="PLO39" s="21"/>
      <c r="PLP39" s="21"/>
      <c r="PLQ39" s="21"/>
      <c r="PLR39" s="21"/>
      <c r="PLS39" s="21"/>
      <c r="PLT39" s="21"/>
      <c r="PLU39" s="21"/>
      <c r="PLV39" s="21"/>
      <c r="PLW39" s="21"/>
      <c r="PLX39" s="21"/>
      <c r="PLY39" s="21"/>
      <c r="PLZ39" s="21"/>
      <c r="PMA39" s="21"/>
      <c r="PMB39" s="21"/>
      <c r="PMC39" s="21"/>
      <c r="PMD39" s="21"/>
      <c r="PME39" s="21"/>
      <c r="PMF39" s="21"/>
      <c r="PMG39" s="21"/>
      <c r="PMH39" s="21"/>
      <c r="PMI39" s="21"/>
      <c r="PMJ39" s="21"/>
      <c r="PMK39" s="21"/>
      <c r="PML39" s="21"/>
      <c r="PMM39" s="21"/>
      <c r="PMN39" s="21"/>
      <c r="PMO39" s="21"/>
      <c r="PMP39" s="21"/>
      <c r="PMQ39" s="21"/>
      <c r="PMR39" s="21"/>
      <c r="PMS39" s="21"/>
      <c r="PMT39" s="21"/>
      <c r="PMU39" s="21"/>
      <c r="PMV39" s="21"/>
      <c r="PMW39" s="21"/>
      <c r="PMX39" s="21"/>
      <c r="PMY39" s="21"/>
      <c r="PMZ39" s="21"/>
      <c r="PNA39" s="21"/>
      <c r="PNB39" s="21"/>
      <c r="PNC39" s="21"/>
      <c r="PND39" s="21"/>
      <c r="PNE39" s="21"/>
      <c r="PNF39" s="21"/>
      <c r="PNG39" s="21"/>
      <c r="PNH39" s="21"/>
      <c r="PNI39" s="21"/>
      <c r="PNJ39" s="21"/>
      <c r="PNK39" s="21"/>
      <c r="PNL39" s="21"/>
      <c r="PNM39" s="21"/>
      <c r="PNN39" s="21"/>
      <c r="PNO39" s="21"/>
      <c r="PNP39" s="21"/>
      <c r="PNQ39" s="21"/>
      <c r="PNR39" s="21"/>
      <c r="PNS39" s="21"/>
      <c r="PNT39" s="21"/>
      <c r="PNU39" s="21"/>
      <c r="PNV39" s="21"/>
      <c r="PNW39" s="21"/>
      <c r="PNX39" s="21"/>
      <c r="PNY39" s="21"/>
      <c r="PNZ39" s="21"/>
      <c r="POA39" s="21"/>
      <c r="POB39" s="21"/>
      <c r="POC39" s="21"/>
      <c r="POD39" s="21"/>
      <c r="POE39" s="21"/>
      <c r="POF39" s="21"/>
      <c r="POG39" s="21"/>
      <c r="POH39" s="21"/>
      <c r="POI39" s="21"/>
      <c r="POJ39" s="21"/>
      <c r="POK39" s="21"/>
      <c r="POL39" s="21"/>
      <c r="POM39" s="21"/>
      <c r="PON39" s="21"/>
      <c r="POO39" s="21"/>
      <c r="POP39" s="21"/>
      <c r="POQ39" s="21"/>
      <c r="POR39" s="21"/>
      <c r="POS39" s="21"/>
      <c r="POT39" s="21"/>
      <c r="POU39" s="21"/>
      <c r="POV39" s="21"/>
      <c r="POW39" s="21"/>
      <c r="POX39" s="21"/>
      <c r="POY39" s="21"/>
      <c r="POZ39" s="21"/>
      <c r="PPA39" s="21"/>
      <c r="PPB39" s="21"/>
      <c r="PPC39" s="21"/>
      <c r="PPD39" s="21"/>
      <c r="PPE39" s="21"/>
      <c r="PPF39" s="21"/>
      <c r="PPG39" s="21"/>
      <c r="PPH39" s="21"/>
      <c r="PPI39" s="21"/>
      <c r="PPJ39" s="21"/>
      <c r="PPK39" s="21"/>
      <c r="PPL39" s="21"/>
      <c r="PPM39" s="21"/>
      <c r="PPN39" s="21"/>
      <c r="PPO39" s="21"/>
      <c r="PPP39" s="21"/>
      <c r="PPQ39" s="21"/>
      <c r="PPR39" s="21"/>
      <c r="PPS39" s="21"/>
      <c r="PPT39" s="21"/>
      <c r="PPU39" s="21"/>
      <c r="PPV39" s="21"/>
      <c r="PPW39" s="21"/>
      <c r="PPX39" s="21"/>
      <c r="PPY39" s="21"/>
      <c r="PPZ39" s="21"/>
      <c r="PQA39" s="21"/>
      <c r="PQB39" s="21"/>
      <c r="PQC39" s="21"/>
      <c r="PQD39" s="21"/>
      <c r="PQE39" s="21"/>
      <c r="PQF39" s="21"/>
      <c r="PQG39" s="21"/>
      <c r="PQH39" s="21"/>
      <c r="PQI39" s="21"/>
      <c r="PQJ39" s="21"/>
      <c r="PQK39" s="21"/>
      <c r="PQL39" s="21"/>
      <c r="PQM39" s="21"/>
      <c r="PQN39" s="21"/>
      <c r="PQO39" s="21"/>
      <c r="PQP39" s="21"/>
      <c r="PQQ39" s="21"/>
      <c r="PQR39" s="21"/>
      <c r="PQS39" s="21"/>
      <c r="PQT39" s="21"/>
      <c r="PQU39" s="21"/>
      <c r="PQV39" s="21"/>
      <c r="PQW39" s="21"/>
      <c r="PQX39" s="21"/>
      <c r="PQY39" s="21"/>
      <c r="PQZ39" s="21"/>
      <c r="PRA39" s="21"/>
      <c r="PRB39" s="21"/>
      <c r="PRC39" s="21"/>
      <c r="PRD39" s="21"/>
      <c r="PRE39" s="21"/>
      <c r="PRF39" s="21"/>
      <c r="PRG39" s="21"/>
      <c r="PRH39" s="21"/>
      <c r="PRI39" s="21"/>
      <c r="PRJ39" s="21"/>
      <c r="PRK39" s="21"/>
      <c r="PRL39" s="21"/>
      <c r="PRM39" s="21"/>
      <c r="PRN39" s="21"/>
      <c r="PRO39" s="21"/>
      <c r="PRP39" s="21"/>
      <c r="PRQ39" s="21"/>
      <c r="PRR39" s="21"/>
      <c r="PRS39" s="21"/>
      <c r="PRT39" s="21"/>
      <c r="PRU39" s="21"/>
      <c r="PRV39" s="21"/>
      <c r="PRW39" s="21"/>
      <c r="PRX39" s="21"/>
      <c r="PRY39" s="21"/>
      <c r="PRZ39" s="21"/>
      <c r="PSA39" s="21"/>
      <c r="PSB39" s="21"/>
      <c r="PSC39" s="21"/>
      <c r="PSD39" s="21"/>
      <c r="PSE39" s="21"/>
      <c r="PSF39" s="21"/>
      <c r="PSG39" s="21"/>
      <c r="PSH39" s="21"/>
      <c r="PSI39" s="21"/>
      <c r="PSJ39" s="21"/>
      <c r="PSK39" s="21"/>
      <c r="PSL39" s="21"/>
      <c r="PSM39" s="21"/>
      <c r="PSN39" s="21"/>
      <c r="PSO39" s="21"/>
      <c r="PSP39" s="21"/>
      <c r="PSQ39" s="21"/>
      <c r="PSR39" s="21"/>
      <c r="PSS39" s="21"/>
      <c r="PST39" s="21"/>
      <c r="PSU39" s="21"/>
      <c r="PSV39" s="21"/>
      <c r="PSW39" s="21"/>
      <c r="PSX39" s="21"/>
      <c r="PSY39" s="21"/>
      <c r="PSZ39" s="21"/>
      <c r="PTA39" s="21"/>
      <c r="PTB39" s="21"/>
      <c r="PTC39" s="21"/>
      <c r="PTD39" s="21"/>
      <c r="PTE39" s="21"/>
      <c r="PTF39" s="21"/>
      <c r="PTG39" s="21"/>
      <c r="PTH39" s="21"/>
      <c r="PTI39" s="21"/>
      <c r="PTJ39" s="21"/>
      <c r="PTK39" s="21"/>
      <c r="PTL39" s="21"/>
      <c r="PTM39" s="21"/>
      <c r="PTN39" s="21"/>
      <c r="PTO39" s="21"/>
      <c r="PTP39" s="21"/>
      <c r="PTQ39" s="21"/>
      <c r="PTR39" s="21"/>
      <c r="PTS39" s="21"/>
      <c r="PTT39" s="21"/>
      <c r="PTU39" s="21"/>
      <c r="PTV39" s="21"/>
      <c r="PTW39" s="21"/>
      <c r="PTX39" s="21"/>
      <c r="PTY39" s="21"/>
      <c r="PTZ39" s="21"/>
      <c r="PUA39" s="21"/>
      <c r="PUB39" s="21"/>
      <c r="PUC39" s="21"/>
      <c r="PUD39" s="21"/>
      <c r="PUE39" s="21"/>
      <c r="PUF39" s="21"/>
      <c r="PUG39" s="21"/>
      <c r="PUH39" s="21"/>
      <c r="PUI39" s="21"/>
      <c r="PUJ39" s="21"/>
      <c r="PUK39" s="21"/>
      <c r="PUL39" s="21"/>
      <c r="PUM39" s="21"/>
      <c r="PUN39" s="21"/>
      <c r="PUO39" s="21"/>
      <c r="PUP39" s="21"/>
      <c r="PUQ39" s="21"/>
      <c r="PUR39" s="21"/>
      <c r="PUS39" s="21"/>
      <c r="PUT39" s="21"/>
      <c r="PUU39" s="21"/>
      <c r="PUV39" s="21"/>
      <c r="PUW39" s="21"/>
      <c r="PUX39" s="21"/>
      <c r="PUY39" s="21"/>
      <c r="PUZ39" s="21"/>
      <c r="PVA39" s="21"/>
      <c r="PVB39" s="21"/>
      <c r="PVC39" s="21"/>
      <c r="PVD39" s="21"/>
      <c r="PVE39" s="21"/>
      <c r="PVF39" s="21"/>
      <c r="PVG39" s="21"/>
      <c r="PVH39" s="21"/>
      <c r="PVI39" s="21"/>
      <c r="PVJ39" s="21"/>
      <c r="PVK39" s="21"/>
      <c r="PVL39" s="21"/>
      <c r="PVM39" s="21"/>
      <c r="PVN39" s="21"/>
      <c r="PVO39" s="21"/>
      <c r="PVP39" s="21"/>
      <c r="PVQ39" s="21"/>
      <c r="PVR39" s="21"/>
      <c r="PVS39" s="21"/>
      <c r="PVT39" s="21"/>
      <c r="PVU39" s="21"/>
      <c r="PVV39" s="21"/>
      <c r="PVW39" s="21"/>
      <c r="PVX39" s="21"/>
      <c r="PVY39" s="21"/>
      <c r="PVZ39" s="21"/>
      <c r="PWA39" s="21"/>
      <c r="PWB39" s="21"/>
      <c r="PWC39" s="21"/>
      <c r="PWD39" s="21"/>
      <c r="PWE39" s="21"/>
      <c r="PWF39" s="21"/>
      <c r="PWG39" s="21"/>
      <c r="PWH39" s="21"/>
      <c r="PWI39" s="21"/>
      <c r="PWJ39" s="21"/>
      <c r="PWK39" s="21"/>
      <c r="PWL39" s="21"/>
      <c r="PWM39" s="21"/>
      <c r="PWN39" s="21"/>
      <c r="PWO39" s="21"/>
      <c r="PWP39" s="21"/>
      <c r="PWQ39" s="21"/>
      <c r="PWR39" s="21"/>
      <c r="PWS39" s="21"/>
      <c r="PWT39" s="21"/>
      <c r="PWU39" s="21"/>
      <c r="PWV39" s="21"/>
      <c r="PWW39" s="21"/>
      <c r="PWX39" s="21"/>
      <c r="PWY39" s="21"/>
      <c r="PWZ39" s="21"/>
      <c r="PXA39" s="21"/>
      <c r="PXB39" s="21"/>
      <c r="PXC39" s="21"/>
      <c r="PXD39" s="21"/>
      <c r="PXE39" s="21"/>
      <c r="PXF39" s="21"/>
      <c r="PXG39" s="21"/>
      <c r="PXH39" s="21"/>
      <c r="PXI39" s="21"/>
      <c r="PXJ39" s="21"/>
      <c r="PXK39" s="21"/>
      <c r="PXL39" s="21"/>
      <c r="PXM39" s="21"/>
      <c r="PXN39" s="21"/>
      <c r="PXO39" s="21"/>
      <c r="PXP39" s="21"/>
      <c r="PXQ39" s="21"/>
      <c r="PXR39" s="21"/>
      <c r="PXS39" s="21"/>
      <c r="PXT39" s="21"/>
      <c r="PXU39" s="21"/>
      <c r="PXV39" s="21"/>
      <c r="PXW39" s="21"/>
      <c r="PXX39" s="21"/>
      <c r="PXY39" s="21"/>
      <c r="PXZ39" s="21"/>
      <c r="PYA39" s="21"/>
      <c r="PYB39" s="21"/>
      <c r="PYC39" s="21"/>
      <c r="PYD39" s="21"/>
      <c r="PYE39" s="21"/>
      <c r="PYF39" s="21"/>
      <c r="PYG39" s="21"/>
      <c r="PYH39" s="21"/>
      <c r="PYI39" s="21"/>
      <c r="PYJ39" s="21"/>
      <c r="PYK39" s="21"/>
      <c r="PYL39" s="21"/>
      <c r="PYM39" s="21"/>
      <c r="PYN39" s="21"/>
      <c r="PYO39" s="21"/>
      <c r="PYP39" s="21"/>
      <c r="PYQ39" s="21"/>
      <c r="PYR39" s="21"/>
      <c r="PYS39" s="21"/>
      <c r="PYT39" s="21"/>
      <c r="PYU39" s="21"/>
      <c r="PYV39" s="21"/>
      <c r="PYW39" s="21"/>
      <c r="PYX39" s="21"/>
      <c r="PYY39" s="21"/>
      <c r="PYZ39" s="21"/>
      <c r="PZA39" s="21"/>
      <c r="PZB39" s="21"/>
      <c r="PZC39" s="21"/>
      <c r="PZD39" s="21"/>
      <c r="PZE39" s="21"/>
      <c r="PZF39" s="21"/>
      <c r="PZG39" s="21"/>
      <c r="PZH39" s="21"/>
      <c r="PZI39" s="21"/>
      <c r="PZJ39" s="21"/>
      <c r="PZK39" s="21"/>
      <c r="PZL39" s="21"/>
      <c r="PZM39" s="21"/>
      <c r="PZN39" s="21"/>
      <c r="PZO39" s="21"/>
      <c r="PZP39" s="21"/>
      <c r="PZQ39" s="21"/>
      <c r="PZR39" s="21"/>
      <c r="PZS39" s="21"/>
      <c r="PZT39" s="21"/>
      <c r="PZU39" s="21"/>
      <c r="PZV39" s="21"/>
      <c r="PZW39" s="21"/>
      <c r="PZX39" s="21"/>
      <c r="PZY39" s="21"/>
      <c r="PZZ39" s="21"/>
      <c r="QAA39" s="21"/>
      <c r="QAB39" s="21"/>
      <c r="QAC39" s="21"/>
      <c r="QAD39" s="21"/>
      <c r="QAE39" s="21"/>
      <c r="QAF39" s="21"/>
      <c r="QAG39" s="21"/>
      <c r="QAH39" s="21"/>
      <c r="QAI39" s="21"/>
      <c r="QAJ39" s="21"/>
      <c r="QAK39" s="21"/>
      <c r="QAL39" s="21"/>
      <c r="QAM39" s="21"/>
      <c r="QAN39" s="21"/>
      <c r="QAO39" s="21"/>
      <c r="QAP39" s="21"/>
      <c r="QAQ39" s="21"/>
      <c r="QAR39" s="21"/>
      <c r="QAS39" s="21"/>
      <c r="QAT39" s="21"/>
      <c r="QAU39" s="21"/>
      <c r="QAV39" s="21"/>
      <c r="QAW39" s="21"/>
      <c r="QAX39" s="21"/>
      <c r="QAY39" s="21"/>
      <c r="QAZ39" s="21"/>
      <c r="QBA39" s="21"/>
      <c r="QBB39" s="21"/>
      <c r="QBC39" s="21"/>
      <c r="QBD39" s="21"/>
      <c r="QBE39" s="21"/>
      <c r="QBF39" s="21"/>
      <c r="QBG39" s="21"/>
      <c r="QBH39" s="21"/>
      <c r="QBI39" s="21"/>
      <c r="QBJ39" s="21"/>
      <c r="QBK39" s="21"/>
      <c r="QBL39" s="21"/>
      <c r="QBM39" s="21"/>
      <c r="QBN39" s="21"/>
      <c r="QBO39" s="21"/>
      <c r="QBP39" s="21"/>
      <c r="QBQ39" s="21"/>
      <c r="QBR39" s="21"/>
      <c r="QBS39" s="21"/>
      <c r="QBT39" s="21"/>
      <c r="QBU39" s="21"/>
      <c r="QBV39" s="21"/>
      <c r="QBW39" s="21"/>
      <c r="QBX39" s="21"/>
      <c r="QBY39" s="21"/>
      <c r="QBZ39" s="21"/>
      <c r="QCA39" s="21"/>
      <c r="QCB39" s="21"/>
      <c r="QCC39" s="21"/>
      <c r="QCD39" s="21"/>
      <c r="QCE39" s="21"/>
      <c r="QCF39" s="21"/>
      <c r="QCG39" s="21"/>
      <c r="QCH39" s="21"/>
      <c r="QCI39" s="21"/>
      <c r="QCJ39" s="21"/>
      <c r="QCK39" s="21"/>
      <c r="QCL39" s="21"/>
      <c r="QCM39" s="21"/>
      <c r="QCN39" s="21"/>
      <c r="QCO39" s="21"/>
      <c r="QCP39" s="21"/>
      <c r="QCQ39" s="21"/>
      <c r="QCR39" s="21"/>
      <c r="QCS39" s="21"/>
      <c r="QCT39" s="21"/>
      <c r="QCU39" s="21"/>
      <c r="QCV39" s="21"/>
      <c r="QCW39" s="21"/>
      <c r="QCX39" s="21"/>
      <c r="QCY39" s="21"/>
      <c r="QCZ39" s="21"/>
      <c r="QDA39" s="21"/>
      <c r="QDB39" s="21"/>
      <c r="QDC39" s="21"/>
      <c r="QDD39" s="21"/>
      <c r="QDE39" s="21"/>
      <c r="QDF39" s="21"/>
      <c r="QDG39" s="21"/>
      <c r="QDH39" s="21"/>
      <c r="QDI39" s="21"/>
      <c r="QDJ39" s="21"/>
      <c r="QDK39" s="21"/>
      <c r="QDL39" s="21"/>
      <c r="QDM39" s="21"/>
      <c r="QDN39" s="21"/>
      <c r="QDO39" s="21"/>
      <c r="QDP39" s="21"/>
      <c r="QDQ39" s="21"/>
      <c r="QDR39" s="21"/>
      <c r="QDS39" s="21"/>
      <c r="QDT39" s="21"/>
      <c r="QDU39" s="21"/>
      <c r="QDV39" s="21"/>
      <c r="QDW39" s="21"/>
      <c r="QDX39" s="21"/>
      <c r="QDY39" s="21"/>
      <c r="QDZ39" s="21"/>
      <c r="QEA39" s="21"/>
      <c r="QEB39" s="21"/>
      <c r="QEC39" s="21"/>
      <c r="QED39" s="21"/>
      <c r="QEE39" s="21"/>
      <c r="QEF39" s="21"/>
      <c r="QEG39" s="21"/>
      <c r="QEH39" s="21"/>
      <c r="QEI39" s="21"/>
      <c r="QEJ39" s="21"/>
      <c r="QEK39" s="21"/>
      <c r="QEL39" s="21"/>
      <c r="QEM39" s="21"/>
      <c r="QEN39" s="21"/>
      <c r="QEO39" s="21"/>
      <c r="QEP39" s="21"/>
      <c r="QEQ39" s="21"/>
      <c r="QER39" s="21"/>
      <c r="QES39" s="21"/>
      <c r="QET39" s="21"/>
      <c r="QEU39" s="21"/>
      <c r="QEV39" s="21"/>
      <c r="QEW39" s="21"/>
      <c r="QEX39" s="21"/>
      <c r="QEY39" s="21"/>
      <c r="QEZ39" s="21"/>
      <c r="QFA39" s="21"/>
      <c r="QFB39" s="21"/>
      <c r="QFC39" s="21"/>
      <c r="QFD39" s="21"/>
      <c r="QFE39" s="21"/>
      <c r="QFF39" s="21"/>
      <c r="QFG39" s="21"/>
      <c r="QFH39" s="21"/>
      <c r="QFI39" s="21"/>
      <c r="QFJ39" s="21"/>
      <c r="QFK39" s="21"/>
      <c r="QFL39" s="21"/>
      <c r="QFM39" s="21"/>
      <c r="QFN39" s="21"/>
      <c r="QFO39" s="21"/>
      <c r="QFP39" s="21"/>
      <c r="QFQ39" s="21"/>
      <c r="QFR39" s="21"/>
      <c r="QFS39" s="21"/>
      <c r="QFT39" s="21"/>
      <c r="QFU39" s="21"/>
      <c r="QFV39" s="21"/>
      <c r="QFW39" s="21"/>
      <c r="QFX39" s="21"/>
      <c r="QFY39" s="21"/>
      <c r="QFZ39" s="21"/>
      <c r="QGA39" s="21"/>
      <c r="QGB39" s="21"/>
      <c r="QGC39" s="21"/>
      <c r="QGD39" s="21"/>
      <c r="QGE39" s="21"/>
      <c r="QGF39" s="21"/>
      <c r="QGG39" s="21"/>
      <c r="QGH39" s="21"/>
      <c r="QGI39" s="21"/>
      <c r="QGJ39" s="21"/>
      <c r="QGK39" s="21"/>
      <c r="QGL39" s="21"/>
      <c r="QGM39" s="21"/>
      <c r="QGN39" s="21"/>
      <c r="QGO39" s="21"/>
      <c r="QGP39" s="21"/>
      <c r="QGQ39" s="21"/>
      <c r="QGR39" s="21"/>
      <c r="QGS39" s="21"/>
      <c r="QGT39" s="21"/>
      <c r="QGU39" s="21"/>
      <c r="QGV39" s="21"/>
      <c r="QGW39" s="21"/>
      <c r="QGX39" s="21"/>
      <c r="QGY39" s="21"/>
      <c r="QGZ39" s="21"/>
      <c r="QHA39" s="21"/>
      <c r="QHB39" s="21"/>
      <c r="QHC39" s="21"/>
      <c r="QHD39" s="21"/>
      <c r="QHE39" s="21"/>
      <c r="QHF39" s="21"/>
      <c r="QHG39" s="21"/>
      <c r="QHH39" s="21"/>
      <c r="QHI39" s="21"/>
      <c r="QHJ39" s="21"/>
      <c r="QHK39" s="21"/>
      <c r="QHL39" s="21"/>
      <c r="QHM39" s="21"/>
      <c r="QHN39" s="21"/>
      <c r="QHO39" s="21"/>
      <c r="QHP39" s="21"/>
      <c r="QHQ39" s="21"/>
      <c r="QHR39" s="21"/>
      <c r="QHS39" s="21"/>
      <c r="QHT39" s="21"/>
      <c r="QHU39" s="21"/>
      <c r="QHV39" s="21"/>
      <c r="QHW39" s="21"/>
      <c r="QHX39" s="21"/>
      <c r="QHY39" s="21"/>
      <c r="QHZ39" s="21"/>
      <c r="QIA39" s="21"/>
      <c r="QIB39" s="21"/>
      <c r="QIC39" s="21"/>
      <c r="QID39" s="21"/>
      <c r="QIE39" s="21"/>
      <c r="QIF39" s="21"/>
      <c r="QIG39" s="21"/>
      <c r="QIH39" s="21"/>
      <c r="QII39" s="21"/>
      <c r="QIJ39" s="21"/>
      <c r="QIK39" s="21"/>
      <c r="QIL39" s="21"/>
      <c r="QIM39" s="21"/>
      <c r="QIN39" s="21"/>
      <c r="QIO39" s="21"/>
      <c r="QIP39" s="21"/>
      <c r="QIQ39" s="21"/>
      <c r="QIR39" s="21"/>
      <c r="QIS39" s="21"/>
      <c r="QIT39" s="21"/>
      <c r="QIU39" s="21"/>
      <c r="QIV39" s="21"/>
      <c r="QIW39" s="21"/>
      <c r="QIX39" s="21"/>
      <c r="QIY39" s="21"/>
      <c r="QIZ39" s="21"/>
      <c r="QJA39" s="21"/>
      <c r="QJB39" s="21"/>
      <c r="QJC39" s="21"/>
      <c r="QJD39" s="21"/>
      <c r="QJE39" s="21"/>
      <c r="QJF39" s="21"/>
      <c r="QJG39" s="21"/>
      <c r="QJH39" s="21"/>
      <c r="QJI39" s="21"/>
      <c r="QJJ39" s="21"/>
      <c r="QJK39" s="21"/>
      <c r="QJL39" s="21"/>
      <c r="QJM39" s="21"/>
      <c r="QJN39" s="21"/>
      <c r="QJO39" s="21"/>
      <c r="QJP39" s="21"/>
      <c r="QJQ39" s="21"/>
      <c r="QJR39" s="21"/>
      <c r="QJS39" s="21"/>
      <c r="QJT39" s="21"/>
      <c r="QJU39" s="21"/>
      <c r="QJV39" s="21"/>
      <c r="QJW39" s="21"/>
      <c r="QJX39" s="21"/>
      <c r="QJY39" s="21"/>
      <c r="QJZ39" s="21"/>
      <c r="QKA39" s="21"/>
      <c r="QKB39" s="21"/>
      <c r="QKC39" s="21"/>
      <c r="QKD39" s="21"/>
      <c r="QKE39" s="21"/>
      <c r="QKF39" s="21"/>
      <c r="QKG39" s="21"/>
      <c r="QKH39" s="21"/>
      <c r="QKI39" s="21"/>
      <c r="QKJ39" s="21"/>
      <c r="QKK39" s="21"/>
      <c r="QKL39" s="21"/>
      <c r="QKM39" s="21"/>
      <c r="QKN39" s="21"/>
      <c r="QKO39" s="21"/>
      <c r="QKP39" s="21"/>
      <c r="QKQ39" s="21"/>
      <c r="QKR39" s="21"/>
      <c r="QKS39" s="21"/>
      <c r="QKT39" s="21"/>
      <c r="QKU39" s="21"/>
      <c r="QKV39" s="21"/>
      <c r="QKW39" s="21"/>
      <c r="QKX39" s="21"/>
      <c r="QKY39" s="21"/>
      <c r="QKZ39" s="21"/>
      <c r="QLA39" s="21"/>
      <c r="QLB39" s="21"/>
      <c r="QLC39" s="21"/>
      <c r="QLD39" s="21"/>
      <c r="QLE39" s="21"/>
      <c r="QLF39" s="21"/>
      <c r="QLG39" s="21"/>
      <c r="QLH39" s="21"/>
      <c r="QLI39" s="21"/>
      <c r="QLJ39" s="21"/>
      <c r="QLK39" s="21"/>
      <c r="QLL39" s="21"/>
      <c r="QLM39" s="21"/>
      <c r="QLN39" s="21"/>
      <c r="QLO39" s="21"/>
      <c r="QLP39" s="21"/>
      <c r="QLQ39" s="21"/>
      <c r="QLR39" s="21"/>
      <c r="QLS39" s="21"/>
      <c r="QLT39" s="21"/>
      <c r="QLU39" s="21"/>
      <c r="QLV39" s="21"/>
      <c r="QLW39" s="21"/>
      <c r="QLX39" s="21"/>
      <c r="QLY39" s="21"/>
      <c r="QLZ39" s="21"/>
      <c r="QMA39" s="21"/>
      <c r="QMB39" s="21"/>
      <c r="QMC39" s="21"/>
      <c r="QMD39" s="21"/>
      <c r="QME39" s="21"/>
      <c r="QMF39" s="21"/>
      <c r="QMG39" s="21"/>
      <c r="QMH39" s="21"/>
      <c r="QMI39" s="21"/>
      <c r="QMJ39" s="21"/>
      <c r="QMK39" s="21"/>
      <c r="QML39" s="21"/>
      <c r="QMM39" s="21"/>
      <c r="QMN39" s="21"/>
      <c r="QMO39" s="21"/>
      <c r="QMP39" s="21"/>
      <c r="QMQ39" s="21"/>
      <c r="QMR39" s="21"/>
      <c r="QMS39" s="21"/>
      <c r="QMT39" s="21"/>
      <c r="QMU39" s="21"/>
      <c r="QMV39" s="21"/>
      <c r="QMW39" s="21"/>
      <c r="QMX39" s="21"/>
      <c r="QMY39" s="21"/>
      <c r="QMZ39" s="21"/>
      <c r="QNA39" s="21"/>
      <c r="QNB39" s="21"/>
      <c r="QNC39" s="21"/>
      <c r="QND39" s="21"/>
      <c r="QNE39" s="21"/>
      <c r="QNF39" s="21"/>
      <c r="QNG39" s="21"/>
      <c r="QNH39" s="21"/>
      <c r="QNI39" s="21"/>
      <c r="QNJ39" s="21"/>
      <c r="QNK39" s="21"/>
      <c r="QNL39" s="21"/>
      <c r="QNM39" s="21"/>
      <c r="QNN39" s="21"/>
      <c r="QNO39" s="21"/>
      <c r="QNP39" s="21"/>
      <c r="QNQ39" s="21"/>
      <c r="QNR39" s="21"/>
      <c r="QNS39" s="21"/>
      <c r="QNT39" s="21"/>
      <c r="QNU39" s="21"/>
      <c r="QNV39" s="21"/>
      <c r="QNW39" s="21"/>
      <c r="QNX39" s="21"/>
      <c r="QNY39" s="21"/>
      <c r="QNZ39" s="21"/>
      <c r="QOA39" s="21"/>
      <c r="QOB39" s="21"/>
      <c r="QOC39" s="21"/>
      <c r="QOD39" s="21"/>
      <c r="QOE39" s="21"/>
      <c r="QOF39" s="21"/>
      <c r="QOG39" s="21"/>
      <c r="QOH39" s="21"/>
      <c r="QOI39" s="21"/>
      <c r="QOJ39" s="21"/>
      <c r="QOK39" s="21"/>
      <c r="QOL39" s="21"/>
      <c r="QOM39" s="21"/>
      <c r="QON39" s="21"/>
      <c r="QOO39" s="21"/>
      <c r="QOP39" s="21"/>
      <c r="QOQ39" s="21"/>
      <c r="QOR39" s="21"/>
      <c r="QOS39" s="21"/>
      <c r="QOT39" s="21"/>
      <c r="QOU39" s="21"/>
      <c r="QOV39" s="21"/>
      <c r="QOW39" s="21"/>
      <c r="QOX39" s="21"/>
      <c r="QOY39" s="21"/>
      <c r="QOZ39" s="21"/>
      <c r="QPA39" s="21"/>
      <c r="QPB39" s="21"/>
      <c r="QPC39" s="21"/>
      <c r="QPD39" s="21"/>
      <c r="QPE39" s="21"/>
      <c r="QPF39" s="21"/>
      <c r="QPG39" s="21"/>
      <c r="QPH39" s="21"/>
      <c r="QPI39" s="21"/>
      <c r="QPJ39" s="21"/>
      <c r="QPK39" s="21"/>
      <c r="QPL39" s="21"/>
      <c r="QPM39" s="21"/>
      <c r="QPN39" s="21"/>
      <c r="QPO39" s="21"/>
      <c r="QPP39" s="21"/>
      <c r="QPQ39" s="21"/>
      <c r="QPR39" s="21"/>
      <c r="QPS39" s="21"/>
      <c r="QPT39" s="21"/>
      <c r="QPU39" s="21"/>
      <c r="QPV39" s="21"/>
      <c r="QPW39" s="21"/>
      <c r="QPX39" s="21"/>
      <c r="QPY39" s="21"/>
      <c r="QPZ39" s="21"/>
      <c r="QQA39" s="21"/>
      <c r="QQB39" s="21"/>
      <c r="QQC39" s="21"/>
      <c r="QQD39" s="21"/>
      <c r="QQE39" s="21"/>
      <c r="QQF39" s="21"/>
      <c r="QQG39" s="21"/>
      <c r="QQH39" s="21"/>
      <c r="QQI39" s="21"/>
      <c r="QQJ39" s="21"/>
      <c r="QQK39" s="21"/>
      <c r="QQL39" s="21"/>
      <c r="QQM39" s="21"/>
      <c r="QQN39" s="21"/>
      <c r="QQO39" s="21"/>
      <c r="QQP39" s="21"/>
      <c r="QQQ39" s="21"/>
      <c r="QQR39" s="21"/>
      <c r="QQS39" s="21"/>
      <c r="QQT39" s="21"/>
      <c r="QQU39" s="21"/>
      <c r="QQV39" s="21"/>
      <c r="QQW39" s="21"/>
      <c r="QQX39" s="21"/>
      <c r="QQY39" s="21"/>
      <c r="QQZ39" s="21"/>
      <c r="QRA39" s="21"/>
      <c r="QRB39" s="21"/>
      <c r="QRC39" s="21"/>
      <c r="QRD39" s="21"/>
      <c r="QRE39" s="21"/>
      <c r="QRF39" s="21"/>
      <c r="QRG39" s="21"/>
      <c r="QRH39" s="21"/>
      <c r="QRI39" s="21"/>
      <c r="QRJ39" s="21"/>
      <c r="QRK39" s="21"/>
      <c r="QRL39" s="21"/>
      <c r="QRM39" s="21"/>
      <c r="QRN39" s="21"/>
      <c r="QRO39" s="21"/>
      <c r="QRP39" s="21"/>
      <c r="QRQ39" s="21"/>
      <c r="QRR39" s="21"/>
      <c r="QRS39" s="21"/>
      <c r="QRT39" s="21"/>
      <c r="QRU39" s="21"/>
      <c r="QRV39" s="21"/>
      <c r="QRW39" s="21"/>
      <c r="QRX39" s="21"/>
      <c r="QRY39" s="21"/>
      <c r="QRZ39" s="21"/>
      <c r="QSA39" s="21"/>
      <c r="QSB39" s="21"/>
      <c r="QSC39" s="21"/>
      <c r="QSD39" s="21"/>
      <c r="QSE39" s="21"/>
      <c r="QSF39" s="21"/>
      <c r="QSG39" s="21"/>
      <c r="QSH39" s="21"/>
      <c r="QSI39" s="21"/>
      <c r="QSJ39" s="21"/>
      <c r="QSK39" s="21"/>
      <c r="QSL39" s="21"/>
      <c r="QSM39" s="21"/>
      <c r="QSN39" s="21"/>
      <c r="QSO39" s="21"/>
      <c r="QSP39" s="21"/>
      <c r="QSQ39" s="21"/>
      <c r="QSR39" s="21"/>
      <c r="QSS39" s="21"/>
      <c r="QST39" s="21"/>
      <c r="QSU39" s="21"/>
      <c r="QSV39" s="21"/>
      <c r="QSW39" s="21"/>
      <c r="QSX39" s="21"/>
      <c r="QSY39" s="21"/>
      <c r="QSZ39" s="21"/>
      <c r="QTA39" s="21"/>
      <c r="QTB39" s="21"/>
      <c r="QTC39" s="21"/>
      <c r="QTD39" s="21"/>
      <c r="QTE39" s="21"/>
      <c r="QTF39" s="21"/>
      <c r="QTG39" s="21"/>
      <c r="QTH39" s="21"/>
      <c r="QTI39" s="21"/>
      <c r="QTJ39" s="21"/>
      <c r="QTK39" s="21"/>
      <c r="QTL39" s="21"/>
      <c r="QTM39" s="21"/>
      <c r="QTN39" s="21"/>
      <c r="QTO39" s="21"/>
      <c r="QTP39" s="21"/>
      <c r="QTQ39" s="21"/>
      <c r="QTR39" s="21"/>
      <c r="QTS39" s="21"/>
      <c r="QTT39" s="21"/>
      <c r="QTU39" s="21"/>
      <c r="QTV39" s="21"/>
      <c r="QTW39" s="21"/>
      <c r="QTX39" s="21"/>
      <c r="QTY39" s="21"/>
      <c r="QTZ39" s="21"/>
      <c r="QUA39" s="21"/>
      <c r="QUB39" s="21"/>
      <c r="QUC39" s="21"/>
      <c r="QUD39" s="21"/>
      <c r="QUE39" s="21"/>
      <c r="QUF39" s="21"/>
      <c r="QUG39" s="21"/>
      <c r="QUH39" s="21"/>
      <c r="QUI39" s="21"/>
      <c r="QUJ39" s="21"/>
      <c r="QUK39" s="21"/>
      <c r="QUL39" s="21"/>
      <c r="QUM39" s="21"/>
      <c r="QUN39" s="21"/>
      <c r="QUO39" s="21"/>
      <c r="QUP39" s="21"/>
      <c r="QUQ39" s="21"/>
      <c r="QUR39" s="21"/>
      <c r="QUS39" s="21"/>
      <c r="QUT39" s="21"/>
      <c r="QUU39" s="21"/>
      <c r="QUV39" s="21"/>
      <c r="QUW39" s="21"/>
      <c r="QUX39" s="21"/>
      <c r="QUY39" s="21"/>
      <c r="QUZ39" s="21"/>
      <c r="QVA39" s="21"/>
      <c r="QVB39" s="21"/>
      <c r="QVC39" s="21"/>
      <c r="QVD39" s="21"/>
      <c r="QVE39" s="21"/>
      <c r="QVF39" s="21"/>
      <c r="QVG39" s="21"/>
      <c r="QVH39" s="21"/>
      <c r="QVI39" s="21"/>
      <c r="QVJ39" s="21"/>
      <c r="QVK39" s="21"/>
      <c r="QVL39" s="21"/>
      <c r="QVM39" s="21"/>
      <c r="QVN39" s="21"/>
      <c r="QVO39" s="21"/>
      <c r="QVP39" s="21"/>
      <c r="QVQ39" s="21"/>
      <c r="QVR39" s="21"/>
      <c r="QVS39" s="21"/>
      <c r="QVT39" s="21"/>
      <c r="QVU39" s="21"/>
      <c r="QVV39" s="21"/>
      <c r="QVW39" s="21"/>
      <c r="QVX39" s="21"/>
      <c r="QVY39" s="21"/>
      <c r="QVZ39" s="21"/>
      <c r="QWA39" s="21"/>
      <c r="QWB39" s="21"/>
      <c r="QWC39" s="21"/>
      <c r="QWD39" s="21"/>
      <c r="QWE39" s="21"/>
      <c r="QWF39" s="21"/>
      <c r="QWG39" s="21"/>
      <c r="QWH39" s="21"/>
      <c r="QWI39" s="21"/>
      <c r="QWJ39" s="21"/>
      <c r="QWK39" s="21"/>
      <c r="QWL39" s="21"/>
      <c r="QWM39" s="21"/>
      <c r="QWN39" s="21"/>
      <c r="QWO39" s="21"/>
      <c r="QWP39" s="21"/>
      <c r="QWQ39" s="21"/>
      <c r="QWR39" s="21"/>
      <c r="QWS39" s="21"/>
      <c r="QWT39" s="21"/>
      <c r="QWU39" s="21"/>
      <c r="QWV39" s="21"/>
      <c r="QWW39" s="21"/>
      <c r="QWX39" s="21"/>
      <c r="QWY39" s="21"/>
      <c r="QWZ39" s="21"/>
      <c r="QXA39" s="21"/>
      <c r="QXB39" s="21"/>
      <c r="QXC39" s="21"/>
      <c r="QXD39" s="21"/>
      <c r="QXE39" s="21"/>
      <c r="QXF39" s="21"/>
      <c r="QXG39" s="21"/>
      <c r="QXH39" s="21"/>
      <c r="QXI39" s="21"/>
      <c r="QXJ39" s="21"/>
      <c r="QXK39" s="21"/>
      <c r="QXL39" s="21"/>
      <c r="QXM39" s="21"/>
      <c r="QXN39" s="21"/>
      <c r="QXO39" s="21"/>
      <c r="QXP39" s="21"/>
      <c r="QXQ39" s="21"/>
      <c r="QXR39" s="21"/>
      <c r="QXS39" s="21"/>
      <c r="QXT39" s="21"/>
      <c r="QXU39" s="21"/>
      <c r="QXV39" s="21"/>
      <c r="QXW39" s="21"/>
      <c r="QXX39" s="21"/>
      <c r="QXY39" s="21"/>
      <c r="QXZ39" s="21"/>
      <c r="QYA39" s="21"/>
      <c r="QYB39" s="21"/>
      <c r="QYC39" s="21"/>
      <c r="QYD39" s="21"/>
      <c r="QYE39" s="21"/>
      <c r="QYF39" s="21"/>
      <c r="QYG39" s="21"/>
      <c r="QYH39" s="21"/>
      <c r="QYI39" s="21"/>
      <c r="QYJ39" s="21"/>
      <c r="QYK39" s="21"/>
      <c r="QYL39" s="21"/>
      <c r="QYM39" s="21"/>
      <c r="QYN39" s="21"/>
      <c r="QYO39" s="21"/>
      <c r="QYP39" s="21"/>
      <c r="QYQ39" s="21"/>
      <c r="QYR39" s="21"/>
      <c r="QYS39" s="21"/>
      <c r="QYT39" s="21"/>
      <c r="QYU39" s="21"/>
      <c r="QYV39" s="21"/>
      <c r="QYW39" s="21"/>
      <c r="QYX39" s="21"/>
      <c r="QYY39" s="21"/>
      <c r="QYZ39" s="21"/>
      <c r="QZA39" s="21"/>
      <c r="QZB39" s="21"/>
      <c r="QZC39" s="21"/>
      <c r="QZD39" s="21"/>
      <c r="QZE39" s="21"/>
      <c r="QZF39" s="21"/>
      <c r="QZG39" s="21"/>
      <c r="QZH39" s="21"/>
      <c r="QZI39" s="21"/>
      <c r="QZJ39" s="21"/>
      <c r="QZK39" s="21"/>
      <c r="QZL39" s="21"/>
      <c r="QZM39" s="21"/>
      <c r="QZN39" s="21"/>
      <c r="QZO39" s="21"/>
      <c r="QZP39" s="21"/>
      <c r="QZQ39" s="21"/>
      <c r="QZR39" s="21"/>
      <c r="QZS39" s="21"/>
      <c r="QZT39" s="21"/>
      <c r="QZU39" s="21"/>
      <c r="QZV39" s="21"/>
      <c r="QZW39" s="21"/>
      <c r="QZX39" s="21"/>
      <c r="QZY39" s="21"/>
      <c r="QZZ39" s="21"/>
      <c r="RAA39" s="21"/>
      <c r="RAB39" s="21"/>
      <c r="RAC39" s="21"/>
      <c r="RAD39" s="21"/>
      <c r="RAE39" s="21"/>
      <c r="RAF39" s="21"/>
      <c r="RAG39" s="21"/>
      <c r="RAH39" s="21"/>
      <c r="RAI39" s="21"/>
      <c r="RAJ39" s="21"/>
      <c r="RAK39" s="21"/>
      <c r="RAL39" s="21"/>
      <c r="RAM39" s="21"/>
      <c r="RAN39" s="21"/>
      <c r="RAO39" s="21"/>
      <c r="RAP39" s="21"/>
      <c r="RAQ39" s="21"/>
      <c r="RAR39" s="21"/>
      <c r="RAS39" s="21"/>
      <c r="RAT39" s="21"/>
      <c r="RAU39" s="21"/>
      <c r="RAV39" s="21"/>
      <c r="RAW39" s="21"/>
      <c r="RAX39" s="21"/>
      <c r="RAY39" s="21"/>
      <c r="RAZ39" s="21"/>
      <c r="RBA39" s="21"/>
      <c r="RBB39" s="21"/>
      <c r="RBC39" s="21"/>
      <c r="RBD39" s="21"/>
      <c r="RBE39" s="21"/>
      <c r="RBF39" s="21"/>
      <c r="RBG39" s="21"/>
      <c r="RBH39" s="21"/>
      <c r="RBI39" s="21"/>
      <c r="RBJ39" s="21"/>
      <c r="RBK39" s="21"/>
      <c r="RBL39" s="21"/>
      <c r="RBM39" s="21"/>
      <c r="RBN39" s="21"/>
      <c r="RBO39" s="21"/>
      <c r="RBP39" s="21"/>
      <c r="RBQ39" s="21"/>
      <c r="RBR39" s="21"/>
      <c r="RBS39" s="21"/>
      <c r="RBT39" s="21"/>
      <c r="RBU39" s="21"/>
      <c r="RBV39" s="21"/>
      <c r="RBW39" s="21"/>
      <c r="RBX39" s="21"/>
      <c r="RBY39" s="21"/>
      <c r="RBZ39" s="21"/>
      <c r="RCA39" s="21"/>
      <c r="RCB39" s="21"/>
      <c r="RCC39" s="21"/>
      <c r="RCD39" s="21"/>
      <c r="RCE39" s="21"/>
      <c r="RCF39" s="21"/>
      <c r="RCG39" s="21"/>
      <c r="RCH39" s="21"/>
      <c r="RCI39" s="21"/>
      <c r="RCJ39" s="21"/>
      <c r="RCK39" s="21"/>
      <c r="RCL39" s="21"/>
      <c r="RCM39" s="21"/>
      <c r="RCN39" s="21"/>
      <c r="RCO39" s="21"/>
      <c r="RCP39" s="21"/>
      <c r="RCQ39" s="21"/>
      <c r="RCR39" s="21"/>
      <c r="RCS39" s="21"/>
      <c r="RCT39" s="21"/>
      <c r="RCU39" s="21"/>
      <c r="RCV39" s="21"/>
      <c r="RCW39" s="21"/>
      <c r="RCX39" s="21"/>
      <c r="RCY39" s="21"/>
      <c r="RCZ39" s="21"/>
      <c r="RDA39" s="21"/>
      <c r="RDB39" s="21"/>
      <c r="RDC39" s="21"/>
      <c r="RDD39" s="21"/>
      <c r="RDE39" s="21"/>
      <c r="RDF39" s="21"/>
      <c r="RDG39" s="21"/>
      <c r="RDH39" s="21"/>
      <c r="RDI39" s="21"/>
      <c r="RDJ39" s="21"/>
      <c r="RDK39" s="21"/>
      <c r="RDL39" s="21"/>
      <c r="RDM39" s="21"/>
      <c r="RDN39" s="21"/>
      <c r="RDO39" s="21"/>
      <c r="RDP39" s="21"/>
      <c r="RDQ39" s="21"/>
      <c r="RDR39" s="21"/>
      <c r="RDS39" s="21"/>
      <c r="RDT39" s="21"/>
      <c r="RDU39" s="21"/>
      <c r="RDV39" s="21"/>
      <c r="RDW39" s="21"/>
      <c r="RDX39" s="21"/>
      <c r="RDY39" s="21"/>
      <c r="RDZ39" s="21"/>
      <c r="REA39" s="21"/>
      <c r="REB39" s="21"/>
      <c r="REC39" s="21"/>
      <c r="RED39" s="21"/>
      <c r="REE39" s="21"/>
      <c r="REF39" s="21"/>
      <c r="REG39" s="21"/>
      <c r="REH39" s="21"/>
      <c r="REI39" s="21"/>
      <c r="REJ39" s="21"/>
      <c r="REK39" s="21"/>
      <c r="REL39" s="21"/>
      <c r="REM39" s="21"/>
      <c r="REN39" s="21"/>
      <c r="REO39" s="21"/>
      <c r="REP39" s="21"/>
      <c r="REQ39" s="21"/>
      <c r="RER39" s="21"/>
      <c r="RES39" s="21"/>
      <c r="RET39" s="21"/>
      <c r="REU39" s="21"/>
      <c r="REV39" s="21"/>
      <c r="REW39" s="21"/>
      <c r="REX39" s="21"/>
      <c r="REY39" s="21"/>
      <c r="REZ39" s="21"/>
      <c r="RFA39" s="21"/>
      <c r="RFB39" s="21"/>
      <c r="RFC39" s="21"/>
      <c r="RFD39" s="21"/>
      <c r="RFE39" s="21"/>
      <c r="RFF39" s="21"/>
      <c r="RFG39" s="21"/>
      <c r="RFH39" s="21"/>
      <c r="RFI39" s="21"/>
      <c r="RFJ39" s="21"/>
      <c r="RFK39" s="21"/>
      <c r="RFL39" s="21"/>
      <c r="RFM39" s="21"/>
      <c r="RFN39" s="21"/>
      <c r="RFO39" s="21"/>
      <c r="RFP39" s="21"/>
      <c r="RFQ39" s="21"/>
      <c r="RFR39" s="21"/>
      <c r="RFS39" s="21"/>
      <c r="RFT39" s="21"/>
      <c r="RFU39" s="21"/>
      <c r="RFV39" s="21"/>
      <c r="RFW39" s="21"/>
      <c r="RFX39" s="21"/>
      <c r="RFY39" s="21"/>
      <c r="RFZ39" s="21"/>
      <c r="RGA39" s="21"/>
      <c r="RGB39" s="21"/>
      <c r="RGC39" s="21"/>
      <c r="RGD39" s="21"/>
      <c r="RGE39" s="21"/>
      <c r="RGF39" s="21"/>
      <c r="RGG39" s="21"/>
      <c r="RGH39" s="21"/>
      <c r="RGI39" s="21"/>
      <c r="RGJ39" s="21"/>
      <c r="RGK39" s="21"/>
      <c r="RGL39" s="21"/>
      <c r="RGM39" s="21"/>
      <c r="RGN39" s="21"/>
      <c r="RGO39" s="21"/>
      <c r="RGP39" s="21"/>
      <c r="RGQ39" s="21"/>
      <c r="RGR39" s="21"/>
      <c r="RGS39" s="21"/>
      <c r="RGT39" s="21"/>
      <c r="RGU39" s="21"/>
      <c r="RGV39" s="21"/>
      <c r="RGW39" s="21"/>
      <c r="RGX39" s="21"/>
      <c r="RGY39" s="21"/>
      <c r="RGZ39" s="21"/>
      <c r="RHA39" s="21"/>
      <c r="RHB39" s="21"/>
      <c r="RHC39" s="21"/>
      <c r="RHD39" s="21"/>
      <c r="RHE39" s="21"/>
      <c r="RHF39" s="21"/>
      <c r="RHG39" s="21"/>
      <c r="RHH39" s="21"/>
      <c r="RHI39" s="21"/>
      <c r="RHJ39" s="21"/>
      <c r="RHK39" s="21"/>
      <c r="RHL39" s="21"/>
      <c r="RHM39" s="21"/>
      <c r="RHN39" s="21"/>
      <c r="RHO39" s="21"/>
      <c r="RHP39" s="21"/>
      <c r="RHQ39" s="21"/>
      <c r="RHR39" s="21"/>
      <c r="RHS39" s="21"/>
      <c r="RHT39" s="21"/>
      <c r="RHU39" s="21"/>
      <c r="RHV39" s="21"/>
      <c r="RHW39" s="21"/>
      <c r="RHX39" s="21"/>
      <c r="RHY39" s="21"/>
      <c r="RHZ39" s="21"/>
      <c r="RIA39" s="21"/>
      <c r="RIB39" s="21"/>
      <c r="RIC39" s="21"/>
      <c r="RID39" s="21"/>
      <c r="RIE39" s="21"/>
      <c r="RIF39" s="21"/>
      <c r="RIG39" s="21"/>
      <c r="RIH39" s="21"/>
      <c r="RII39" s="21"/>
      <c r="RIJ39" s="21"/>
      <c r="RIK39" s="21"/>
      <c r="RIL39" s="21"/>
      <c r="RIM39" s="21"/>
      <c r="RIN39" s="21"/>
      <c r="RIO39" s="21"/>
      <c r="RIP39" s="21"/>
      <c r="RIQ39" s="21"/>
      <c r="RIR39" s="21"/>
      <c r="RIS39" s="21"/>
      <c r="RIT39" s="21"/>
      <c r="RIU39" s="21"/>
      <c r="RIV39" s="21"/>
      <c r="RIW39" s="21"/>
      <c r="RIX39" s="21"/>
      <c r="RIY39" s="21"/>
      <c r="RIZ39" s="21"/>
      <c r="RJA39" s="21"/>
      <c r="RJB39" s="21"/>
      <c r="RJC39" s="21"/>
      <c r="RJD39" s="21"/>
      <c r="RJE39" s="21"/>
      <c r="RJF39" s="21"/>
      <c r="RJG39" s="21"/>
      <c r="RJH39" s="21"/>
      <c r="RJI39" s="21"/>
      <c r="RJJ39" s="21"/>
      <c r="RJK39" s="21"/>
      <c r="RJL39" s="21"/>
      <c r="RJM39" s="21"/>
      <c r="RJN39" s="21"/>
      <c r="RJO39" s="21"/>
      <c r="RJP39" s="21"/>
      <c r="RJQ39" s="21"/>
      <c r="RJR39" s="21"/>
      <c r="RJS39" s="21"/>
      <c r="RJT39" s="21"/>
      <c r="RJU39" s="21"/>
      <c r="RJV39" s="21"/>
      <c r="RJW39" s="21"/>
      <c r="RJX39" s="21"/>
      <c r="RJY39" s="21"/>
      <c r="RJZ39" s="21"/>
      <c r="RKA39" s="21"/>
      <c r="RKB39" s="21"/>
      <c r="RKC39" s="21"/>
      <c r="RKD39" s="21"/>
      <c r="RKE39" s="21"/>
      <c r="RKF39" s="21"/>
      <c r="RKG39" s="21"/>
      <c r="RKH39" s="21"/>
      <c r="RKI39" s="21"/>
      <c r="RKJ39" s="21"/>
      <c r="RKK39" s="21"/>
      <c r="RKL39" s="21"/>
      <c r="RKM39" s="21"/>
      <c r="RKN39" s="21"/>
      <c r="RKO39" s="21"/>
      <c r="RKP39" s="21"/>
      <c r="RKQ39" s="21"/>
      <c r="RKR39" s="21"/>
      <c r="RKS39" s="21"/>
      <c r="RKT39" s="21"/>
      <c r="RKU39" s="21"/>
      <c r="RKV39" s="21"/>
      <c r="RKW39" s="21"/>
      <c r="RKX39" s="21"/>
      <c r="RKY39" s="21"/>
      <c r="RKZ39" s="21"/>
      <c r="RLA39" s="21"/>
      <c r="RLB39" s="21"/>
      <c r="RLC39" s="21"/>
      <c r="RLD39" s="21"/>
      <c r="RLE39" s="21"/>
      <c r="RLF39" s="21"/>
      <c r="RLG39" s="21"/>
      <c r="RLH39" s="21"/>
      <c r="RLI39" s="21"/>
      <c r="RLJ39" s="21"/>
      <c r="RLK39" s="21"/>
      <c r="RLL39" s="21"/>
      <c r="RLM39" s="21"/>
      <c r="RLN39" s="21"/>
      <c r="RLO39" s="21"/>
      <c r="RLP39" s="21"/>
      <c r="RLQ39" s="21"/>
      <c r="RLR39" s="21"/>
      <c r="RLS39" s="21"/>
      <c r="RLT39" s="21"/>
      <c r="RLU39" s="21"/>
      <c r="RLV39" s="21"/>
      <c r="RLW39" s="21"/>
      <c r="RLX39" s="21"/>
      <c r="RLY39" s="21"/>
      <c r="RLZ39" s="21"/>
      <c r="RMA39" s="21"/>
      <c r="RMB39" s="21"/>
      <c r="RMC39" s="21"/>
      <c r="RMD39" s="21"/>
      <c r="RME39" s="21"/>
      <c r="RMF39" s="21"/>
      <c r="RMG39" s="21"/>
      <c r="RMH39" s="21"/>
      <c r="RMI39" s="21"/>
      <c r="RMJ39" s="21"/>
      <c r="RMK39" s="21"/>
      <c r="RML39" s="21"/>
      <c r="RMM39" s="21"/>
      <c r="RMN39" s="21"/>
      <c r="RMO39" s="21"/>
      <c r="RMP39" s="21"/>
      <c r="RMQ39" s="21"/>
      <c r="RMR39" s="21"/>
      <c r="RMS39" s="21"/>
      <c r="RMT39" s="21"/>
      <c r="RMU39" s="21"/>
      <c r="RMV39" s="21"/>
      <c r="RMW39" s="21"/>
      <c r="RMX39" s="21"/>
      <c r="RMY39" s="21"/>
      <c r="RMZ39" s="21"/>
      <c r="RNA39" s="21"/>
      <c r="RNB39" s="21"/>
      <c r="RNC39" s="21"/>
      <c r="RND39" s="21"/>
      <c r="RNE39" s="21"/>
      <c r="RNF39" s="21"/>
      <c r="RNG39" s="21"/>
      <c r="RNH39" s="21"/>
      <c r="RNI39" s="21"/>
      <c r="RNJ39" s="21"/>
      <c r="RNK39" s="21"/>
      <c r="RNL39" s="21"/>
      <c r="RNM39" s="21"/>
      <c r="RNN39" s="21"/>
      <c r="RNO39" s="21"/>
      <c r="RNP39" s="21"/>
      <c r="RNQ39" s="21"/>
      <c r="RNR39" s="21"/>
      <c r="RNS39" s="21"/>
      <c r="RNT39" s="21"/>
      <c r="RNU39" s="21"/>
      <c r="RNV39" s="21"/>
      <c r="RNW39" s="21"/>
      <c r="RNX39" s="21"/>
      <c r="RNY39" s="21"/>
      <c r="RNZ39" s="21"/>
      <c r="ROA39" s="21"/>
      <c r="ROB39" s="21"/>
      <c r="ROC39" s="21"/>
      <c r="ROD39" s="21"/>
      <c r="ROE39" s="21"/>
      <c r="ROF39" s="21"/>
      <c r="ROG39" s="21"/>
      <c r="ROH39" s="21"/>
      <c r="ROI39" s="21"/>
      <c r="ROJ39" s="21"/>
      <c r="ROK39" s="21"/>
      <c r="ROL39" s="21"/>
      <c r="ROM39" s="21"/>
      <c r="RON39" s="21"/>
      <c r="ROO39" s="21"/>
      <c r="ROP39" s="21"/>
      <c r="ROQ39" s="21"/>
      <c r="ROR39" s="21"/>
      <c r="ROS39" s="21"/>
      <c r="ROT39" s="21"/>
      <c r="ROU39" s="21"/>
      <c r="ROV39" s="21"/>
      <c r="ROW39" s="21"/>
      <c r="ROX39" s="21"/>
      <c r="ROY39" s="21"/>
      <c r="ROZ39" s="21"/>
      <c r="RPA39" s="21"/>
      <c r="RPB39" s="21"/>
      <c r="RPC39" s="21"/>
      <c r="RPD39" s="21"/>
      <c r="RPE39" s="21"/>
      <c r="RPF39" s="21"/>
      <c r="RPG39" s="21"/>
      <c r="RPH39" s="21"/>
      <c r="RPI39" s="21"/>
      <c r="RPJ39" s="21"/>
      <c r="RPK39" s="21"/>
      <c r="RPL39" s="21"/>
      <c r="RPM39" s="21"/>
      <c r="RPN39" s="21"/>
      <c r="RPO39" s="21"/>
      <c r="RPP39" s="21"/>
      <c r="RPQ39" s="21"/>
      <c r="RPR39" s="21"/>
      <c r="RPS39" s="21"/>
      <c r="RPT39" s="21"/>
      <c r="RPU39" s="21"/>
      <c r="RPV39" s="21"/>
      <c r="RPW39" s="21"/>
      <c r="RPX39" s="21"/>
      <c r="RPY39" s="21"/>
      <c r="RPZ39" s="21"/>
      <c r="RQA39" s="21"/>
      <c r="RQB39" s="21"/>
      <c r="RQC39" s="21"/>
      <c r="RQD39" s="21"/>
      <c r="RQE39" s="21"/>
      <c r="RQF39" s="21"/>
      <c r="RQG39" s="21"/>
      <c r="RQH39" s="21"/>
      <c r="RQI39" s="21"/>
      <c r="RQJ39" s="21"/>
      <c r="RQK39" s="21"/>
      <c r="RQL39" s="21"/>
      <c r="RQM39" s="21"/>
      <c r="RQN39" s="21"/>
      <c r="RQO39" s="21"/>
      <c r="RQP39" s="21"/>
      <c r="RQQ39" s="21"/>
      <c r="RQR39" s="21"/>
      <c r="RQS39" s="21"/>
      <c r="RQT39" s="21"/>
      <c r="RQU39" s="21"/>
      <c r="RQV39" s="21"/>
      <c r="RQW39" s="21"/>
      <c r="RQX39" s="21"/>
      <c r="RQY39" s="21"/>
      <c r="RQZ39" s="21"/>
      <c r="RRA39" s="21"/>
      <c r="RRB39" s="21"/>
      <c r="RRC39" s="21"/>
      <c r="RRD39" s="21"/>
      <c r="RRE39" s="21"/>
      <c r="RRF39" s="21"/>
      <c r="RRG39" s="21"/>
      <c r="RRH39" s="21"/>
      <c r="RRI39" s="21"/>
      <c r="RRJ39" s="21"/>
      <c r="RRK39" s="21"/>
      <c r="RRL39" s="21"/>
      <c r="RRM39" s="21"/>
      <c r="RRN39" s="21"/>
      <c r="RRO39" s="21"/>
      <c r="RRP39" s="21"/>
      <c r="RRQ39" s="21"/>
      <c r="RRR39" s="21"/>
      <c r="RRS39" s="21"/>
      <c r="RRT39" s="21"/>
      <c r="RRU39" s="21"/>
      <c r="RRV39" s="21"/>
      <c r="RRW39" s="21"/>
      <c r="RRX39" s="21"/>
      <c r="RRY39" s="21"/>
      <c r="RRZ39" s="21"/>
      <c r="RSA39" s="21"/>
      <c r="RSB39" s="21"/>
      <c r="RSC39" s="21"/>
      <c r="RSD39" s="21"/>
      <c r="RSE39" s="21"/>
      <c r="RSF39" s="21"/>
      <c r="RSG39" s="21"/>
      <c r="RSH39" s="21"/>
      <c r="RSI39" s="21"/>
      <c r="RSJ39" s="21"/>
      <c r="RSK39" s="21"/>
      <c r="RSL39" s="21"/>
      <c r="RSM39" s="21"/>
      <c r="RSN39" s="21"/>
      <c r="RSO39" s="21"/>
      <c r="RSP39" s="21"/>
      <c r="RSQ39" s="21"/>
      <c r="RSR39" s="21"/>
      <c r="RSS39" s="21"/>
      <c r="RST39" s="21"/>
      <c r="RSU39" s="21"/>
      <c r="RSV39" s="21"/>
      <c r="RSW39" s="21"/>
      <c r="RSX39" s="21"/>
      <c r="RSY39" s="21"/>
      <c r="RSZ39" s="21"/>
      <c r="RTA39" s="21"/>
      <c r="RTB39" s="21"/>
      <c r="RTC39" s="21"/>
      <c r="RTD39" s="21"/>
      <c r="RTE39" s="21"/>
      <c r="RTF39" s="21"/>
      <c r="RTG39" s="21"/>
      <c r="RTH39" s="21"/>
      <c r="RTI39" s="21"/>
      <c r="RTJ39" s="21"/>
      <c r="RTK39" s="21"/>
      <c r="RTL39" s="21"/>
      <c r="RTM39" s="21"/>
      <c r="RTN39" s="21"/>
      <c r="RTO39" s="21"/>
      <c r="RTP39" s="21"/>
      <c r="RTQ39" s="21"/>
      <c r="RTR39" s="21"/>
      <c r="RTS39" s="21"/>
      <c r="RTT39" s="21"/>
      <c r="RTU39" s="21"/>
      <c r="RTV39" s="21"/>
      <c r="RTW39" s="21"/>
      <c r="RTX39" s="21"/>
      <c r="RTY39" s="21"/>
      <c r="RTZ39" s="21"/>
      <c r="RUA39" s="21"/>
      <c r="RUB39" s="21"/>
      <c r="RUC39" s="21"/>
      <c r="RUD39" s="21"/>
      <c r="RUE39" s="21"/>
      <c r="RUF39" s="21"/>
      <c r="RUG39" s="21"/>
      <c r="RUH39" s="21"/>
      <c r="RUI39" s="21"/>
      <c r="RUJ39" s="21"/>
      <c r="RUK39" s="21"/>
      <c r="RUL39" s="21"/>
      <c r="RUM39" s="21"/>
      <c r="RUN39" s="21"/>
      <c r="RUO39" s="21"/>
      <c r="RUP39" s="21"/>
      <c r="RUQ39" s="21"/>
      <c r="RUR39" s="21"/>
      <c r="RUS39" s="21"/>
      <c r="RUT39" s="21"/>
      <c r="RUU39" s="21"/>
      <c r="RUV39" s="21"/>
      <c r="RUW39" s="21"/>
      <c r="RUX39" s="21"/>
      <c r="RUY39" s="21"/>
      <c r="RUZ39" s="21"/>
      <c r="RVA39" s="21"/>
      <c r="RVB39" s="21"/>
      <c r="RVC39" s="21"/>
      <c r="RVD39" s="21"/>
      <c r="RVE39" s="21"/>
      <c r="RVF39" s="21"/>
      <c r="RVG39" s="21"/>
      <c r="RVH39" s="21"/>
      <c r="RVI39" s="21"/>
      <c r="RVJ39" s="21"/>
      <c r="RVK39" s="21"/>
      <c r="RVL39" s="21"/>
      <c r="RVM39" s="21"/>
      <c r="RVN39" s="21"/>
      <c r="RVO39" s="21"/>
      <c r="RVP39" s="21"/>
      <c r="RVQ39" s="21"/>
      <c r="RVR39" s="21"/>
      <c r="RVS39" s="21"/>
      <c r="RVT39" s="21"/>
      <c r="RVU39" s="21"/>
      <c r="RVV39" s="21"/>
      <c r="RVW39" s="21"/>
      <c r="RVX39" s="21"/>
      <c r="RVY39" s="21"/>
      <c r="RVZ39" s="21"/>
      <c r="RWA39" s="21"/>
      <c r="RWB39" s="21"/>
      <c r="RWC39" s="21"/>
      <c r="RWD39" s="21"/>
      <c r="RWE39" s="21"/>
      <c r="RWF39" s="21"/>
      <c r="RWG39" s="21"/>
      <c r="RWH39" s="21"/>
      <c r="RWI39" s="21"/>
      <c r="RWJ39" s="21"/>
      <c r="RWK39" s="21"/>
      <c r="RWL39" s="21"/>
      <c r="RWM39" s="21"/>
      <c r="RWN39" s="21"/>
      <c r="RWO39" s="21"/>
      <c r="RWP39" s="21"/>
      <c r="RWQ39" s="21"/>
      <c r="RWR39" s="21"/>
      <c r="RWS39" s="21"/>
      <c r="RWT39" s="21"/>
      <c r="RWU39" s="21"/>
      <c r="RWV39" s="21"/>
      <c r="RWW39" s="21"/>
      <c r="RWX39" s="21"/>
      <c r="RWY39" s="21"/>
      <c r="RWZ39" s="21"/>
      <c r="RXA39" s="21"/>
      <c r="RXB39" s="21"/>
      <c r="RXC39" s="21"/>
      <c r="RXD39" s="21"/>
      <c r="RXE39" s="21"/>
      <c r="RXF39" s="21"/>
      <c r="RXG39" s="21"/>
      <c r="RXH39" s="21"/>
      <c r="RXI39" s="21"/>
      <c r="RXJ39" s="21"/>
      <c r="RXK39" s="21"/>
      <c r="RXL39" s="21"/>
      <c r="RXM39" s="21"/>
      <c r="RXN39" s="21"/>
      <c r="RXO39" s="21"/>
      <c r="RXP39" s="21"/>
      <c r="RXQ39" s="21"/>
      <c r="RXR39" s="21"/>
      <c r="RXS39" s="21"/>
      <c r="RXT39" s="21"/>
      <c r="RXU39" s="21"/>
      <c r="RXV39" s="21"/>
      <c r="RXW39" s="21"/>
      <c r="RXX39" s="21"/>
      <c r="RXY39" s="21"/>
      <c r="RXZ39" s="21"/>
      <c r="RYA39" s="21"/>
      <c r="RYB39" s="21"/>
      <c r="RYC39" s="21"/>
      <c r="RYD39" s="21"/>
      <c r="RYE39" s="21"/>
      <c r="RYF39" s="21"/>
      <c r="RYG39" s="21"/>
      <c r="RYH39" s="21"/>
      <c r="RYI39" s="21"/>
      <c r="RYJ39" s="21"/>
      <c r="RYK39" s="21"/>
      <c r="RYL39" s="21"/>
      <c r="RYM39" s="21"/>
      <c r="RYN39" s="21"/>
      <c r="RYO39" s="21"/>
      <c r="RYP39" s="21"/>
      <c r="RYQ39" s="21"/>
      <c r="RYR39" s="21"/>
      <c r="RYS39" s="21"/>
      <c r="RYT39" s="21"/>
      <c r="RYU39" s="21"/>
      <c r="RYV39" s="21"/>
      <c r="RYW39" s="21"/>
      <c r="RYX39" s="21"/>
      <c r="RYY39" s="21"/>
      <c r="RYZ39" s="21"/>
      <c r="RZA39" s="21"/>
      <c r="RZB39" s="21"/>
      <c r="RZC39" s="21"/>
      <c r="RZD39" s="21"/>
      <c r="RZE39" s="21"/>
      <c r="RZF39" s="21"/>
      <c r="RZG39" s="21"/>
      <c r="RZH39" s="21"/>
      <c r="RZI39" s="21"/>
      <c r="RZJ39" s="21"/>
      <c r="RZK39" s="21"/>
      <c r="RZL39" s="21"/>
      <c r="RZM39" s="21"/>
      <c r="RZN39" s="21"/>
      <c r="RZO39" s="21"/>
      <c r="RZP39" s="21"/>
      <c r="RZQ39" s="21"/>
      <c r="RZR39" s="21"/>
      <c r="RZS39" s="21"/>
      <c r="RZT39" s="21"/>
      <c r="RZU39" s="21"/>
      <c r="RZV39" s="21"/>
      <c r="RZW39" s="21"/>
      <c r="RZX39" s="21"/>
      <c r="RZY39" s="21"/>
      <c r="RZZ39" s="21"/>
      <c r="SAA39" s="21"/>
      <c r="SAB39" s="21"/>
      <c r="SAC39" s="21"/>
      <c r="SAD39" s="21"/>
      <c r="SAE39" s="21"/>
      <c r="SAF39" s="21"/>
      <c r="SAG39" s="21"/>
      <c r="SAH39" s="21"/>
      <c r="SAI39" s="21"/>
      <c r="SAJ39" s="21"/>
      <c r="SAK39" s="21"/>
      <c r="SAL39" s="21"/>
      <c r="SAM39" s="21"/>
      <c r="SAN39" s="21"/>
      <c r="SAO39" s="21"/>
      <c r="SAP39" s="21"/>
      <c r="SAQ39" s="21"/>
      <c r="SAR39" s="21"/>
      <c r="SAS39" s="21"/>
      <c r="SAT39" s="21"/>
      <c r="SAU39" s="21"/>
      <c r="SAV39" s="21"/>
      <c r="SAW39" s="21"/>
      <c r="SAX39" s="21"/>
      <c r="SAY39" s="21"/>
      <c r="SAZ39" s="21"/>
      <c r="SBA39" s="21"/>
      <c r="SBB39" s="21"/>
      <c r="SBC39" s="21"/>
      <c r="SBD39" s="21"/>
      <c r="SBE39" s="21"/>
      <c r="SBF39" s="21"/>
      <c r="SBG39" s="21"/>
      <c r="SBH39" s="21"/>
      <c r="SBI39" s="21"/>
      <c r="SBJ39" s="21"/>
      <c r="SBK39" s="21"/>
      <c r="SBL39" s="21"/>
      <c r="SBM39" s="21"/>
      <c r="SBN39" s="21"/>
      <c r="SBO39" s="21"/>
      <c r="SBP39" s="21"/>
      <c r="SBQ39" s="21"/>
      <c r="SBR39" s="21"/>
      <c r="SBS39" s="21"/>
      <c r="SBT39" s="21"/>
      <c r="SBU39" s="21"/>
      <c r="SBV39" s="21"/>
      <c r="SBW39" s="21"/>
      <c r="SBX39" s="21"/>
      <c r="SBY39" s="21"/>
      <c r="SBZ39" s="21"/>
      <c r="SCA39" s="21"/>
      <c r="SCB39" s="21"/>
      <c r="SCC39" s="21"/>
      <c r="SCD39" s="21"/>
      <c r="SCE39" s="21"/>
      <c r="SCF39" s="21"/>
      <c r="SCG39" s="21"/>
      <c r="SCH39" s="21"/>
      <c r="SCI39" s="21"/>
      <c r="SCJ39" s="21"/>
      <c r="SCK39" s="21"/>
      <c r="SCL39" s="21"/>
      <c r="SCM39" s="21"/>
      <c r="SCN39" s="21"/>
      <c r="SCO39" s="21"/>
      <c r="SCP39" s="21"/>
      <c r="SCQ39" s="21"/>
      <c r="SCR39" s="21"/>
      <c r="SCS39" s="21"/>
      <c r="SCT39" s="21"/>
      <c r="SCU39" s="21"/>
      <c r="SCV39" s="21"/>
      <c r="SCW39" s="21"/>
      <c r="SCX39" s="21"/>
      <c r="SCY39" s="21"/>
      <c r="SCZ39" s="21"/>
      <c r="SDA39" s="21"/>
      <c r="SDB39" s="21"/>
      <c r="SDC39" s="21"/>
      <c r="SDD39" s="21"/>
      <c r="SDE39" s="21"/>
      <c r="SDF39" s="21"/>
      <c r="SDG39" s="21"/>
      <c r="SDH39" s="21"/>
      <c r="SDI39" s="21"/>
      <c r="SDJ39" s="21"/>
      <c r="SDK39" s="21"/>
      <c r="SDL39" s="21"/>
      <c r="SDM39" s="21"/>
      <c r="SDN39" s="21"/>
      <c r="SDO39" s="21"/>
      <c r="SDP39" s="21"/>
      <c r="SDQ39" s="21"/>
      <c r="SDR39" s="21"/>
      <c r="SDS39" s="21"/>
      <c r="SDT39" s="21"/>
      <c r="SDU39" s="21"/>
      <c r="SDV39" s="21"/>
      <c r="SDW39" s="21"/>
      <c r="SDX39" s="21"/>
      <c r="SDY39" s="21"/>
      <c r="SDZ39" s="21"/>
      <c r="SEA39" s="21"/>
      <c r="SEB39" s="21"/>
      <c r="SEC39" s="21"/>
      <c r="SED39" s="21"/>
      <c r="SEE39" s="21"/>
      <c r="SEF39" s="21"/>
      <c r="SEG39" s="21"/>
      <c r="SEH39" s="21"/>
      <c r="SEI39" s="21"/>
      <c r="SEJ39" s="21"/>
      <c r="SEK39" s="21"/>
      <c r="SEL39" s="21"/>
      <c r="SEM39" s="21"/>
      <c r="SEN39" s="21"/>
      <c r="SEO39" s="21"/>
      <c r="SEP39" s="21"/>
      <c r="SEQ39" s="21"/>
      <c r="SER39" s="21"/>
      <c r="SES39" s="21"/>
      <c r="SET39" s="21"/>
      <c r="SEU39" s="21"/>
      <c r="SEV39" s="21"/>
      <c r="SEW39" s="21"/>
      <c r="SEX39" s="21"/>
      <c r="SEY39" s="21"/>
      <c r="SEZ39" s="21"/>
      <c r="SFA39" s="21"/>
      <c r="SFB39" s="21"/>
      <c r="SFC39" s="21"/>
      <c r="SFD39" s="21"/>
      <c r="SFE39" s="21"/>
      <c r="SFF39" s="21"/>
      <c r="SFG39" s="21"/>
      <c r="SFH39" s="21"/>
      <c r="SFI39" s="21"/>
      <c r="SFJ39" s="21"/>
      <c r="SFK39" s="21"/>
      <c r="SFL39" s="21"/>
      <c r="SFM39" s="21"/>
      <c r="SFN39" s="21"/>
      <c r="SFO39" s="21"/>
      <c r="SFP39" s="21"/>
      <c r="SFQ39" s="21"/>
      <c r="SFR39" s="21"/>
      <c r="SFS39" s="21"/>
      <c r="SFT39" s="21"/>
      <c r="SFU39" s="21"/>
      <c r="SFV39" s="21"/>
      <c r="SFW39" s="21"/>
      <c r="SFX39" s="21"/>
      <c r="SFY39" s="21"/>
      <c r="SFZ39" s="21"/>
      <c r="SGA39" s="21"/>
      <c r="SGB39" s="21"/>
      <c r="SGC39" s="21"/>
      <c r="SGD39" s="21"/>
      <c r="SGE39" s="21"/>
      <c r="SGF39" s="21"/>
      <c r="SGG39" s="21"/>
      <c r="SGH39" s="21"/>
      <c r="SGI39" s="21"/>
      <c r="SGJ39" s="21"/>
      <c r="SGK39" s="21"/>
      <c r="SGL39" s="21"/>
      <c r="SGM39" s="21"/>
      <c r="SGN39" s="21"/>
      <c r="SGO39" s="21"/>
      <c r="SGP39" s="21"/>
      <c r="SGQ39" s="21"/>
      <c r="SGR39" s="21"/>
      <c r="SGS39" s="21"/>
      <c r="SGT39" s="21"/>
      <c r="SGU39" s="21"/>
      <c r="SGV39" s="21"/>
      <c r="SGW39" s="21"/>
      <c r="SGX39" s="21"/>
      <c r="SGY39" s="21"/>
      <c r="SGZ39" s="21"/>
      <c r="SHA39" s="21"/>
      <c r="SHB39" s="21"/>
      <c r="SHC39" s="21"/>
      <c r="SHD39" s="21"/>
      <c r="SHE39" s="21"/>
      <c r="SHF39" s="21"/>
      <c r="SHG39" s="21"/>
      <c r="SHH39" s="21"/>
      <c r="SHI39" s="21"/>
      <c r="SHJ39" s="21"/>
      <c r="SHK39" s="21"/>
      <c r="SHL39" s="21"/>
      <c r="SHM39" s="21"/>
      <c r="SHN39" s="21"/>
      <c r="SHO39" s="21"/>
      <c r="SHP39" s="21"/>
      <c r="SHQ39" s="21"/>
      <c r="SHR39" s="21"/>
      <c r="SHS39" s="21"/>
      <c r="SHT39" s="21"/>
      <c r="SHU39" s="21"/>
      <c r="SHV39" s="21"/>
      <c r="SHW39" s="21"/>
      <c r="SHX39" s="21"/>
      <c r="SHY39" s="21"/>
      <c r="SHZ39" s="21"/>
      <c r="SIA39" s="21"/>
      <c r="SIB39" s="21"/>
      <c r="SIC39" s="21"/>
      <c r="SID39" s="21"/>
      <c r="SIE39" s="21"/>
      <c r="SIF39" s="21"/>
      <c r="SIG39" s="21"/>
      <c r="SIH39" s="21"/>
      <c r="SII39" s="21"/>
      <c r="SIJ39" s="21"/>
      <c r="SIK39" s="21"/>
      <c r="SIL39" s="21"/>
      <c r="SIM39" s="21"/>
      <c r="SIN39" s="21"/>
      <c r="SIO39" s="21"/>
      <c r="SIP39" s="21"/>
      <c r="SIQ39" s="21"/>
      <c r="SIR39" s="21"/>
      <c r="SIS39" s="21"/>
      <c r="SIT39" s="21"/>
      <c r="SIU39" s="21"/>
      <c r="SIV39" s="21"/>
      <c r="SIW39" s="21"/>
      <c r="SIX39" s="21"/>
      <c r="SIY39" s="21"/>
      <c r="SIZ39" s="21"/>
      <c r="SJA39" s="21"/>
      <c r="SJB39" s="21"/>
      <c r="SJC39" s="21"/>
      <c r="SJD39" s="21"/>
      <c r="SJE39" s="21"/>
      <c r="SJF39" s="21"/>
      <c r="SJG39" s="21"/>
      <c r="SJH39" s="21"/>
      <c r="SJI39" s="21"/>
      <c r="SJJ39" s="21"/>
      <c r="SJK39" s="21"/>
      <c r="SJL39" s="21"/>
      <c r="SJM39" s="21"/>
      <c r="SJN39" s="21"/>
      <c r="SJO39" s="21"/>
      <c r="SJP39" s="21"/>
      <c r="SJQ39" s="21"/>
      <c r="SJR39" s="21"/>
      <c r="SJS39" s="21"/>
      <c r="SJT39" s="21"/>
      <c r="SJU39" s="21"/>
      <c r="SJV39" s="21"/>
      <c r="SJW39" s="21"/>
      <c r="SJX39" s="21"/>
      <c r="SJY39" s="21"/>
      <c r="SJZ39" s="21"/>
      <c r="SKA39" s="21"/>
      <c r="SKB39" s="21"/>
      <c r="SKC39" s="21"/>
      <c r="SKD39" s="21"/>
      <c r="SKE39" s="21"/>
      <c r="SKF39" s="21"/>
      <c r="SKG39" s="21"/>
      <c r="SKH39" s="21"/>
      <c r="SKI39" s="21"/>
      <c r="SKJ39" s="21"/>
      <c r="SKK39" s="21"/>
      <c r="SKL39" s="21"/>
      <c r="SKM39" s="21"/>
      <c r="SKN39" s="21"/>
      <c r="SKO39" s="21"/>
      <c r="SKP39" s="21"/>
      <c r="SKQ39" s="21"/>
      <c r="SKR39" s="21"/>
      <c r="SKS39" s="21"/>
      <c r="SKT39" s="21"/>
      <c r="SKU39" s="21"/>
      <c r="SKV39" s="21"/>
      <c r="SKW39" s="21"/>
      <c r="SKX39" s="21"/>
      <c r="SKY39" s="21"/>
      <c r="SKZ39" s="21"/>
      <c r="SLA39" s="21"/>
      <c r="SLB39" s="21"/>
      <c r="SLC39" s="21"/>
      <c r="SLD39" s="21"/>
      <c r="SLE39" s="21"/>
      <c r="SLF39" s="21"/>
      <c r="SLG39" s="21"/>
      <c r="SLH39" s="21"/>
      <c r="SLI39" s="21"/>
      <c r="SLJ39" s="21"/>
      <c r="SLK39" s="21"/>
      <c r="SLL39" s="21"/>
      <c r="SLM39" s="21"/>
      <c r="SLN39" s="21"/>
      <c r="SLO39" s="21"/>
      <c r="SLP39" s="21"/>
      <c r="SLQ39" s="21"/>
      <c r="SLR39" s="21"/>
      <c r="SLS39" s="21"/>
      <c r="SLT39" s="21"/>
      <c r="SLU39" s="21"/>
      <c r="SLV39" s="21"/>
      <c r="SLW39" s="21"/>
      <c r="SLX39" s="21"/>
      <c r="SLY39" s="21"/>
      <c r="SLZ39" s="21"/>
      <c r="SMA39" s="21"/>
      <c r="SMB39" s="21"/>
      <c r="SMC39" s="21"/>
      <c r="SMD39" s="21"/>
      <c r="SME39" s="21"/>
      <c r="SMF39" s="21"/>
      <c r="SMG39" s="21"/>
      <c r="SMH39" s="21"/>
      <c r="SMI39" s="21"/>
      <c r="SMJ39" s="21"/>
      <c r="SMK39" s="21"/>
      <c r="SML39" s="21"/>
      <c r="SMM39" s="21"/>
      <c r="SMN39" s="21"/>
      <c r="SMO39" s="21"/>
      <c r="SMP39" s="21"/>
      <c r="SMQ39" s="21"/>
      <c r="SMR39" s="21"/>
      <c r="SMS39" s="21"/>
      <c r="SMT39" s="21"/>
      <c r="SMU39" s="21"/>
      <c r="SMV39" s="21"/>
      <c r="SMW39" s="21"/>
      <c r="SMX39" s="21"/>
      <c r="SMY39" s="21"/>
      <c r="SMZ39" s="21"/>
      <c r="SNA39" s="21"/>
      <c r="SNB39" s="21"/>
      <c r="SNC39" s="21"/>
      <c r="SND39" s="21"/>
      <c r="SNE39" s="21"/>
      <c r="SNF39" s="21"/>
      <c r="SNG39" s="21"/>
      <c r="SNH39" s="21"/>
      <c r="SNI39" s="21"/>
      <c r="SNJ39" s="21"/>
      <c r="SNK39" s="21"/>
      <c r="SNL39" s="21"/>
      <c r="SNM39" s="21"/>
      <c r="SNN39" s="21"/>
      <c r="SNO39" s="21"/>
      <c r="SNP39" s="21"/>
      <c r="SNQ39" s="21"/>
      <c r="SNR39" s="21"/>
      <c r="SNS39" s="21"/>
      <c r="SNT39" s="21"/>
      <c r="SNU39" s="21"/>
      <c r="SNV39" s="21"/>
      <c r="SNW39" s="21"/>
      <c r="SNX39" s="21"/>
      <c r="SNY39" s="21"/>
      <c r="SNZ39" s="21"/>
      <c r="SOA39" s="21"/>
      <c r="SOB39" s="21"/>
      <c r="SOC39" s="21"/>
      <c r="SOD39" s="21"/>
      <c r="SOE39" s="21"/>
      <c r="SOF39" s="21"/>
      <c r="SOG39" s="21"/>
      <c r="SOH39" s="21"/>
      <c r="SOI39" s="21"/>
      <c r="SOJ39" s="21"/>
      <c r="SOK39" s="21"/>
      <c r="SOL39" s="21"/>
      <c r="SOM39" s="21"/>
      <c r="SON39" s="21"/>
      <c r="SOO39" s="21"/>
      <c r="SOP39" s="21"/>
      <c r="SOQ39" s="21"/>
      <c r="SOR39" s="21"/>
      <c r="SOS39" s="21"/>
      <c r="SOT39" s="21"/>
      <c r="SOU39" s="21"/>
      <c r="SOV39" s="21"/>
      <c r="SOW39" s="21"/>
      <c r="SOX39" s="21"/>
      <c r="SOY39" s="21"/>
      <c r="SOZ39" s="21"/>
      <c r="SPA39" s="21"/>
      <c r="SPB39" s="21"/>
      <c r="SPC39" s="21"/>
      <c r="SPD39" s="21"/>
      <c r="SPE39" s="21"/>
      <c r="SPF39" s="21"/>
      <c r="SPG39" s="21"/>
      <c r="SPH39" s="21"/>
      <c r="SPI39" s="21"/>
      <c r="SPJ39" s="21"/>
      <c r="SPK39" s="21"/>
      <c r="SPL39" s="21"/>
      <c r="SPM39" s="21"/>
      <c r="SPN39" s="21"/>
      <c r="SPO39" s="21"/>
      <c r="SPP39" s="21"/>
      <c r="SPQ39" s="21"/>
      <c r="SPR39" s="21"/>
      <c r="SPS39" s="21"/>
      <c r="SPT39" s="21"/>
      <c r="SPU39" s="21"/>
      <c r="SPV39" s="21"/>
      <c r="SPW39" s="21"/>
      <c r="SPX39" s="21"/>
      <c r="SPY39" s="21"/>
      <c r="SPZ39" s="21"/>
      <c r="SQA39" s="21"/>
      <c r="SQB39" s="21"/>
      <c r="SQC39" s="21"/>
      <c r="SQD39" s="21"/>
      <c r="SQE39" s="21"/>
      <c r="SQF39" s="21"/>
      <c r="SQG39" s="21"/>
      <c r="SQH39" s="21"/>
      <c r="SQI39" s="21"/>
      <c r="SQJ39" s="21"/>
      <c r="SQK39" s="21"/>
      <c r="SQL39" s="21"/>
      <c r="SQM39" s="21"/>
      <c r="SQN39" s="21"/>
      <c r="SQO39" s="21"/>
      <c r="SQP39" s="21"/>
      <c r="SQQ39" s="21"/>
      <c r="SQR39" s="21"/>
      <c r="SQS39" s="21"/>
      <c r="SQT39" s="21"/>
      <c r="SQU39" s="21"/>
      <c r="SQV39" s="21"/>
      <c r="SQW39" s="21"/>
      <c r="SQX39" s="21"/>
      <c r="SQY39" s="21"/>
      <c r="SQZ39" s="21"/>
      <c r="SRA39" s="21"/>
      <c r="SRB39" s="21"/>
      <c r="SRC39" s="21"/>
      <c r="SRD39" s="21"/>
      <c r="SRE39" s="21"/>
      <c r="SRF39" s="21"/>
      <c r="SRG39" s="21"/>
      <c r="SRH39" s="21"/>
      <c r="SRI39" s="21"/>
      <c r="SRJ39" s="21"/>
      <c r="SRK39" s="21"/>
      <c r="SRL39" s="21"/>
      <c r="SRM39" s="21"/>
      <c r="SRN39" s="21"/>
      <c r="SRO39" s="21"/>
      <c r="SRP39" s="21"/>
      <c r="SRQ39" s="21"/>
      <c r="SRR39" s="21"/>
      <c r="SRS39" s="21"/>
      <c r="SRT39" s="21"/>
      <c r="SRU39" s="21"/>
      <c r="SRV39" s="21"/>
      <c r="SRW39" s="21"/>
      <c r="SRX39" s="21"/>
      <c r="SRY39" s="21"/>
      <c r="SRZ39" s="21"/>
      <c r="SSA39" s="21"/>
      <c r="SSB39" s="21"/>
      <c r="SSC39" s="21"/>
      <c r="SSD39" s="21"/>
      <c r="SSE39" s="21"/>
      <c r="SSF39" s="21"/>
      <c r="SSG39" s="21"/>
      <c r="SSH39" s="21"/>
      <c r="SSI39" s="21"/>
      <c r="SSJ39" s="21"/>
      <c r="SSK39" s="21"/>
      <c r="SSL39" s="21"/>
      <c r="SSM39" s="21"/>
      <c r="SSN39" s="21"/>
      <c r="SSO39" s="21"/>
      <c r="SSP39" s="21"/>
      <c r="SSQ39" s="21"/>
      <c r="SSR39" s="21"/>
      <c r="SSS39" s="21"/>
      <c r="SST39" s="21"/>
      <c r="SSU39" s="21"/>
      <c r="SSV39" s="21"/>
      <c r="SSW39" s="21"/>
      <c r="SSX39" s="21"/>
      <c r="SSY39" s="21"/>
      <c r="SSZ39" s="21"/>
      <c r="STA39" s="21"/>
      <c r="STB39" s="21"/>
      <c r="STC39" s="21"/>
      <c r="STD39" s="21"/>
      <c r="STE39" s="21"/>
      <c r="STF39" s="21"/>
      <c r="STG39" s="21"/>
      <c r="STH39" s="21"/>
      <c r="STI39" s="21"/>
      <c r="STJ39" s="21"/>
      <c r="STK39" s="21"/>
      <c r="STL39" s="21"/>
      <c r="STM39" s="21"/>
      <c r="STN39" s="21"/>
      <c r="STO39" s="21"/>
      <c r="STP39" s="21"/>
      <c r="STQ39" s="21"/>
      <c r="STR39" s="21"/>
      <c r="STS39" s="21"/>
      <c r="STT39" s="21"/>
      <c r="STU39" s="21"/>
      <c r="STV39" s="21"/>
      <c r="STW39" s="21"/>
      <c r="STX39" s="21"/>
      <c r="STY39" s="21"/>
      <c r="STZ39" s="21"/>
      <c r="SUA39" s="21"/>
      <c r="SUB39" s="21"/>
      <c r="SUC39" s="21"/>
      <c r="SUD39" s="21"/>
      <c r="SUE39" s="21"/>
      <c r="SUF39" s="21"/>
      <c r="SUG39" s="21"/>
      <c r="SUH39" s="21"/>
      <c r="SUI39" s="21"/>
      <c r="SUJ39" s="21"/>
      <c r="SUK39" s="21"/>
      <c r="SUL39" s="21"/>
      <c r="SUM39" s="21"/>
      <c r="SUN39" s="21"/>
      <c r="SUO39" s="21"/>
      <c r="SUP39" s="21"/>
      <c r="SUQ39" s="21"/>
      <c r="SUR39" s="21"/>
      <c r="SUS39" s="21"/>
      <c r="SUT39" s="21"/>
      <c r="SUU39" s="21"/>
      <c r="SUV39" s="21"/>
      <c r="SUW39" s="21"/>
      <c r="SUX39" s="21"/>
      <c r="SUY39" s="21"/>
      <c r="SUZ39" s="21"/>
      <c r="SVA39" s="21"/>
      <c r="SVB39" s="21"/>
      <c r="SVC39" s="21"/>
      <c r="SVD39" s="21"/>
      <c r="SVE39" s="21"/>
      <c r="SVF39" s="21"/>
      <c r="SVG39" s="21"/>
      <c r="SVH39" s="21"/>
      <c r="SVI39" s="21"/>
      <c r="SVJ39" s="21"/>
      <c r="SVK39" s="21"/>
      <c r="SVL39" s="21"/>
      <c r="SVM39" s="21"/>
      <c r="SVN39" s="21"/>
      <c r="SVO39" s="21"/>
      <c r="SVP39" s="21"/>
      <c r="SVQ39" s="21"/>
      <c r="SVR39" s="21"/>
      <c r="SVS39" s="21"/>
      <c r="SVT39" s="21"/>
      <c r="SVU39" s="21"/>
      <c r="SVV39" s="21"/>
      <c r="SVW39" s="21"/>
      <c r="SVX39" s="21"/>
      <c r="SVY39" s="21"/>
      <c r="SVZ39" s="21"/>
      <c r="SWA39" s="21"/>
      <c r="SWB39" s="21"/>
      <c r="SWC39" s="21"/>
      <c r="SWD39" s="21"/>
      <c r="SWE39" s="21"/>
      <c r="SWF39" s="21"/>
      <c r="SWG39" s="21"/>
      <c r="SWH39" s="21"/>
      <c r="SWI39" s="21"/>
      <c r="SWJ39" s="21"/>
      <c r="SWK39" s="21"/>
      <c r="SWL39" s="21"/>
      <c r="SWM39" s="21"/>
      <c r="SWN39" s="21"/>
      <c r="SWO39" s="21"/>
      <c r="SWP39" s="21"/>
      <c r="SWQ39" s="21"/>
      <c r="SWR39" s="21"/>
      <c r="SWS39" s="21"/>
      <c r="SWT39" s="21"/>
      <c r="SWU39" s="21"/>
      <c r="SWV39" s="21"/>
      <c r="SWW39" s="21"/>
      <c r="SWX39" s="21"/>
      <c r="SWY39" s="21"/>
      <c r="SWZ39" s="21"/>
      <c r="SXA39" s="21"/>
      <c r="SXB39" s="21"/>
      <c r="SXC39" s="21"/>
      <c r="SXD39" s="21"/>
      <c r="SXE39" s="21"/>
      <c r="SXF39" s="21"/>
      <c r="SXG39" s="21"/>
      <c r="SXH39" s="21"/>
      <c r="SXI39" s="21"/>
      <c r="SXJ39" s="21"/>
      <c r="SXK39" s="21"/>
      <c r="SXL39" s="21"/>
      <c r="SXM39" s="21"/>
      <c r="SXN39" s="21"/>
      <c r="SXO39" s="21"/>
      <c r="SXP39" s="21"/>
      <c r="SXQ39" s="21"/>
      <c r="SXR39" s="21"/>
      <c r="SXS39" s="21"/>
      <c r="SXT39" s="21"/>
      <c r="SXU39" s="21"/>
      <c r="SXV39" s="21"/>
      <c r="SXW39" s="21"/>
      <c r="SXX39" s="21"/>
      <c r="SXY39" s="21"/>
      <c r="SXZ39" s="21"/>
      <c r="SYA39" s="21"/>
      <c r="SYB39" s="21"/>
      <c r="SYC39" s="21"/>
      <c r="SYD39" s="21"/>
      <c r="SYE39" s="21"/>
      <c r="SYF39" s="21"/>
      <c r="SYG39" s="21"/>
      <c r="SYH39" s="21"/>
      <c r="SYI39" s="21"/>
      <c r="SYJ39" s="21"/>
      <c r="SYK39" s="21"/>
      <c r="SYL39" s="21"/>
      <c r="SYM39" s="21"/>
      <c r="SYN39" s="21"/>
      <c r="SYO39" s="21"/>
      <c r="SYP39" s="21"/>
      <c r="SYQ39" s="21"/>
      <c r="SYR39" s="21"/>
      <c r="SYS39" s="21"/>
      <c r="SYT39" s="21"/>
      <c r="SYU39" s="21"/>
      <c r="SYV39" s="21"/>
      <c r="SYW39" s="21"/>
      <c r="SYX39" s="21"/>
      <c r="SYY39" s="21"/>
      <c r="SYZ39" s="21"/>
      <c r="SZA39" s="21"/>
      <c r="SZB39" s="21"/>
      <c r="SZC39" s="21"/>
      <c r="SZD39" s="21"/>
      <c r="SZE39" s="21"/>
      <c r="SZF39" s="21"/>
      <c r="SZG39" s="21"/>
      <c r="SZH39" s="21"/>
      <c r="SZI39" s="21"/>
      <c r="SZJ39" s="21"/>
      <c r="SZK39" s="21"/>
      <c r="SZL39" s="21"/>
      <c r="SZM39" s="21"/>
      <c r="SZN39" s="21"/>
      <c r="SZO39" s="21"/>
      <c r="SZP39" s="21"/>
      <c r="SZQ39" s="21"/>
      <c r="SZR39" s="21"/>
      <c r="SZS39" s="21"/>
      <c r="SZT39" s="21"/>
      <c r="SZU39" s="21"/>
      <c r="SZV39" s="21"/>
      <c r="SZW39" s="21"/>
      <c r="SZX39" s="21"/>
      <c r="SZY39" s="21"/>
      <c r="SZZ39" s="21"/>
      <c r="TAA39" s="21"/>
      <c r="TAB39" s="21"/>
      <c r="TAC39" s="21"/>
      <c r="TAD39" s="21"/>
      <c r="TAE39" s="21"/>
      <c r="TAF39" s="21"/>
      <c r="TAG39" s="21"/>
      <c r="TAH39" s="21"/>
      <c r="TAI39" s="21"/>
      <c r="TAJ39" s="21"/>
      <c r="TAK39" s="21"/>
      <c r="TAL39" s="21"/>
      <c r="TAM39" s="21"/>
      <c r="TAN39" s="21"/>
      <c r="TAO39" s="21"/>
      <c r="TAP39" s="21"/>
      <c r="TAQ39" s="21"/>
      <c r="TAR39" s="21"/>
      <c r="TAS39" s="21"/>
      <c r="TAT39" s="21"/>
      <c r="TAU39" s="21"/>
      <c r="TAV39" s="21"/>
      <c r="TAW39" s="21"/>
      <c r="TAX39" s="21"/>
      <c r="TAY39" s="21"/>
      <c r="TAZ39" s="21"/>
      <c r="TBA39" s="21"/>
      <c r="TBB39" s="21"/>
      <c r="TBC39" s="21"/>
      <c r="TBD39" s="21"/>
      <c r="TBE39" s="21"/>
      <c r="TBF39" s="21"/>
      <c r="TBG39" s="21"/>
      <c r="TBH39" s="21"/>
      <c r="TBI39" s="21"/>
      <c r="TBJ39" s="21"/>
      <c r="TBK39" s="21"/>
      <c r="TBL39" s="21"/>
      <c r="TBM39" s="21"/>
      <c r="TBN39" s="21"/>
      <c r="TBO39" s="21"/>
      <c r="TBP39" s="21"/>
      <c r="TBQ39" s="21"/>
      <c r="TBR39" s="21"/>
      <c r="TBS39" s="21"/>
      <c r="TBT39" s="21"/>
      <c r="TBU39" s="21"/>
      <c r="TBV39" s="21"/>
      <c r="TBW39" s="21"/>
      <c r="TBX39" s="21"/>
      <c r="TBY39" s="21"/>
      <c r="TBZ39" s="21"/>
      <c r="TCA39" s="21"/>
      <c r="TCB39" s="21"/>
      <c r="TCC39" s="21"/>
      <c r="TCD39" s="21"/>
      <c r="TCE39" s="21"/>
      <c r="TCF39" s="21"/>
      <c r="TCG39" s="21"/>
      <c r="TCH39" s="21"/>
      <c r="TCI39" s="21"/>
      <c r="TCJ39" s="21"/>
      <c r="TCK39" s="21"/>
      <c r="TCL39" s="21"/>
      <c r="TCM39" s="21"/>
      <c r="TCN39" s="21"/>
      <c r="TCO39" s="21"/>
      <c r="TCP39" s="21"/>
      <c r="TCQ39" s="21"/>
      <c r="TCR39" s="21"/>
      <c r="TCS39" s="21"/>
      <c r="TCT39" s="21"/>
      <c r="TCU39" s="21"/>
      <c r="TCV39" s="21"/>
      <c r="TCW39" s="21"/>
      <c r="TCX39" s="21"/>
      <c r="TCY39" s="21"/>
      <c r="TCZ39" s="21"/>
      <c r="TDA39" s="21"/>
      <c r="TDB39" s="21"/>
      <c r="TDC39" s="21"/>
      <c r="TDD39" s="21"/>
      <c r="TDE39" s="21"/>
      <c r="TDF39" s="21"/>
      <c r="TDG39" s="21"/>
      <c r="TDH39" s="21"/>
      <c r="TDI39" s="21"/>
      <c r="TDJ39" s="21"/>
      <c r="TDK39" s="21"/>
      <c r="TDL39" s="21"/>
      <c r="TDM39" s="21"/>
      <c r="TDN39" s="21"/>
      <c r="TDO39" s="21"/>
      <c r="TDP39" s="21"/>
      <c r="TDQ39" s="21"/>
      <c r="TDR39" s="21"/>
      <c r="TDS39" s="21"/>
      <c r="TDT39" s="21"/>
      <c r="TDU39" s="21"/>
      <c r="TDV39" s="21"/>
      <c r="TDW39" s="21"/>
      <c r="TDX39" s="21"/>
      <c r="TDY39" s="21"/>
      <c r="TDZ39" s="21"/>
      <c r="TEA39" s="21"/>
      <c r="TEB39" s="21"/>
      <c r="TEC39" s="21"/>
      <c r="TED39" s="21"/>
      <c r="TEE39" s="21"/>
      <c r="TEF39" s="21"/>
      <c r="TEG39" s="21"/>
      <c r="TEH39" s="21"/>
      <c r="TEI39" s="21"/>
      <c r="TEJ39" s="21"/>
      <c r="TEK39" s="21"/>
      <c r="TEL39" s="21"/>
      <c r="TEM39" s="21"/>
      <c r="TEN39" s="21"/>
      <c r="TEO39" s="21"/>
      <c r="TEP39" s="21"/>
      <c r="TEQ39" s="21"/>
      <c r="TER39" s="21"/>
      <c r="TES39" s="21"/>
      <c r="TET39" s="21"/>
      <c r="TEU39" s="21"/>
      <c r="TEV39" s="21"/>
      <c r="TEW39" s="21"/>
      <c r="TEX39" s="21"/>
      <c r="TEY39" s="21"/>
      <c r="TEZ39" s="21"/>
      <c r="TFA39" s="21"/>
      <c r="TFB39" s="21"/>
      <c r="TFC39" s="21"/>
      <c r="TFD39" s="21"/>
      <c r="TFE39" s="21"/>
      <c r="TFF39" s="21"/>
      <c r="TFG39" s="21"/>
      <c r="TFH39" s="21"/>
      <c r="TFI39" s="21"/>
      <c r="TFJ39" s="21"/>
      <c r="TFK39" s="21"/>
      <c r="TFL39" s="21"/>
      <c r="TFM39" s="21"/>
      <c r="TFN39" s="21"/>
      <c r="TFO39" s="21"/>
      <c r="TFP39" s="21"/>
      <c r="TFQ39" s="21"/>
      <c r="TFR39" s="21"/>
      <c r="TFS39" s="21"/>
      <c r="TFT39" s="21"/>
      <c r="TFU39" s="21"/>
      <c r="TFV39" s="21"/>
      <c r="TFW39" s="21"/>
      <c r="TFX39" s="21"/>
      <c r="TFY39" s="21"/>
      <c r="TFZ39" s="21"/>
      <c r="TGA39" s="21"/>
      <c r="TGB39" s="21"/>
      <c r="TGC39" s="21"/>
      <c r="TGD39" s="21"/>
      <c r="TGE39" s="21"/>
      <c r="TGF39" s="21"/>
      <c r="TGG39" s="21"/>
      <c r="TGH39" s="21"/>
      <c r="TGI39" s="21"/>
      <c r="TGJ39" s="21"/>
      <c r="TGK39" s="21"/>
      <c r="TGL39" s="21"/>
      <c r="TGM39" s="21"/>
      <c r="TGN39" s="21"/>
      <c r="TGO39" s="21"/>
      <c r="TGP39" s="21"/>
      <c r="TGQ39" s="21"/>
      <c r="TGR39" s="21"/>
      <c r="TGS39" s="21"/>
      <c r="TGT39" s="21"/>
      <c r="TGU39" s="21"/>
      <c r="TGV39" s="21"/>
      <c r="TGW39" s="21"/>
      <c r="TGX39" s="21"/>
      <c r="TGY39" s="21"/>
      <c r="TGZ39" s="21"/>
      <c r="THA39" s="21"/>
      <c r="THB39" s="21"/>
      <c r="THC39" s="21"/>
      <c r="THD39" s="21"/>
      <c r="THE39" s="21"/>
      <c r="THF39" s="21"/>
      <c r="THG39" s="21"/>
      <c r="THH39" s="21"/>
      <c r="THI39" s="21"/>
      <c r="THJ39" s="21"/>
      <c r="THK39" s="21"/>
      <c r="THL39" s="21"/>
      <c r="THM39" s="21"/>
      <c r="THN39" s="21"/>
      <c r="THO39" s="21"/>
      <c r="THP39" s="21"/>
      <c r="THQ39" s="21"/>
      <c r="THR39" s="21"/>
      <c r="THS39" s="21"/>
      <c r="THT39" s="21"/>
      <c r="THU39" s="21"/>
      <c r="THV39" s="21"/>
      <c r="THW39" s="21"/>
      <c r="THX39" s="21"/>
      <c r="THY39" s="21"/>
      <c r="THZ39" s="21"/>
      <c r="TIA39" s="21"/>
      <c r="TIB39" s="21"/>
      <c r="TIC39" s="21"/>
      <c r="TID39" s="21"/>
      <c r="TIE39" s="21"/>
      <c r="TIF39" s="21"/>
      <c r="TIG39" s="21"/>
      <c r="TIH39" s="21"/>
      <c r="TII39" s="21"/>
      <c r="TIJ39" s="21"/>
      <c r="TIK39" s="21"/>
      <c r="TIL39" s="21"/>
      <c r="TIM39" s="21"/>
      <c r="TIN39" s="21"/>
      <c r="TIO39" s="21"/>
      <c r="TIP39" s="21"/>
      <c r="TIQ39" s="21"/>
      <c r="TIR39" s="21"/>
      <c r="TIS39" s="21"/>
      <c r="TIT39" s="21"/>
      <c r="TIU39" s="21"/>
      <c r="TIV39" s="21"/>
      <c r="TIW39" s="21"/>
      <c r="TIX39" s="21"/>
      <c r="TIY39" s="21"/>
      <c r="TIZ39" s="21"/>
      <c r="TJA39" s="21"/>
      <c r="TJB39" s="21"/>
      <c r="TJC39" s="21"/>
      <c r="TJD39" s="21"/>
      <c r="TJE39" s="21"/>
      <c r="TJF39" s="21"/>
      <c r="TJG39" s="21"/>
      <c r="TJH39" s="21"/>
      <c r="TJI39" s="21"/>
      <c r="TJJ39" s="21"/>
      <c r="TJK39" s="21"/>
      <c r="TJL39" s="21"/>
      <c r="TJM39" s="21"/>
      <c r="TJN39" s="21"/>
      <c r="TJO39" s="21"/>
      <c r="TJP39" s="21"/>
      <c r="TJQ39" s="21"/>
      <c r="TJR39" s="21"/>
      <c r="TJS39" s="21"/>
      <c r="TJT39" s="21"/>
      <c r="TJU39" s="21"/>
      <c r="TJV39" s="21"/>
      <c r="TJW39" s="21"/>
      <c r="TJX39" s="21"/>
      <c r="TJY39" s="21"/>
      <c r="TJZ39" s="21"/>
      <c r="TKA39" s="21"/>
      <c r="TKB39" s="21"/>
      <c r="TKC39" s="21"/>
      <c r="TKD39" s="21"/>
      <c r="TKE39" s="21"/>
      <c r="TKF39" s="21"/>
      <c r="TKG39" s="21"/>
      <c r="TKH39" s="21"/>
      <c r="TKI39" s="21"/>
      <c r="TKJ39" s="21"/>
      <c r="TKK39" s="21"/>
      <c r="TKL39" s="21"/>
      <c r="TKM39" s="21"/>
      <c r="TKN39" s="21"/>
      <c r="TKO39" s="21"/>
      <c r="TKP39" s="21"/>
      <c r="TKQ39" s="21"/>
      <c r="TKR39" s="21"/>
      <c r="TKS39" s="21"/>
      <c r="TKT39" s="21"/>
      <c r="TKU39" s="21"/>
      <c r="TKV39" s="21"/>
      <c r="TKW39" s="21"/>
      <c r="TKX39" s="21"/>
      <c r="TKY39" s="21"/>
      <c r="TKZ39" s="21"/>
      <c r="TLA39" s="21"/>
      <c r="TLB39" s="21"/>
      <c r="TLC39" s="21"/>
      <c r="TLD39" s="21"/>
      <c r="TLE39" s="21"/>
      <c r="TLF39" s="21"/>
      <c r="TLG39" s="21"/>
      <c r="TLH39" s="21"/>
      <c r="TLI39" s="21"/>
      <c r="TLJ39" s="21"/>
      <c r="TLK39" s="21"/>
      <c r="TLL39" s="21"/>
      <c r="TLM39" s="21"/>
      <c r="TLN39" s="21"/>
      <c r="TLO39" s="21"/>
      <c r="TLP39" s="21"/>
      <c r="TLQ39" s="21"/>
      <c r="TLR39" s="21"/>
      <c r="TLS39" s="21"/>
      <c r="TLT39" s="21"/>
      <c r="TLU39" s="21"/>
      <c r="TLV39" s="21"/>
      <c r="TLW39" s="21"/>
      <c r="TLX39" s="21"/>
      <c r="TLY39" s="21"/>
      <c r="TLZ39" s="21"/>
      <c r="TMA39" s="21"/>
      <c r="TMB39" s="21"/>
      <c r="TMC39" s="21"/>
      <c r="TMD39" s="21"/>
      <c r="TME39" s="21"/>
      <c r="TMF39" s="21"/>
      <c r="TMG39" s="21"/>
      <c r="TMH39" s="21"/>
      <c r="TMI39" s="21"/>
      <c r="TMJ39" s="21"/>
      <c r="TMK39" s="21"/>
      <c r="TML39" s="21"/>
      <c r="TMM39" s="21"/>
      <c r="TMN39" s="21"/>
      <c r="TMO39" s="21"/>
      <c r="TMP39" s="21"/>
      <c r="TMQ39" s="21"/>
      <c r="TMR39" s="21"/>
      <c r="TMS39" s="21"/>
      <c r="TMT39" s="21"/>
      <c r="TMU39" s="21"/>
      <c r="TMV39" s="21"/>
      <c r="TMW39" s="21"/>
      <c r="TMX39" s="21"/>
      <c r="TMY39" s="21"/>
      <c r="TMZ39" s="21"/>
      <c r="TNA39" s="21"/>
      <c r="TNB39" s="21"/>
      <c r="TNC39" s="21"/>
      <c r="TND39" s="21"/>
      <c r="TNE39" s="21"/>
      <c r="TNF39" s="21"/>
      <c r="TNG39" s="21"/>
      <c r="TNH39" s="21"/>
      <c r="TNI39" s="21"/>
      <c r="TNJ39" s="21"/>
      <c r="TNK39" s="21"/>
      <c r="TNL39" s="21"/>
      <c r="TNM39" s="21"/>
      <c r="TNN39" s="21"/>
      <c r="TNO39" s="21"/>
      <c r="TNP39" s="21"/>
      <c r="TNQ39" s="21"/>
      <c r="TNR39" s="21"/>
      <c r="TNS39" s="21"/>
      <c r="TNT39" s="21"/>
      <c r="TNU39" s="21"/>
      <c r="TNV39" s="21"/>
      <c r="TNW39" s="21"/>
      <c r="TNX39" s="21"/>
      <c r="TNY39" s="21"/>
      <c r="TNZ39" s="21"/>
      <c r="TOA39" s="21"/>
      <c r="TOB39" s="21"/>
      <c r="TOC39" s="21"/>
      <c r="TOD39" s="21"/>
      <c r="TOE39" s="21"/>
      <c r="TOF39" s="21"/>
      <c r="TOG39" s="21"/>
      <c r="TOH39" s="21"/>
      <c r="TOI39" s="21"/>
      <c r="TOJ39" s="21"/>
      <c r="TOK39" s="21"/>
      <c r="TOL39" s="21"/>
      <c r="TOM39" s="21"/>
      <c r="TON39" s="21"/>
      <c r="TOO39" s="21"/>
      <c r="TOP39" s="21"/>
      <c r="TOQ39" s="21"/>
      <c r="TOR39" s="21"/>
      <c r="TOS39" s="21"/>
      <c r="TOT39" s="21"/>
      <c r="TOU39" s="21"/>
      <c r="TOV39" s="21"/>
      <c r="TOW39" s="21"/>
      <c r="TOX39" s="21"/>
      <c r="TOY39" s="21"/>
      <c r="TOZ39" s="21"/>
      <c r="TPA39" s="21"/>
      <c r="TPB39" s="21"/>
      <c r="TPC39" s="21"/>
      <c r="TPD39" s="21"/>
      <c r="TPE39" s="21"/>
      <c r="TPF39" s="21"/>
      <c r="TPG39" s="21"/>
      <c r="TPH39" s="21"/>
      <c r="TPI39" s="21"/>
      <c r="TPJ39" s="21"/>
      <c r="TPK39" s="21"/>
      <c r="TPL39" s="21"/>
      <c r="TPM39" s="21"/>
      <c r="TPN39" s="21"/>
      <c r="TPO39" s="21"/>
      <c r="TPP39" s="21"/>
      <c r="TPQ39" s="21"/>
      <c r="TPR39" s="21"/>
      <c r="TPS39" s="21"/>
      <c r="TPT39" s="21"/>
      <c r="TPU39" s="21"/>
      <c r="TPV39" s="21"/>
      <c r="TPW39" s="21"/>
      <c r="TPX39" s="21"/>
      <c r="TPY39" s="21"/>
      <c r="TPZ39" s="21"/>
      <c r="TQA39" s="21"/>
      <c r="TQB39" s="21"/>
      <c r="TQC39" s="21"/>
      <c r="TQD39" s="21"/>
      <c r="TQE39" s="21"/>
      <c r="TQF39" s="21"/>
      <c r="TQG39" s="21"/>
      <c r="TQH39" s="21"/>
      <c r="TQI39" s="21"/>
      <c r="TQJ39" s="21"/>
      <c r="TQK39" s="21"/>
      <c r="TQL39" s="21"/>
      <c r="TQM39" s="21"/>
      <c r="TQN39" s="21"/>
      <c r="TQO39" s="21"/>
      <c r="TQP39" s="21"/>
      <c r="TQQ39" s="21"/>
      <c r="TQR39" s="21"/>
      <c r="TQS39" s="21"/>
      <c r="TQT39" s="21"/>
      <c r="TQU39" s="21"/>
      <c r="TQV39" s="21"/>
      <c r="TQW39" s="21"/>
      <c r="TQX39" s="21"/>
      <c r="TQY39" s="21"/>
      <c r="TQZ39" s="21"/>
      <c r="TRA39" s="21"/>
      <c r="TRB39" s="21"/>
      <c r="TRC39" s="21"/>
      <c r="TRD39" s="21"/>
      <c r="TRE39" s="21"/>
      <c r="TRF39" s="21"/>
      <c r="TRG39" s="21"/>
      <c r="TRH39" s="21"/>
      <c r="TRI39" s="21"/>
      <c r="TRJ39" s="21"/>
      <c r="TRK39" s="21"/>
      <c r="TRL39" s="21"/>
      <c r="TRM39" s="21"/>
      <c r="TRN39" s="21"/>
      <c r="TRO39" s="21"/>
      <c r="TRP39" s="21"/>
      <c r="TRQ39" s="21"/>
      <c r="TRR39" s="21"/>
      <c r="TRS39" s="21"/>
      <c r="TRT39" s="21"/>
      <c r="TRU39" s="21"/>
      <c r="TRV39" s="21"/>
      <c r="TRW39" s="21"/>
      <c r="TRX39" s="21"/>
      <c r="TRY39" s="21"/>
      <c r="TRZ39" s="21"/>
      <c r="TSA39" s="21"/>
      <c r="TSB39" s="21"/>
      <c r="TSC39" s="21"/>
      <c r="TSD39" s="21"/>
      <c r="TSE39" s="21"/>
      <c r="TSF39" s="21"/>
      <c r="TSG39" s="21"/>
      <c r="TSH39" s="21"/>
      <c r="TSI39" s="21"/>
      <c r="TSJ39" s="21"/>
      <c r="TSK39" s="21"/>
      <c r="TSL39" s="21"/>
      <c r="TSM39" s="21"/>
      <c r="TSN39" s="21"/>
      <c r="TSO39" s="21"/>
      <c r="TSP39" s="21"/>
      <c r="TSQ39" s="21"/>
      <c r="TSR39" s="21"/>
      <c r="TSS39" s="21"/>
      <c r="TST39" s="21"/>
      <c r="TSU39" s="21"/>
      <c r="TSV39" s="21"/>
      <c r="TSW39" s="21"/>
      <c r="TSX39" s="21"/>
      <c r="TSY39" s="21"/>
      <c r="TSZ39" s="21"/>
      <c r="TTA39" s="21"/>
      <c r="TTB39" s="21"/>
      <c r="TTC39" s="21"/>
      <c r="TTD39" s="21"/>
      <c r="TTE39" s="21"/>
      <c r="TTF39" s="21"/>
      <c r="TTG39" s="21"/>
      <c r="TTH39" s="21"/>
      <c r="TTI39" s="21"/>
      <c r="TTJ39" s="21"/>
      <c r="TTK39" s="21"/>
      <c r="TTL39" s="21"/>
      <c r="TTM39" s="21"/>
      <c r="TTN39" s="21"/>
      <c r="TTO39" s="21"/>
      <c r="TTP39" s="21"/>
      <c r="TTQ39" s="21"/>
      <c r="TTR39" s="21"/>
      <c r="TTS39" s="21"/>
      <c r="TTT39" s="21"/>
      <c r="TTU39" s="21"/>
      <c r="TTV39" s="21"/>
      <c r="TTW39" s="21"/>
      <c r="TTX39" s="21"/>
      <c r="TTY39" s="21"/>
      <c r="TTZ39" s="21"/>
      <c r="TUA39" s="21"/>
      <c r="TUB39" s="21"/>
      <c r="TUC39" s="21"/>
      <c r="TUD39" s="21"/>
      <c r="TUE39" s="21"/>
      <c r="TUF39" s="21"/>
      <c r="TUG39" s="21"/>
      <c r="TUH39" s="21"/>
      <c r="TUI39" s="21"/>
      <c r="TUJ39" s="21"/>
      <c r="TUK39" s="21"/>
      <c r="TUL39" s="21"/>
      <c r="TUM39" s="21"/>
      <c r="TUN39" s="21"/>
      <c r="TUO39" s="21"/>
      <c r="TUP39" s="21"/>
      <c r="TUQ39" s="21"/>
      <c r="TUR39" s="21"/>
      <c r="TUS39" s="21"/>
      <c r="TUT39" s="21"/>
      <c r="TUU39" s="21"/>
      <c r="TUV39" s="21"/>
      <c r="TUW39" s="21"/>
      <c r="TUX39" s="21"/>
      <c r="TUY39" s="21"/>
      <c r="TUZ39" s="21"/>
      <c r="TVA39" s="21"/>
      <c r="TVB39" s="21"/>
      <c r="TVC39" s="21"/>
      <c r="TVD39" s="21"/>
      <c r="TVE39" s="21"/>
      <c r="TVF39" s="21"/>
      <c r="TVG39" s="21"/>
      <c r="TVH39" s="21"/>
      <c r="TVI39" s="21"/>
      <c r="TVJ39" s="21"/>
      <c r="TVK39" s="21"/>
      <c r="TVL39" s="21"/>
      <c r="TVM39" s="21"/>
      <c r="TVN39" s="21"/>
      <c r="TVO39" s="21"/>
      <c r="TVP39" s="21"/>
      <c r="TVQ39" s="21"/>
      <c r="TVR39" s="21"/>
      <c r="TVS39" s="21"/>
      <c r="TVT39" s="21"/>
      <c r="TVU39" s="21"/>
      <c r="TVV39" s="21"/>
      <c r="TVW39" s="21"/>
      <c r="TVX39" s="21"/>
      <c r="TVY39" s="21"/>
      <c r="TVZ39" s="21"/>
      <c r="TWA39" s="21"/>
      <c r="TWB39" s="21"/>
      <c r="TWC39" s="21"/>
      <c r="TWD39" s="21"/>
      <c r="TWE39" s="21"/>
      <c r="TWF39" s="21"/>
      <c r="TWG39" s="21"/>
      <c r="TWH39" s="21"/>
      <c r="TWI39" s="21"/>
      <c r="TWJ39" s="21"/>
      <c r="TWK39" s="21"/>
      <c r="TWL39" s="21"/>
      <c r="TWM39" s="21"/>
      <c r="TWN39" s="21"/>
      <c r="TWO39" s="21"/>
      <c r="TWP39" s="21"/>
      <c r="TWQ39" s="21"/>
      <c r="TWR39" s="21"/>
      <c r="TWS39" s="21"/>
      <c r="TWT39" s="21"/>
      <c r="TWU39" s="21"/>
      <c r="TWV39" s="21"/>
      <c r="TWW39" s="21"/>
      <c r="TWX39" s="21"/>
      <c r="TWY39" s="21"/>
      <c r="TWZ39" s="21"/>
      <c r="TXA39" s="21"/>
      <c r="TXB39" s="21"/>
      <c r="TXC39" s="21"/>
      <c r="TXD39" s="21"/>
      <c r="TXE39" s="21"/>
      <c r="TXF39" s="21"/>
      <c r="TXG39" s="21"/>
      <c r="TXH39" s="21"/>
      <c r="TXI39" s="21"/>
      <c r="TXJ39" s="21"/>
      <c r="TXK39" s="21"/>
      <c r="TXL39" s="21"/>
      <c r="TXM39" s="21"/>
      <c r="TXN39" s="21"/>
      <c r="TXO39" s="21"/>
      <c r="TXP39" s="21"/>
      <c r="TXQ39" s="21"/>
      <c r="TXR39" s="21"/>
      <c r="TXS39" s="21"/>
      <c r="TXT39" s="21"/>
      <c r="TXU39" s="21"/>
      <c r="TXV39" s="21"/>
      <c r="TXW39" s="21"/>
      <c r="TXX39" s="21"/>
      <c r="TXY39" s="21"/>
      <c r="TXZ39" s="21"/>
      <c r="TYA39" s="21"/>
      <c r="TYB39" s="21"/>
      <c r="TYC39" s="21"/>
      <c r="TYD39" s="21"/>
      <c r="TYE39" s="21"/>
      <c r="TYF39" s="21"/>
      <c r="TYG39" s="21"/>
      <c r="TYH39" s="21"/>
      <c r="TYI39" s="21"/>
      <c r="TYJ39" s="21"/>
      <c r="TYK39" s="21"/>
      <c r="TYL39" s="21"/>
      <c r="TYM39" s="21"/>
      <c r="TYN39" s="21"/>
      <c r="TYO39" s="21"/>
      <c r="TYP39" s="21"/>
      <c r="TYQ39" s="21"/>
      <c r="TYR39" s="21"/>
      <c r="TYS39" s="21"/>
      <c r="TYT39" s="21"/>
      <c r="TYU39" s="21"/>
      <c r="TYV39" s="21"/>
      <c r="TYW39" s="21"/>
      <c r="TYX39" s="21"/>
      <c r="TYY39" s="21"/>
      <c r="TYZ39" s="21"/>
      <c r="TZA39" s="21"/>
      <c r="TZB39" s="21"/>
      <c r="TZC39" s="21"/>
      <c r="TZD39" s="21"/>
      <c r="TZE39" s="21"/>
      <c r="TZF39" s="21"/>
      <c r="TZG39" s="21"/>
      <c r="TZH39" s="21"/>
      <c r="TZI39" s="21"/>
      <c r="TZJ39" s="21"/>
      <c r="TZK39" s="21"/>
      <c r="TZL39" s="21"/>
      <c r="TZM39" s="21"/>
      <c r="TZN39" s="21"/>
      <c r="TZO39" s="21"/>
      <c r="TZP39" s="21"/>
      <c r="TZQ39" s="21"/>
      <c r="TZR39" s="21"/>
      <c r="TZS39" s="21"/>
      <c r="TZT39" s="21"/>
      <c r="TZU39" s="21"/>
      <c r="TZV39" s="21"/>
      <c r="TZW39" s="21"/>
      <c r="TZX39" s="21"/>
      <c r="TZY39" s="21"/>
      <c r="TZZ39" s="21"/>
      <c r="UAA39" s="21"/>
      <c r="UAB39" s="21"/>
      <c r="UAC39" s="21"/>
      <c r="UAD39" s="21"/>
      <c r="UAE39" s="21"/>
      <c r="UAF39" s="21"/>
      <c r="UAG39" s="21"/>
      <c r="UAH39" s="21"/>
      <c r="UAI39" s="21"/>
      <c r="UAJ39" s="21"/>
      <c r="UAK39" s="21"/>
      <c r="UAL39" s="21"/>
      <c r="UAM39" s="21"/>
      <c r="UAN39" s="21"/>
      <c r="UAO39" s="21"/>
      <c r="UAP39" s="21"/>
      <c r="UAQ39" s="21"/>
      <c r="UAR39" s="21"/>
      <c r="UAS39" s="21"/>
      <c r="UAT39" s="21"/>
      <c r="UAU39" s="21"/>
      <c r="UAV39" s="21"/>
      <c r="UAW39" s="21"/>
      <c r="UAX39" s="21"/>
      <c r="UAY39" s="21"/>
      <c r="UAZ39" s="21"/>
      <c r="UBA39" s="21"/>
      <c r="UBB39" s="21"/>
      <c r="UBC39" s="21"/>
      <c r="UBD39" s="21"/>
      <c r="UBE39" s="21"/>
      <c r="UBF39" s="21"/>
      <c r="UBG39" s="21"/>
      <c r="UBH39" s="21"/>
      <c r="UBI39" s="21"/>
      <c r="UBJ39" s="21"/>
      <c r="UBK39" s="21"/>
      <c r="UBL39" s="21"/>
      <c r="UBM39" s="21"/>
      <c r="UBN39" s="21"/>
      <c r="UBO39" s="21"/>
      <c r="UBP39" s="21"/>
      <c r="UBQ39" s="21"/>
      <c r="UBR39" s="21"/>
      <c r="UBS39" s="21"/>
      <c r="UBT39" s="21"/>
      <c r="UBU39" s="21"/>
      <c r="UBV39" s="21"/>
      <c r="UBW39" s="21"/>
      <c r="UBX39" s="21"/>
      <c r="UBY39" s="21"/>
      <c r="UBZ39" s="21"/>
      <c r="UCA39" s="21"/>
      <c r="UCB39" s="21"/>
      <c r="UCC39" s="21"/>
      <c r="UCD39" s="21"/>
      <c r="UCE39" s="21"/>
      <c r="UCF39" s="21"/>
      <c r="UCG39" s="21"/>
      <c r="UCH39" s="21"/>
      <c r="UCI39" s="21"/>
      <c r="UCJ39" s="21"/>
      <c r="UCK39" s="21"/>
      <c r="UCL39" s="21"/>
      <c r="UCM39" s="21"/>
      <c r="UCN39" s="21"/>
      <c r="UCO39" s="21"/>
      <c r="UCP39" s="21"/>
      <c r="UCQ39" s="21"/>
      <c r="UCR39" s="21"/>
      <c r="UCS39" s="21"/>
      <c r="UCT39" s="21"/>
      <c r="UCU39" s="21"/>
      <c r="UCV39" s="21"/>
      <c r="UCW39" s="21"/>
      <c r="UCX39" s="21"/>
      <c r="UCY39" s="21"/>
      <c r="UCZ39" s="21"/>
      <c r="UDA39" s="21"/>
      <c r="UDB39" s="21"/>
      <c r="UDC39" s="21"/>
      <c r="UDD39" s="21"/>
      <c r="UDE39" s="21"/>
      <c r="UDF39" s="21"/>
      <c r="UDG39" s="21"/>
      <c r="UDH39" s="21"/>
      <c r="UDI39" s="21"/>
      <c r="UDJ39" s="21"/>
      <c r="UDK39" s="21"/>
      <c r="UDL39" s="21"/>
      <c r="UDM39" s="21"/>
      <c r="UDN39" s="21"/>
      <c r="UDO39" s="21"/>
      <c r="UDP39" s="21"/>
      <c r="UDQ39" s="21"/>
      <c r="UDR39" s="21"/>
      <c r="UDS39" s="21"/>
      <c r="UDT39" s="21"/>
      <c r="UDU39" s="21"/>
      <c r="UDV39" s="21"/>
      <c r="UDW39" s="21"/>
      <c r="UDX39" s="21"/>
      <c r="UDY39" s="21"/>
      <c r="UDZ39" s="21"/>
      <c r="UEA39" s="21"/>
      <c r="UEB39" s="21"/>
      <c r="UEC39" s="21"/>
      <c r="UED39" s="21"/>
      <c r="UEE39" s="21"/>
      <c r="UEF39" s="21"/>
      <c r="UEG39" s="21"/>
      <c r="UEH39" s="21"/>
      <c r="UEI39" s="21"/>
      <c r="UEJ39" s="21"/>
      <c r="UEK39" s="21"/>
      <c r="UEL39" s="21"/>
      <c r="UEM39" s="21"/>
      <c r="UEN39" s="21"/>
      <c r="UEO39" s="21"/>
      <c r="UEP39" s="21"/>
      <c r="UEQ39" s="21"/>
      <c r="UER39" s="21"/>
      <c r="UES39" s="21"/>
      <c r="UET39" s="21"/>
      <c r="UEU39" s="21"/>
      <c r="UEV39" s="21"/>
      <c r="UEW39" s="21"/>
      <c r="UEX39" s="21"/>
      <c r="UEY39" s="21"/>
      <c r="UEZ39" s="21"/>
      <c r="UFA39" s="21"/>
      <c r="UFB39" s="21"/>
      <c r="UFC39" s="21"/>
      <c r="UFD39" s="21"/>
      <c r="UFE39" s="21"/>
      <c r="UFF39" s="21"/>
      <c r="UFG39" s="21"/>
      <c r="UFH39" s="21"/>
      <c r="UFI39" s="21"/>
      <c r="UFJ39" s="21"/>
      <c r="UFK39" s="21"/>
      <c r="UFL39" s="21"/>
      <c r="UFM39" s="21"/>
      <c r="UFN39" s="21"/>
      <c r="UFO39" s="21"/>
      <c r="UFP39" s="21"/>
      <c r="UFQ39" s="21"/>
      <c r="UFR39" s="21"/>
      <c r="UFS39" s="21"/>
      <c r="UFT39" s="21"/>
      <c r="UFU39" s="21"/>
      <c r="UFV39" s="21"/>
      <c r="UFW39" s="21"/>
      <c r="UFX39" s="21"/>
      <c r="UFY39" s="21"/>
      <c r="UFZ39" s="21"/>
      <c r="UGA39" s="21"/>
      <c r="UGB39" s="21"/>
      <c r="UGC39" s="21"/>
      <c r="UGD39" s="21"/>
      <c r="UGE39" s="21"/>
      <c r="UGF39" s="21"/>
      <c r="UGG39" s="21"/>
      <c r="UGH39" s="21"/>
      <c r="UGI39" s="21"/>
      <c r="UGJ39" s="21"/>
      <c r="UGK39" s="21"/>
      <c r="UGL39" s="21"/>
      <c r="UGM39" s="21"/>
      <c r="UGN39" s="21"/>
      <c r="UGO39" s="21"/>
      <c r="UGP39" s="21"/>
      <c r="UGQ39" s="21"/>
      <c r="UGR39" s="21"/>
      <c r="UGS39" s="21"/>
      <c r="UGT39" s="21"/>
      <c r="UGU39" s="21"/>
      <c r="UGV39" s="21"/>
      <c r="UGW39" s="21"/>
      <c r="UGX39" s="21"/>
      <c r="UGY39" s="21"/>
      <c r="UGZ39" s="21"/>
      <c r="UHA39" s="21"/>
      <c r="UHB39" s="21"/>
      <c r="UHC39" s="21"/>
      <c r="UHD39" s="21"/>
      <c r="UHE39" s="21"/>
      <c r="UHF39" s="21"/>
      <c r="UHG39" s="21"/>
      <c r="UHH39" s="21"/>
      <c r="UHI39" s="21"/>
      <c r="UHJ39" s="21"/>
      <c r="UHK39" s="21"/>
      <c r="UHL39" s="21"/>
      <c r="UHM39" s="21"/>
      <c r="UHN39" s="21"/>
      <c r="UHO39" s="21"/>
      <c r="UHP39" s="21"/>
      <c r="UHQ39" s="21"/>
      <c r="UHR39" s="21"/>
      <c r="UHS39" s="21"/>
      <c r="UHT39" s="21"/>
      <c r="UHU39" s="21"/>
      <c r="UHV39" s="21"/>
      <c r="UHW39" s="21"/>
      <c r="UHX39" s="21"/>
      <c r="UHY39" s="21"/>
      <c r="UHZ39" s="21"/>
      <c r="UIA39" s="21"/>
      <c r="UIB39" s="21"/>
      <c r="UIC39" s="21"/>
      <c r="UID39" s="21"/>
      <c r="UIE39" s="21"/>
      <c r="UIF39" s="21"/>
      <c r="UIG39" s="21"/>
      <c r="UIH39" s="21"/>
      <c r="UII39" s="21"/>
      <c r="UIJ39" s="21"/>
      <c r="UIK39" s="21"/>
      <c r="UIL39" s="21"/>
      <c r="UIM39" s="21"/>
      <c r="UIN39" s="21"/>
      <c r="UIO39" s="21"/>
      <c r="UIP39" s="21"/>
      <c r="UIQ39" s="21"/>
      <c r="UIR39" s="21"/>
      <c r="UIS39" s="21"/>
      <c r="UIT39" s="21"/>
      <c r="UIU39" s="21"/>
      <c r="UIV39" s="21"/>
      <c r="UIW39" s="21"/>
      <c r="UIX39" s="21"/>
      <c r="UIY39" s="21"/>
      <c r="UIZ39" s="21"/>
      <c r="UJA39" s="21"/>
      <c r="UJB39" s="21"/>
      <c r="UJC39" s="21"/>
      <c r="UJD39" s="21"/>
      <c r="UJE39" s="21"/>
      <c r="UJF39" s="21"/>
      <c r="UJG39" s="21"/>
      <c r="UJH39" s="21"/>
      <c r="UJI39" s="21"/>
      <c r="UJJ39" s="21"/>
      <c r="UJK39" s="21"/>
      <c r="UJL39" s="21"/>
      <c r="UJM39" s="21"/>
      <c r="UJN39" s="21"/>
      <c r="UJO39" s="21"/>
      <c r="UJP39" s="21"/>
      <c r="UJQ39" s="21"/>
      <c r="UJR39" s="21"/>
      <c r="UJS39" s="21"/>
      <c r="UJT39" s="21"/>
      <c r="UJU39" s="21"/>
      <c r="UJV39" s="21"/>
      <c r="UJW39" s="21"/>
      <c r="UJX39" s="21"/>
      <c r="UJY39" s="21"/>
      <c r="UJZ39" s="21"/>
      <c r="UKA39" s="21"/>
      <c r="UKB39" s="21"/>
      <c r="UKC39" s="21"/>
      <c r="UKD39" s="21"/>
      <c r="UKE39" s="21"/>
      <c r="UKF39" s="21"/>
      <c r="UKG39" s="21"/>
      <c r="UKH39" s="21"/>
      <c r="UKI39" s="21"/>
      <c r="UKJ39" s="21"/>
      <c r="UKK39" s="21"/>
      <c r="UKL39" s="21"/>
      <c r="UKM39" s="21"/>
      <c r="UKN39" s="21"/>
      <c r="UKO39" s="21"/>
      <c r="UKP39" s="21"/>
      <c r="UKQ39" s="21"/>
      <c r="UKR39" s="21"/>
      <c r="UKS39" s="21"/>
      <c r="UKT39" s="21"/>
      <c r="UKU39" s="21"/>
      <c r="UKV39" s="21"/>
      <c r="UKW39" s="21"/>
      <c r="UKX39" s="21"/>
      <c r="UKY39" s="21"/>
      <c r="UKZ39" s="21"/>
      <c r="ULA39" s="21"/>
      <c r="ULB39" s="21"/>
      <c r="ULC39" s="21"/>
      <c r="ULD39" s="21"/>
      <c r="ULE39" s="21"/>
      <c r="ULF39" s="21"/>
      <c r="ULG39" s="21"/>
      <c r="ULH39" s="21"/>
      <c r="ULI39" s="21"/>
      <c r="ULJ39" s="21"/>
      <c r="ULK39" s="21"/>
      <c r="ULL39" s="21"/>
      <c r="ULM39" s="21"/>
      <c r="ULN39" s="21"/>
      <c r="ULO39" s="21"/>
      <c r="ULP39" s="21"/>
      <c r="ULQ39" s="21"/>
      <c r="ULR39" s="21"/>
      <c r="ULS39" s="21"/>
      <c r="ULT39" s="21"/>
      <c r="ULU39" s="21"/>
      <c r="ULV39" s="21"/>
      <c r="ULW39" s="21"/>
      <c r="ULX39" s="21"/>
      <c r="ULY39" s="21"/>
      <c r="ULZ39" s="21"/>
      <c r="UMA39" s="21"/>
      <c r="UMB39" s="21"/>
      <c r="UMC39" s="21"/>
      <c r="UMD39" s="21"/>
      <c r="UME39" s="21"/>
      <c r="UMF39" s="21"/>
      <c r="UMG39" s="21"/>
      <c r="UMH39" s="21"/>
      <c r="UMI39" s="21"/>
      <c r="UMJ39" s="21"/>
      <c r="UMK39" s="21"/>
      <c r="UML39" s="21"/>
      <c r="UMM39" s="21"/>
      <c r="UMN39" s="21"/>
      <c r="UMO39" s="21"/>
      <c r="UMP39" s="21"/>
      <c r="UMQ39" s="21"/>
      <c r="UMR39" s="21"/>
      <c r="UMS39" s="21"/>
      <c r="UMT39" s="21"/>
      <c r="UMU39" s="21"/>
      <c r="UMV39" s="21"/>
      <c r="UMW39" s="21"/>
      <c r="UMX39" s="21"/>
      <c r="UMY39" s="21"/>
      <c r="UMZ39" s="21"/>
      <c r="UNA39" s="21"/>
      <c r="UNB39" s="21"/>
      <c r="UNC39" s="21"/>
      <c r="UND39" s="21"/>
      <c r="UNE39" s="21"/>
      <c r="UNF39" s="21"/>
      <c r="UNG39" s="21"/>
      <c r="UNH39" s="21"/>
      <c r="UNI39" s="21"/>
      <c r="UNJ39" s="21"/>
      <c r="UNK39" s="21"/>
      <c r="UNL39" s="21"/>
      <c r="UNM39" s="21"/>
      <c r="UNN39" s="21"/>
      <c r="UNO39" s="21"/>
      <c r="UNP39" s="21"/>
      <c r="UNQ39" s="21"/>
      <c r="UNR39" s="21"/>
      <c r="UNS39" s="21"/>
      <c r="UNT39" s="21"/>
      <c r="UNU39" s="21"/>
      <c r="UNV39" s="21"/>
      <c r="UNW39" s="21"/>
      <c r="UNX39" s="21"/>
      <c r="UNY39" s="21"/>
      <c r="UNZ39" s="21"/>
      <c r="UOA39" s="21"/>
      <c r="UOB39" s="21"/>
      <c r="UOC39" s="21"/>
      <c r="UOD39" s="21"/>
      <c r="UOE39" s="21"/>
      <c r="UOF39" s="21"/>
      <c r="UOG39" s="21"/>
      <c r="UOH39" s="21"/>
      <c r="UOI39" s="21"/>
      <c r="UOJ39" s="21"/>
      <c r="UOK39" s="21"/>
      <c r="UOL39" s="21"/>
      <c r="UOM39" s="21"/>
      <c r="UON39" s="21"/>
      <c r="UOO39" s="21"/>
      <c r="UOP39" s="21"/>
      <c r="UOQ39" s="21"/>
      <c r="UOR39" s="21"/>
      <c r="UOS39" s="21"/>
      <c r="UOT39" s="21"/>
      <c r="UOU39" s="21"/>
      <c r="UOV39" s="21"/>
      <c r="UOW39" s="21"/>
      <c r="UOX39" s="21"/>
      <c r="UOY39" s="21"/>
      <c r="UOZ39" s="21"/>
      <c r="UPA39" s="21"/>
      <c r="UPB39" s="21"/>
      <c r="UPC39" s="21"/>
      <c r="UPD39" s="21"/>
      <c r="UPE39" s="21"/>
      <c r="UPF39" s="21"/>
      <c r="UPG39" s="21"/>
      <c r="UPH39" s="21"/>
      <c r="UPI39" s="21"/>
      <c r="UPJ39" s="21"/>
      <c r="UPK39" s="21"/>
      <c r="UPL39" s="21"/>
      <c r="UPM39" s="21"/>
      <c r="UPN39" s="21"/>
      <c r="UPO39" s="21"/>
      <c r="UPP39" s="21"/>
      <c r="UPQ39" s="21"/>
      <c r="UPR39" s="21"/>
      <c r="UPS39" s="21"/>
      <c r="UPT39" s="21"/>
      <c r="UPU39" s="21"/>
      <c r="UPV39" s="21"/>
      <c r="UPW39" s="21"/>
      <c r="UPX39" s="21"/>
      <c r="UPY39" s="21"/>
      <c r="UPZ39" s="21"/>
      <c r="UQA39" s="21"/>
      <c r="UQB39" s="21"/>
      <c r="UQC39" s="21"/>
      <c r="UQD39" s="21"/>
      <c r="UQE39" s="21"/>
      <c r="UQF39" s="21"/>
      <c r="UQG39" s="21"/>
      <c r="UQH39" s="21"/>
      <c r="UQI39" s="21"/>
      <c r="UQJ39" s="21"/>
      <c r="UQK39" s="21"/>
      <c r="UQL39" s="21"/>
      <c r="UQM39" s="21"/>
      <c r="UQN39" s="21"/>
      <c r="UQO39" s="21"/>
      <c r="UQP39" s="21"/>
      <c r="UQQ39" s="21"/>
      <c r="UQR39" s="21"/>
      <c r="UQS39" s="21"/>
      <c r="UQT39" s="21"/>
      <c r="UQU39" s="21"/>
      <c r="UQV39" s="21"/>
      <c r="UQW39" s="21"/>
      <c r="UQX39" s="21"/>
      <c r="UQY39" s="21"/>
      <c r="UQZ39" s="21"/>
      <c r="URA39" s="21"/>
      <c r="URB39" s="21"/>
      <c r="URC39" s="21"/>
      <c r="URD39" s="21"/>
      <c r="URE39" s="21"/>
      <c r="URF39" s="21"/>
      <c r="URG39" s="21"/>
      <c r="URH39" s="21"/>
      <c r="URI39" s="21"/>
      <c r="URJ39" s="21"/>
      <c r="URK39" s="21"/>
      <c r="URL39" s="21"/>
      <c r="URM39" s="21"/>
      <c r="URN39" s="21"/>
      <c r="URO39" s="21"/>
      <c r="URP39" s="21"/>
      <c r="URQ39" s="21"/>
      <c r="URR39" s="21"/>
      <c r="URS39" s="21"/>
      <c r="URT39" s="21"/>
      <c r="URU39" s="21"/>
      <c r="URV39" s="21"/>
      <c r="URW39" s="21"/>
      <c r="URX39" s="21"/>
      <c r="URY39" s="21"/>
      <c r="URZ39" s="21"/>
      <c r="USA39" s="21"/>
      <c r="USB39" s="21"/>
      <c r="USC39" s="21"/>
      <c r="USD39" s="21"/>
      <c r="USE39" s="21"/>
      <c r="USF39" s="21"/>
      <c r="USG39" s="21"/>
      <c r="USH39" s="21"/>
      <c r="USI39" s="21"/>
      <c r="USJ39" s="21"/>
      <c r="USK39" s="21"/>
      <c r="USL39" s="21"/>
      <c r="USM39" s="21"/>
      <c r="USN39" s="21"/>
      <c r="USO39" s="21"/>
      <c r="USP39" s="21"/>
      <c r="USQ39" s="21"/>
      <c r="USR39" s="21"/>
      <c r="USS39" s="21"/>
      <c r="UST39" s="21"/>
      <c r="USU39" s="21"/>
      <c r="USV39" s="21"/>
      <c r="USW39" s="21"/>
      <c r="USX39" s="21"/>
      <c r="USY39" s="21"/>
      <c r="USZ39" s="21"/>
      <c r="UTA39" s="21"/>
      <c r="UTB39" s="21"/>
      <c r="UTC39" s="21"/>
      <c r="UTD39" s="21"/>
      <c r="UTE39" s="21"/>
      <c r="UTF39" s="21"/>
      <c r="UTG39" s="21"/>
      <c r="UTH39" s="21"/>
      <c r="UTI39" s="21"/>
      <c r="UTJ39" s="21"/>
      <c r="UTK39" s="21"/>
      <c r="UTL39" s="21"/>
      <c r="UTM39" s="21"/>
      <c r="UTN39" s="21"/>
      <c r="UTO39" s="21"/>
      <c r="UTP39" s="21"/>
      <c r="UTQ39" s="21"/>
      <c r="UTR39" s="21"/>
      <c r="UTS39" s="21"/>
      <c r="UTT39" s="21"/>
      <c r="UTU39" s="21"/>
      <c r="UTV39" s="21"/>
      <c r="UTW39" s="21"/>
      <c r="UTX39" s="21"/>
      <c r="UTY39" s="21"/>
      <c r="UTZ39" s="21"/>
      <c r="UUA39" s="21"/>
      <c r="UUB39" s="21"/>
      <c r="UUC39" s="21"/>
      <c r="UUD39" s="21"/>
      <c r="UUE39" s="21"/>
      <c r="UUF39" s="21"/>
      <c r="UUG39" s="21"/>
      <c r="UUH39" s="21"/>
      <c r="UUI39" s="21"/>
      <c r="UUJ39" s="21"/>
      <c r="UUK39" s="21"/>
      <c r="UUL39" s="21"/>
      <c r="UUM39" s="21"/>
      <c r="UUN39" s="21"/>
      <c r="UUO39" s="21"/>
      <c r="UUP39" s="21"/>
      <c r="UUQ39" s="21"/>
      <c r="UUR39" s="21"/>
      <c r="UUS39" s="21"/>
      <c r="UUT39" s="21"/>
      <c r="UUU39" s="21"/>
      <c r="UUV39" s="21"/>
      <c r="UUW39" s="21"/>
      <c r="UUX39" s="21"/>
      <c r="UUY39" s="21"/>
      <c r="UUZ39" s="21"/>
      <c r="UVA39" s="21"/>
      <c r="UVB39" s="21"/>
      <c r="UVC39" s="21"/>
      <c r="UVD39" s="21"/>
      <c r="UVE39" s="21"/>
      <c r="UVF39" s="21"/>
      <c r="UVG39" s="21"/>
      <c r="UVH39" s="21"/>
      <c r="UVI39" s="21"/>
      <c r="UVJ39" s="21"/>
      <c r="UVK39" s="21"/>
      <c r="UVL39" s="21"/>
      <c r="UVM39" s="21"/>
      <c r="UVN39" s="21"/>
      <c r="UVO39" s="21"/>
      <c r="UVP39" s="21"/>
      <c r="UVQ39" s="21"/>
      <c r="UVR39" s="21"/>
      <c r="UVS39" s="21"/>
      <c r="UVT39" s="21"/>
      <c r="UVU39" s="21"/>
      <c r="UVV39" s="21"/>
      <c r="UVW39" s="21"/>
      <c r="UVX39" s="21"/>
      <c r="UVY39" s="21"/>
      <c r="UVZ39" s="21"/>
      <c r="UWA39" s="21"/>
      <c r="UWB39" s="21"/>
      <c r="UWC39" s="21"/>
      <c r="UWD39" s="21"/>
      <c r="UWE39" s="21"/>
      <c r="UWF39" s="21"/>
      <c r="UWG39" s="21"/>
      <c r="UWH39" s="21"/>
      <c r="UWI39" s="21"/>
      <c r="UWJ39" s="21"/>
      <c r="UWK39" s="21"/>
      <c r="UWL39" s="21"/>
      <c r="UWM39" s="21"/>
      <c r="UWN39" s="21"/>
      <c r="UWO39" s="21"/>
      <c r="UWP39" s="21"/>
      <c r="UWQ39" s="21"/>
      <c r="UWR39" s="21"/>
      <c r="UWS39" s="21"/>
      <c r="UWT39" s="21"/>
      <c r="UWU39" s="21"/>
      <c r="UWV39" s="21"/>
      <c r="UWW39" s="21"/>
      <c r="UWX39" s="21"/>
      <c r="UWY39" s="21"/>
      <c r="UWZ39" s="21"/>
      <c r="UXA39" s="21"/>
      <c r="UXB39" s="21"/>
      <c r="UXC39" s="21"/>
      <c r="UXD39" s="21"/>
      <c r="UXE39" s="21"/>
      <c r="UXF39" s="21"/>
      <c r="UXG39" s="21"/>
      <c r="UXH39" s="21"/>
      <c r="UXI39" s="21"/>
      <c r="UXJ39" s="21"/>
      <c r="UXK39" s="21"/>
      <c r="UXL39" s="21"/>
      <c r="UXM39" s="21"/>
      <c r="UXN39" s="21"/>
      <c r="UXO39" s="21"/>
      <c r="UXP39" s="21"/>
      <c r="UXQ39" s="21"/>
      <c r="UXR39" s="21"/>
      <c r="UXS39" s="21"/>
      <c r="UXT39" s="21"/>
      <c r="UXU39" s="21"/>
      <c r="UXV39" s="21"/>
      <c r="UXW39" s="21"/>
      <c r="UXX39" s="21"/>
      <c r="UXY39" s="21"/>
      <c r="UXZ39" s="21"/>
      <c r="UYA39" s="21"/>
      <c r="UYB39" s="21"/>
      <c r="UYC39" s="21"/>
      <c r="UYD39" s="21"/>
      <c r="UYE39" s="21"/>
      <c r="UYF39" s="21"/>
      <c r="UYG39" s="21"/>
      <c r="UYH39" s="21"/>
      <c r="UYI39" s="21"/>
      <c r="UYJ39" s="21"/>
      <c r="UYK39" s="21"/>
      <c r="UYL39" s="21"/>
      <c r="UYM39" s="21"/>
      <c r="UYN39" s="21"/>
      <c r="UYO39" s="21"/>
      <c r="UYP39" s="21"/>
      <c r="UYQ39" s="21"/>
      <c r="UYR39" s="21"/>
      <c r="UYS39" s="21"/>
      <c r="UYT39" s="21"/>
      <c r="UYU39" s="21"/>
      <c r="UYV39" s="21"/>
      <c r="UYW39" s="21"/>
      <c r="UYX39" s="21"/>
      <c r="UYY39" s="21"/>
      <c r="UYZ39" s="21"/>
      <c r="UZA39" s="21"/>
      <c r="UZB39" s="21"/>
      <c r="UZC39" s="21"/>
      <c r="UZD39" s="21"/>
      <c r="UZE39" s="21"/>
      <c r="UZF39" s="21"/>
      <c r="UZG39" s="21"/>
      <c r="UZH39" s="21"/>
      <c r="UZI39" s="21"/>
      <c r="UZJ39" s="21"/>
      <c r="UZK39" s="21"/>
      <c r="UZL39" s="21"/>
      <c r="UZM39" s="21"/>
      <c r="UZN39" s="21"/>
      <c r="UZO39" s="21"/>
      <c r="UZP39" s="21"/>
      <c r="UZQ39" s="21"/>
      <c r="UZR39" s="21"/>
      <c r="UZS39" s="21"/>
      <c r="UZT39" s="21"/>
      <c r="UZU39" s="21"/>
      <c r="UZV39" s="21"/>
      <c r="UZW39" s="21"/>
      <c r="UZX39" s="21"/>
      <c r="UZY39" s="21"/>
      <c r="UZZ39" s="21"/>
      <c r="VAA39" s="21"/>
      <c r="VAB39" s="21"/>
      <c r="VAC39" s="21"/>
      <c r="VAD39" s="21"/>
      <c r="VAE39" s="21"/>
      <c r="VAF39" s="21"/>
      <c r="VAG39" s="21"/>
      <c r="VAH39" s="21"/>
      <c r="VAI39" s="21"/>
      <c r="VAJ39" s="21"/>
      <c r="VAK39" s="21"/>
      <c r="VAL39" s="21"/>
      <c r="VAM39" s="21"/>
      <c r="VAN39" s="21"/>
      <c r="VAO39" s="21"/>
      <c r="VAP39" s="21"/>
      <c r="VAQ39" s="21"/>
      <c r="VAR39" s="21"/>
      <c r="VAS39" s="21"/>
      <c r="VAT39" s="21"/>
      <c r="VAU39" s="21"/>
      <c r="VAV39" s="21"/>
      <c r="VAW39" s="21"/>
      <c r="VAX39" s="21"/>
      <c r="VAY39" s="21"/>
      <c r="VAZ39" s="21"/>
      <c r="VBA39" s="21"/>
      <c r="VBB39" s="21"/>
      <c r="VBC39" s="21"/>
      <c r="VBD39" s="21"/>
      <c r="VBE39" s="21"/>
      <c r="VBF39" s="21"/>
      <c r="VBG39" s="21"/>
      <c r="VBH39" s="21"/>
      <c r="VBI39" s="21"/>
      <c r="VBJ39" s="21"/>
      <c r="VBK39" s="21"/>
      <c r="VBL39" s="21"/>
      <c r="VBM39" s="21"/>
      <c r="VBN39" s="21"/>
      <c r="VBO39" s="21"/>
      <c r="VBP39" s="21"/>
      <c r="VBQ39" s="21"/>
      <c r="VBR39" s="21"/>
      <c r="VBS39" s="21"/>
      <c r="VBT39" s="21"/>
      <c r="VBU39" s="21"/>
      <c r="VBV39" s="21"/>
      <c r="VBW39" s="21"/>
      <c r="VBX39" s="21"/>
      <c r="VBY39" s="21"/>
      <c r="VBZ39" s="21"/>
      <c r="VCA39" s="21"/>
      <c r="VCB39" s="21"/>
      <c r="VCC39" s="21"/>
      <c r="VCD39" s="21"/>
      <c r="VCE39" s="21"/>
      <c r="VCF39" s="21"/>
      <c r="VCG39" s="21"/>
      <c r="VCH39" s="21"/>
      <c r="VCI39" s="21"/>
      <c r="VCJ39" s="21"/>
      <c r="VCK39" s="21"/>
      <c r="VCL39" s="21"/>
      <c r="VCM39" s="21"/>
      <c r="VCN39" s="21"/>
      <c r="VCO39" s="21"/>
      <c r="VCP39" s="21"/>
      <c r="VCQ39" s="21"/>
      <c r="VCR39" s="21"/>
      <c r="VCS39" s="21"/>
      <c r="VCT39" s="21"/>
      <c r="VCU39" s="21"/>
      <c r="VCV39" s="21"/>
      <c r="VCW39" s="21"/>
      <c r="VCX39" s="21"/>
      <c r="VCY39" s="21"/>
      <c r="VCZ39" s="21"/>
      <c r="VDA39" s="21"/>
      <c r="VDB39" s="21"/>
      <c r="VDC39" s="21"/>
      <c r="VDD39" s="21"/>
      <c r="VDE39" s="21"/>
      <c r="VDF39" s="21"/>
      <c r="VDG39" s="21"/>
      <c r="VDH39" s="21"/>
      <c r="VDI39" s="21"/>
      <c r="VDJ39" s="21"/>
      <c r="VDK39" s="21"/>
      <c r="VDL39" s="21"/>
      <c r="VDM39" s="21"/>
      <c r="VDN39" s="21"/>
      <c r="VDO39" s="21"/>
      <c r="VDP39" s="21"/>
      <c r="VDQ39" s="21"/>
      <c r="VDR39" s="21"/>
      <c r="VDS39" s="21"/>
      <c r="VDT39" s="21"/>
      <c r="VDU39" s="21"/>
      <c r="VDV39" s="21"/>
      <c r="VDW39" s="21"/>
      <c r="VDX39" s="21"/>
      <c r="VDY39" s="21"/>
      <c r="VDZ39" s="21"/>
      <c r="VEA39" s="21"/>
      <c r="VEB39" s="21"/>
      <c r="VEC39" s="21"/>
      <c r="VED39" s="21"/>
      <c r="VEE39" s="21"/>
      <c r="VEF39" s="21"/>
      <c r="VEG39" s="21"/>
      <c r="VEH39" s="21"/>
      <c r="VEI39" s="21"/>
      <c r="VEJ39" s="21"/>
      <c r="VEK39" s="21"/>
      <c r="VEL39" s="21"/>
      <c r="VEM39" s="21"/>
      <c r="VEN39" s="21"/>
      <c r="VEO39" s="21"/>
      <c r="VEP39" s="21"/>
      <c r="VEQ39" s="21"/>
      <c r="VER39" s="21"/>
      <c r="VES39" s="21"/>
      <c r="VET39" s="21"/>
      <c r="VEU39" s="21"/>
      <c r="VEV39" s="21"/>
      <c r="VEW39" s="21"/>
      <c r="VEX39" s="21"/>
      <c r="VEY39" s="21"/>
      <c r="VEZ39" s="21"/>
      <c r="VFA39" s="21"/>
      <c r="VFB39" s="21"/>
      <c r="VFC39" s="21"/>
      <c r="VFD39" s="21"/>
      <c r="VFE39" s="21"/>
      <c r="VFF39" s="21"/>
      <c r="VFG39" s="21"/>
      <c r="VFH39" s="21"/>
      <c r="VFI39" s="21"/>
      <c r="VFJ39" s="21"/>
      <c r="VFK39" s="21"/>
      <c r="VFL39" s="21"/>
      <c r="VFM39" s="21"/>
      <c r="VFN39" s="21"/>
      <c r="VFO39" s="21"/>
      <c r="VFP39" s="21"/>
      <c r="VFQ39" s="21"/>
      <c r="VFR39" s="21"/>
      <c r="VFS39" s="21"/>
      <c r="VFT39" s="21"/>
      <c r="VFU39" s="21"/>
      <c r="VFV39" s="21"/>
      <c r="VFW39" s="21"/>
      <c r="VFX39" s="21"/>
      <c r="VFY39" s="21"/>
      <c r="VFZ39" s="21"/>
      <c r="VGA39" s="21"/>
      <c r="VGB39" s="21"/>
      <c r="VGC39" s="21"/>
      <c r="VGD39" s="21"/>
      <c r="VGE39" s="21"/>
      <c r="VGF39" s="21"/>
      <c r="VGG39" s="21"/>
      <c r="VGH39" s="21"/>
      <c r="VGI39" s="21"/>
      <c r="VGJ39" s="21"/>
      <c r="VGK39" s="21"/>
      <c r="VGL39" s="21"/>
      <c r="VGM39" s="21"/>
      <c r="VGN39" s="21"/>
      <c r="VGO39" s="21"/>
      <c r="VGP39" s="21"/>
      <c r="VGQ39" s="21"/>
      <c r="VGR39" s="21"/>
      <c r="VGS39" s="21"/>
      <c r="VGT39" s="21"/>
      <c r="VGU39" s="21"/>
      <c r="VGV39" s="21"/>
      <c r="VGW39" s="21"/>
      <c r="VGX39" s="21"/>
      <c r="VGY39" s="21"/>
      <c r="VGZ39" s="21"/>
      <c r="VHA39" s="21"/>
      <c r="VHB39" s="21"/>
      <c r="VHC39" s="21"/>
      <c r="VHD39" s="21"/>
      <c r="VHE39" s="21"/>
      <c r="VHF39" s="21"/>
      <c r="VHG39" s="21"/>
      <c r="VHH39" s="21"/>
      <c r="VHI39" s="21"/>
      <c r="VHJ39" s="21"/>
      <c r="VHK39" s="21"/>
      <c r="VHL39" s="21"/>
      <c r="VHM39" s="21"/>
      <c r="VHN39" s="21"/>
      <c r="VHO39" s="21"/>
      <c r="VHP39" s="21"/>
      <c r="VHQ39" s="21"/>
      <c r="VHR39" s="21"/>
      <c r="VHS39" s="21"/>
      <c r="VHT39" s="21"/>
      <c r="VHU39" s="21"/>
      <c r="VHV39" s="21"/>
      <c r="VHW39" s="21"/>
      <c r="VHX39" s="21"/>
      <c r="VHY39" s="21"/>
      <c r="VHZ39" s="21"/>
      <c r="VIA39" s="21"/>
      <c r="VIB39" s="21"/>
      <c r="VIC39" s="21"/>
      <c r="VID39" s="21"/>
      <c r="VIE39" s="21"/>
      <c r="VIF39" s="21"/>
      <c r="VIG39" s="21"/>
      <c r="VIH39" s="21"/>
      <c r="VII39" s="21"/>
      <c r="VIJ39" s="21"/>
      <c r="VIK39" s="21"/>
      <c r="VIL39" s="21"/>
      <c r="VIM39" s="21"/>
      <c r="VIN39" s="21"/>
      <c r="VIO39" s="21"/>
      <c r="VIP39" s="21"/>
      <c r="VIQ39" s="21"/>
      <c r="VIR39" s="21"/>
      <c r="VIS39" s="21"/>
      <c r="VIT39" s="21"/>
      <c r="VIU39" s="21"/>
      <c r="VIV39" s="21"/>
      <c r="VIW39" s="21"/>
      <c r="VIX39" s="21"/>
      <c r="VIY39" s="21"/>
      <c r="VIZ39" s="21"/>
      <c r="VJA39" s="21"/>
      <c r="VJB39" s="21"/>
      <c r="VJC39" s="21"/>
      <c r="VJD39" s="21"/>
      <c r="VJE39" s="21"/>
      <c r="VJF39" s="21"/>
      <c r="VJG39" s="21"/>
      <c r="VJH39" s="21"/>
      <c r="VJI39" s="21"/>
      <c r="VJJ39" s="21"/>
      <c r="VJK39" s="21"/>
      <c r="VJL39" s="21"/>
      <c r="VJM39" s="21"/>
      <c r="VJN39" s="21"/>
      <c r="VJO39" s="21"/>
      <c r="VJP39" s="21"/>
      <c r="VJQ39" s="21"/>
      <c r="VJR39" s="21"/>
      <c r="VJS39" s="21"/>
      <c r="VJT39" s="21"/>
      <c r="VJU39" s="21"/>
      <c r="VJV39" s="21"/>
      <c r="VJW39" s="21"/>
      <c r="VJX39" s="21"/>
      <c r="VJY39" s="21"/>
      <c r="VJZ39" s="21"/>
      <c r="VKA39" s="21"/>
      <c r="VKB39" s="21"/>
      <c r="VKC39" s="21"/>
      <c r="VKD39" s="21"/>
      <c r="VKE39" s="21"/>
      <c r="VKF39" s="21"/>
      <c r="VKG39" s="21"/>
      <c r="VKH39" s="21"/>
      <c r="VKI39" s="21"/>
      <c r="VKJ39" s="21"/>
      <c r="VKK39" s="21"/>
      <c r="VKL39" s="21"/>
      <c r="VKM39" s="21"/>
      <c r="VKN39" s="21"/>
      <c r="VKO39" s="21"/>
      <c r="VKP39" s="21"/>
      <c r="VKQ39" s="21"/>
      <c r="VKR39" s="21"/>
      <c r="VKS39" s="21"/>
      <c r="VKT39" s="21"/>
      <c r="VKU39" s="21"/>
      <c r="VKV39" s="21"/>
      <c r="VKW39" s="21"/>
      <c r="VKX39" s="21"/>
      <c r="VKY39" s="21"/>
      <c r="VKZ39" s="21"/>
      <c r="VLA39" s="21"/>
      <c r="VLB39" s="21"/>
      <c r="VLC39" s="21"/>
      <c r="VLD39" s="21"/>
      <c r="VLE39" s="21"/>
      <c r="VLF39" s="21"/>
      <c r="VLG39" s="21"/>
      <c r="VLH39" s="21"/>
      <c r="VLI39" s="21"/>
      <c r="VLJ39" s="21"/>
      <c r="VLK39" s="21"/>
      <c r="VLL39" s="21"/>
      <c r="VLM39" s="21"/>
      <c r="VLN39" s="21"/>
      <c r="VLO39" s="21"/>
      <c r="VLP39" s="21"/>
      <c r="VLQ39" s="21"/>
      <c r="VLR39" s="21"/>
      <c r="VLS39" s="21"/>
      <c r="VLT39" s="21"/>
      <c r="VLU39" s="21"/>
      <c r="VLV39" s="21"/>
      <c r="VLW39" s="21"/>
      <c r="VLX39" s="21"/>
      <c r="VLY39" s="21"/>
      <c r="VLZ39" s="21"/>
      <c r="VMA39" s="21"/>
      <c r="VMB39" s="21"/>
      <c r="VMC39" s="21"/>
      <c r="VMD39" s="21"/>
      <c r="VME39" s="21"/>
      <c r="VMF39" s="21"/>
      <c r="VMG39" s="21"/>
      <c r="VMH39" s="21"/>
      <c r="VMI39" s="21"/>
      <c r="VMJ39" s="21"/>
      <c r="VMK39" s="21"/>
      <c r="VML39" s="21"/>
      <c r="VMM39" s="21"/>
      <c r="VMN39" s="21"/>
      <c r="VMO39" s="21"/>
      <c r="VMP39" s="21"/>
      <c r="VMQ39" s="21"/>
      <c r="VMR39" s="21"/>
      <c r="VMS39" s="21"/>
      <c r="VMT39" s="21"/>
      <c r="VMU39" s="21"/>
      <c r="VMV39" s="21"/>
      <c r="VMW39" s="21"/>
      <c r="VMX39" s="21"/>
      <c r="VMY39" s="21"/>
      <c r="VMZ39" s="21"/>
      <c r="VNA39" s="21"/>
      <c r="VNB39" s="21"/>
      <c r="VNC39" s="21"/>
      <c r="VND39" s="21"/>
      <c r="VNE39" s="21"/>
      <c r="VNF39" s="21"/>
      <c r="VNG39" s="21"/>
      <c r="VNH39" s="21"/>
      <c r="VNI39" s="21"/>
      <c r="VNJ39" s="21"/>
      <c r="VNK39" s="21"/>
      <c r="VNL39" s="21"/>
      <c r="VNM39" s="21"/>
      <c r="VNN39" s="21"/>
      <c r="VNO39" s="21"/>
      <c r="VNP39" s="21"/>
      <c r="VNQ39" s="21"/>
      <c r="VNR39" s="21"/>
      <c r="VNS39" s="21"/>
      <c r="VNT39" s="21"/>
      <c r="VNU39" s="21"/>
      <c r="VNV39" s="21"/>
      <c r="VNW39" s="21"/>
      <c r="VNX39" s="21"/>
      <c r="VNY39" s="21"/>
      <c r="VNZ39" s="21"/>
      <c r="VOA39" s="21"/>
      <c r="VOB39" s="21"/>
      <c r="VOC39" s="21"/>
      <c r="VOD39" s="21"/>
      <c r="VOE39" s="21"/>
      <c r="VOF39" s="21"/>
      <c r="VOG39" s="21"/>
      <c r="VOH39" s="21"/>
      <c r="VOI39" s="21"/>
      <c r="VOJ39" s="21"/>
      <c r="VOK39" s="21"/>
      <c r="VOL39" s="21"/>
      <c r="VOM39" s="21"/>
      <c r="VON39" s="21"/>
      <c r="VOO39" s="21"/>
      <c r="VOP39" s="21"/>
      <c r="VOQ39" s="21"/>
      <c r="VOR39" s="21"/>
      <c r="VOS39" s="21"/>
      <c r="VOT39" s="21"/>
      <c r="VOU39" s="21"/>
      <c r="VOV39" s="21"/>
      <c r="VOW39" s="21"/>
      <c r="VOX39" s="21"/>
      <c r="VOY39" s="21"/>
      <c r="VOZ39" s="21"/>
      <c r="VPA39" s="21"/>
      <c r="VPB39" s="21"/>
      <c r="VPC39" s="21"/>
      <c r="VPD39" s="21"/>
      <c r="VPE39" s="21"/>
      <c r="VPF39" s="21"/>
      <c r="VPG39" s="21"/>
      <c r="VPH39" s="21"/>
      <c r="VPI39" s="21"/>
      <c r="VPJ39" s="21"/>
      <c r="VPK39" s="21"/>
      <c r="VPL39" s="21"/>
      <c r="VPM39" s="21"/>
      <c r="VPN39" s="21"/>
      <c r="VPO39" s="21"/>
      <c r="VPP39" s="21"/>
      <c r="VPQ39" s="21"/>
      <c r="VPR39" s="21"/>
      <c r="VPS39" s="21"/>
      <c r="VPT39" s="21"/>
      <c r="VPU39" s="21"/>
      <c r="VPV39" s="21"/>
      <c r="VPW39" s="21"/>
      <c r="VPX39" s="21"/>
      <c r="VPY39" s="21"/>
      <c r="VPZ39" s="21"/>
      <c r="VQA39" s="21"/>
      <c r="VQB39" s="21"/>
      <c r="VQC39" s="21"/>
      <c r="VQD39" s="21"/>
      <c r="VQE39" s="21"/>
      <c r="VQF39" s="21"/>
      <c r="VQG39" s="21"/>
      <c r="VQH39" s="21"/>
      <c r="VQI39" s="21"/>
      <c r="VQJ39" s="21"/>
      <c r="VQK39" s="21"/>
      <c r="VQL39" s="21"/>
      <c r="VQM39" s="21"/>
      <c r="VQN39" s="21"/>
      <c r="VQO39" s="21"/>
      <c r="VQP39" s="21"/>
      <c r="VQQ39" s="21"/>
      <c r="VQR39" s="21"/>
      <c r="VQS39" s="21"/>
      <c r="VQT39" s="21"/>
      <c r="VQU39" s="21"/>
      <c r="VQV39" s="21"/>
      <c r="VQW39" s="21"/>
      <c r="VQX39" s="21"/>
      <c r="VQY39" s="21"/>
      <c r="VQZ39" s="21"/>
      <c r="VRA39" s="21"/>
      <c r="VRB39" s="21"/>
      <c r="VRC39" s="21"/>
      <c r="VRD39" s="21"/>
      <c r="VRE39" s="21"/>
      <c r="VRF39" s="21"/>
      <c r="VRG39" s="21"/>
      <c r="VRH39" s="21"/>
      <c r="VRI39" s="21"/>
      <c r="VRJ39" s="21"/>
      <c r="VRK39" s="21"/>
      <c r="VRL39" s="21"/>
      <c r="VRM39" s="21"/>
      <c r="VRN39" s="21"/>
      <c r="VRO39" s="21"/>
      <c r="VRP39" s="21"/>
      <c r="VRQ39" s="21"/>
      <c r="VRR39" s="21"/>
      <c r="VRS39" s="21"/>
      <c r="VRT39" s="21"/>
      <c r="VRU39" s="21"/>
      <c r="VRV39" s="21"/>
      <c r="VRW39" s="21"/>
      <c r="VRX39" s="21"/>
      <c r="VRY39" s="21"/>
      <c r="VRZ39" s="21"/>
      <c r="VSA39" s="21"/>
      <c r="VSB39" s="21"/>
      <c r="VSC39" s="21"/>
      <c r="VSD39" s="21"/>
      <c r="VSE39" s="21"/>
      <c r="VSF39" s="21"/>
      <c r="VSG39" s="21"/>
      <c r="VSH39" s="21"/>
      <c r="VSI39" s="21"/>
      <c r="VSJ39" s="21"/>
      <c r="VSK39" s="21"/>
      <c r="VSL39" s="21"/>
      <c r="VSM39" s="21"/>
      <c r="VSN39" s="21"/>
      <c r="VSO39" s="21"/>
      <c r="VSP39" s="21"/>
      <c r="VSQ39" s="21"/>
      <c r="VSR39" s="21"/>
      <c r="VSS39" s="21"/>
      <c r="VST39" s="21"/>
      <c r="VSU39" s="21"/>
      <c r="VSV39" s="21"/>
      <c r="VSW39" s="21"/>
      <c r="VSX39" s="21"/>
      <c r="VSY39" s="21"/>
      <c r="VSZ39" s="21"/>
      <c r="VTA39" s="21"/>
      <c r="VTB39" s="21"/>
      <c r="VTC39" s="21"/>
      <c r="VTD39" s="21"/>
      <c r="VTE39" s="21"/>
      <c r="VTF39" s="21"/>
      <c r="VTG39" s="21"/>
      <c r="VTH39" s="21"/>
      <c r="VTI39" s="21"/>
      <c r="VTJ39" s="21"/>
      <c r="VTK39" s="21"/>
      <c r="VTL39" s="21"/>
      <c r="VTM39" s="21"/>
      <c r="VTN39" s="21"/>
      <c r="VTO39" s="21"/>
      <c r="VTP39" s="21"/>
      <c r="VTQ39" s="21"/>
      <c r="VTR39" s="21"/>
      <c r="VTS39" s="21"/>
      <c r="VTT39" s="21"/>
      <c r="VTU39" s="21"/>
      <c r="VTV39" s="21"/>
      <c r="VTW39" s="21"/>
      <c r="VTX39" s="21"/>
      <c r="VTY39" s="21"/>
      <c r="VTZ39" s="21"/>
      <c r="VUA39" s="21"/>
      <c r="VUB39" s="21"/>
      <c r="VUC39" s="21"/>
      <c r="VUD39" s="21"/>
      <c r="VUE39" s="21"/>
      <c r="VUF39" s="21"/>
      <c r="VUG39" s="21"/>
      <c r="VUH39" s="21"/>
      <c r="VUI39" s="21"/>
      <c r="VUJ39" s="21"/>
      <c r="VUK39" s="21"/>
      <c r="VUL39" s="21"/>
      <c r="VUM39" s="21"/>
      <c r="VUN39" s="21"/>
      <c r="VUO39" s="21"/>
      <c r="VUP39" s="21"/>
      <c r="VUQ39" s="21"/>
      <c r="VUR39" s="21"/>
      <c r="VUS39" s="21"/>
      <c r="VUT39" s="21"/>
      <c r="VUU39" s="21"/>
      <c r="VUV39" s="21"/>
      <c r="VUW39" s="21"/>
      <c r="VUX39" s="21"/>
      <c r="VUY39" s="21"/>
      <c r="VUZ39" s="21"/>
      <c r="VVA39" s="21"/>
      <c r="VVB39" s="21"/>
      <c r="VVC39" s="21"/>
      <c r="VVD39" s="21"/>
      <c r="VVE39" s="21"/>
      <c r="VVF39" s="21"/>
      <c r="VVG39" s="21"/>
      <c r="VVH39" s="21"/>
      <c r="VVI39" s="21"/>
      <c r="VVJ39" s="21"/>
      <c r="VVK39" s="21"/>
      <c r="VVL39" s="21"/>
      <c r="VVM39" s="21"/>
      <c r="VVN39" s="21"/>
      <c r="VVO39" s="21"/>
      <c r="VVP39" s="21"/>
      <c r="VVQ39" s="21"/>
      <c r="VVR39" s="21"/>
      <c r="VVS39" s="21"/>
      <c r="VVT39" s="21"/>
      <c r="VVU39" s="21"/>
      <c r="VVV39" s="21"/>
      <c r="VVW39" s="21"/>
      <c r="VVX39" s="21"/>
      <c r="VVY39" s="21"/>
      <c r="VVZ39" s="21"/>
      <c r="VWA39" s="21"/>
      <c r="VWB39" s="21"/>
      <c r="VWC39" s="21"/>
      <c r="VWD39" s="21"/>
      <c r="VWE39" s="21"/>
      <c r="VWF39" s="21"/>
      <c r="VWG39" s="21"/>
      <c r="VWH39" s="21"/>
      <c r="VWI39" s="21"/>
      <c r="VWJ39" s="21"/>
      <c r="VWK39" s="21"/>
      <c r="VWL39" s="21"/>
      <c r="VWM39" s="21"/>
      <c r="VWN39" s="21"/>
      <c r="VWO39" s="21"/>
      <c r="VWP39" s="21"/>
      <c r="VWQ39" s="21"/>
      <c r="VWR39" s="21"/>
      <c r="VWS39" s="21"/>
      <c r="VWT39" s="21"/>
      <c r="VWU39" s="21"/>
      <c r="VWV39" s="21"/>
      <c r="VWW39" s="21"/>
      <c r="VWX39" s="21"/>
      <c r="VWY39" s="21"/>
      <c r="VWZ39" s="21"/>
      <c r="VXA39" s="21"/>
      <c r="VXB39" s="21"/>
      <c r="VXC39" s="21"/>
      <c r="VXD39" s="21"/>
      <c r="VXE39" s="21"/>
      <c r="VXF39" s="21"/>
      <c r="VXG39" s="21"/>
      <c r="VXH39" s="21"/>
      <c r="VXI39" s="21"/>
      <c r="VXJ39" s="21"/>
      <c r="VXK39" s="21"/>
      <c r="VXL39" s="21"/>
      <c r="VXM39" s="21"/>
      <c r="VXN39" s="21"/>
      <c r="VXO39" s="21"/>
      <c r="VXP39" s="21"/>
      <c r="VXQ39" s="21"/>
      <c r="VXR39" s="21"/>
      <c r="VXS39" s="21"/>
      <c r="VXT39" s="21"/>
      <c r="VXU39" s="21"/>
      <c r="VXV39" s="21"/>
      <c r="VXW39" s="21"/>
      <c r="VXX39" s="21"/>
      <c r="VXY39" s="21"/>
      <c r="VXZ39" s="21"/>
      <c r="VYA39" s="21"/>
      <c r="VYB39" s="21"/>
      <c r="VYC39" s="21"/>
      <c r="VYD39" s="21"/>
      <c r="VYE39" s="21"/>
      <c r="VYF39" s="21"/>
      <c r="VYG39" s="21"/>
      <c r="VYH39" s="21"/>
      <c r="VYI39" s="21"/>
      <c r="VYJ39" s="21"/>
      <c r="VYK39" s="21"/>
      <c r="VYL39" s="21"/>
      <c r="VYM39" s="21"/>
      <c r="VYN39" s="21"/>
      <c r="VYO39" s="21"/>
      <c r="VYP39" s="21"/>
      <c r="VYQ39" s="21"/>
      <c r="VYR39" s="21"/>
      <c r="VYS39" s="21"/>
      <c r="VYT39" s="21"/>
      <c r="VYU39" s="21"/>
      <c r="VYV39" s="21"/>
      <c r="VYW39" s="21"/>
      <c r="VYX39" s="21"/>
      <c r="VYY39" s="21"/>
      <c r="VYZ39" s="21"/>
      <c r="VZA39" s="21"/>
      <c r="VZB39" s="21"/>
      <c r="VZC39" s="21"/>
      <c r="VZD39" s="21"/>
      <c r="VZE39" s="21"/>
      <c r="VZF39" s="21"/>
      <c r="VZG39" s="21"/>
      <c r="VZH39" s="21"/>
      <c r="VZI39" s="21"/>
      <c r="VZJ39" s="21"/>
      <c r="VZK39" s="21"/>
      <c r="VZL39" s="21"/>
      <c r="VZM39" s="21"/>
      <c r="VZN39" s="21"/>
      <c r="VZO39" s="21"/>
      <c r="VZP39" s="21"/>
      <c r="VZQ39" s="21"/>
      <c r="VZR39" s="21"/>
      <c r="VZS39" s="21"/>
      <c r="VZT39" s="21"/>
      <c r="VZU39" s="21"/>
      <c r="VZV39" s="21"/>
      <c r="VZW39" s="21"/>
      <c r="VZX39" s="21"/>
      <c r="VZY39" s="21"/>
      <c r="VZZ39" s="21"/>
      <c r="WAA39" s="21"/>
      <c r="WAB39" s="21"/>
      <c r="WAC39" s="21"/>
      <c r="WAD39" s="21"/>
      <c r="WAE39" s="21"/>
      <c r="WAF39" s="21"/>
      <c r="WAG39" s="21"/>
      <c r="WAH39" s="21"/>
      <c r="WAI39" s="21"/>
      <c r="WAJ39" s="21"/>
      <c r="WAK39" s="21"/>
      <c r="WAL39" s="21"/>
      <c r="WAM39" s="21"/>
      <c r="WAN39" s="21"/>
      <c r="WAO39" s="21"/>
      <c r="WAP39" s="21"/>
      <c r="WAQ39" s="21"/>
      <c r="WAR39" s="21"/>
      <c r="WAS39" s="21"/>
      <c r="WAT39" s="21"/>
      <c r="WAU39" s="21"/>
      <c r="WAV39" s="21"/>
      <c r="WAW39" s="21"/>
      <c r="WAX39" s="21"/>
      <c r="WAY39" s="21"/>
      <c r="WAZ39" s="21"/>
      <c r="WBA39" s="21"/>
      <c r="WBB39" s="21"/>
      <c r="WBC39" s="21"/>
      <c r="WBD39" s="21"/>
      <c r="WBE39" s="21"/>
      <c r="WBF39" s="21"/>
      <c r="WBG39" s="21"/>
      <c r="WBH39" s="21"/>
      <c r="WBI39" s="21"/>
      <c r="WBJ39" s="21"/>
      <c r="WBK39" s="21"/>
      <c r="WBL39" s="21"/>
      <c r="WBM39" s="21"/>
      <c r="WBN39" s="21"/>
      <c r="WBO39" s="21"/>
      <c r="WBP39" s="21"/>
      <c r="WBQ39" s="21"/>
      <c r="WBR39" s="21"/>
      <c r="WBS39" s="21"/>
      <c r="WBT39" s="21"/>
      <c r="WBU39" s="21"/>
      <c r="WBV39" s="21"/>
      <c r="WBW39" s="21"/>
      <c r="WBX39" s="21"/>
      <c r="WBY39" s="21"/>
      <c r="WBZ39" s="21"/>
      <c r="WCA39" s="21"/>
      <c r="WCB39" s="21"/>
      <c r="WCC39" s="21"/>
      <c r="WCD39" s="21"/>
      <c r="WCE39" s="21"/>
      <c r="WCF39" s="21"/>
      <c r="WCG39" s="21"/>
      <c r="WCH39" s="21"/>
      <c r="WCI39" s="21"/>
      <c r="WCJ39" s="21"/>
      <c r="WCK39" s="21"/>
      <c r="WCL39" s="21"/>
      <c r="WCM39" s="21"/>
      <c r="WCN39" s="21"/>
      <c r="WCO39" s="21"/>
      <c r="WCP39" s="21"/>
      <c r="WCQ39" s="21"/>
      <c r="WCR39" s="21"/>
      <c r="WCS39" s="21"/>
      <c r="WCT39" s="21"/>
      <c r="WCU39" s="21"/>
      <c r="WCV39" s="21"/>
      <c r="WCW39" s="21"/>
      <c r="WCX39" s="21"/>
      <c r="WCY39" s="21"/>
      <c r="WCZ39" s="21"/>
      <c r="WDA39" s="21"/>
      <c r="WDB39" s="21"/>
      <c r="WDC39" s="21"/>
      <c r="WDD39" s="21"/>
      <c r="WDE39" s="21"/>
      <c r="WDF39" s="21"/>
      <c r="WDG39" s="21"/>
      <c r="WDH39" s="21"/>
      <c r="WDI39" s="21"/>
      <c r="WDJ39" s="21"/>
      <c r="WDK39" s="21"/>
      <c r="WDL39" s="21"/>
      <c r="WDM39" s="21"/>
      <c r="WDN39" s="21"/>
      <c r="WDO39" s="21"/>
      <c r="WDP39" s="21"/>
      <c r="WDQ39" s="21"/>
      <c r="WDR39" s="21"/>
      <c r="WDS39" s="21"/>
      <c r="WDT39" s="21"/>
      <c r="WDU39" s="21"/>
      <c r="WDV39" s="21"/>
      <c r="WDW39" s="21"/>
      <c r="WDX39" s="21"/>
      <c r="WDY39" s="21"/>
      <c r="WDZ39" s="21"/>
      <c r="WEA39" s="21"/>
      <c r="WEB39" s="21"/>
      <c r="WEC39" s="21"/>
      <c r="WED39" s="21"/>
      <c r="WEE39" s="21"/>
      <c r="WEF39" s="21"/>
      <c r="WEG39" s="21"/>
      <c r="WEH39" s="21"/>
      <c r="WEI39" s="21"/>
      <c r="WEJ39" s="21"/>
      <c r="WEK39" s="21"/>
      <c r="WEL39" s="21"/>
      <c r="WEM39" s="21"/>
      <c r="WEN39" s="21"/>
      <c r="WEO39" s="21"/>
      <c r="WEP39" s="21"/>
      <c r="WEQ39" s="21"/>
      <c r="WER39" s="21"/>
      <c r="WES39" s="21"/>
      <c r="WET39" s="21"/>
      <c r="WEU39" s="21"/>
      <c r="WEV39" s="21"/>
      <c r="WEW39" s="21"/>
      <c r="WEX39" s="21"/>
      <c r="WEY39" s="21"/>
      <c r="WEZ39" s="21"/>
      <c r="WFA39" s="21"/>
      <c r="WFB39" s="21"/>
      <c r="WFC39" s="21"/>
      <c r="WFD39" s="21"/>
      <c r="WFE39" s="21"/>
      <c r="WFF39" s="21"/>
      <c r="WFG39" s="21"/>
      <c r="WFH39" s="21"/>
      <c r="WFI39" s="21"/>
      <c r="WFJ39" s="21"/>
      <c r="WFK39" s="21"/>
      <c r="WFL39" s="21"/>
      <c r="WFM39" s="21"/>
      <c r="WFN39" s="21"/>
      <c r="WFO39" s="21"/>
      <c r="WFP39" s="21"/>
      <c r="WFQ39" s="21"/>
      <c r="WFR39" s="21"/>
      <c r="WFS39" s="21"/>
      <c r="WFT39" s="21"/>
      <c r="WFU39" s="21"/>
      <c r="WFV39" s="21"/>
      <c r="WFW39" s="21"/>
      <c r="WFX39" s="21"/>
      <c r="WFY39" s="21"/>
      <c r="WFZ39" s="21"/>
      <c r="WGA39" s="21"/>
      <c r="WGB39" s="21"/>
      <c r="WGC39" s="21"/>
      <c r="WGD39" s="21"/>
      <c r="WGE39" s="21"/>
      <c r="WGF39" s="21"/>
      <c r="WGG39" s="21"/>
      <c r="WGH39" s="21"/>
      <c r="WGI39" s="21"/>
      <c r="WGJ39" s="21"/>
      <c r="WGK39" s="21"/>
      <c r="WGL39" s="21"/>
      <c r="WGM39" s="21"/>
      <c r="WGN39" s="21"/>
      <c r="WGO39" s="21"/>
      <c r="WGP39" s="21"/>
      <c r="WGQ39" s="21"/>
      <c r="WGR39" s="21"/>
      <c r="WGS39" s="21"/>
      <c r="WGT39" s="21"/>
      <c r="WGU39" s="21"/>
      <c r="WGV39" s="21"/>
      <c r="WGW39" s="21"/>
      <c r="WGX39" s="21"/>
      <c r="WGY39" s="21"/>
      <c r="WGZ39" s="21"/>
      <c r="WHA39" s="21"/>
      <c r="WHB39" s="21"/>
      <c r="WHC39" s="21"/>
      <c r="WHD39" s="21"/>
      <c r="WHE39" s="21"/>
      <c r="WHF39" s="21"/>
      <c r="WHG39" s="21"/>
      <c r="WHH39" s="21"/>
      <c r="WHI39" s="21"/>
      <c r="WHJ39" s="21"/>
      <c r="WHK39" s="21"/>
      <c r="WHL39" s="21"/>
      <c r="WHM39" s="21"/>
      <c r="WHN39" s="21"/>
      <c r="WHO39" s="21"/>
      <c r="WHP39" s="21"/>
      <c r="WHQ39" s="21"/>
      <c r="WHR39" s="21"/>
      <c r="WHS39" s="21"/>
      <c r="WHT39" s="21"/>
      <c r="WHU39" s="21"/>
      <c r="WHV39" s="21"/>
      <c r="WHW39" s="21"/>
      <c r="WHX39" s="21"/>
      <c r="WHY39" s="21"/>
      <c r="WHZ39" s="21"/>
      <c r="WIA39" s="21"/>
      <c r="WIB39" s="21"/>
      <c r="WIC39" s="21"/>
      <c r="WID39" s="21"/>
      <c r="WIE39" s="21"/>
      <c r="WIF39" s="21"/>
      <c r="WIG39" s="21"/>
      <c r="WIH39" s="21"/>
      <c r="WII39" s="21"/>
      <c r="WIJ39" s="21"/>
      <c r="WIK39" s="21"/>
      <c r="WIL39" s="21"/>
      <c r="WIM39" s="21"/>
      <c r="WIN39" s="21"/>
      <c r="WIO39" s="21"/>
      <c r="WIP39" s="21"/>
      <c r="WIQ39" s="21"/>
      <c r="WIR39" s="21"/>
      <c r="WIS39" s="21"/>
      <c r="WIT39" s="21"/>
      <c r="WIU39" s="21"/>
      <c r="WIV39" s="21"/>
      <c r="WIW39" s="21"/>
      <c r="WIX39" s="21"/>
      <c r="WIY39" s="21"/>
      <c r="WIZ39" s="21"/>
      <c r="WJA39" s="21"/>
      <c r="WJB39" s="21"/>
      <c r="WJC39" s="21"/>
      <c r="WJD39" s="21"/>
      <c r="WJE39" s="21"/>
      <c r="WJF39" s="21"/>
      <c r="WJG39" s="21"/>
      <c r="WJH39" s="21"/>
      <c r="WJI39" s="21"/>
      <c r="WJJ39" s="21"/>
      <c r="WJK39" s="21"/>
      <c r="WJL39" s="21"/>
      <c r="WJM39" s="21"/>
      <c r="WJN39" s="21"/>
      <c r="WJO39" s="21"/>
      <c r="WJP39" s="21"/>
      <c r="WJQ39" s="21"/>
      <c r="WJR39" s="21"/>
      <c r="WJS39" s="21"/>
      <c r="WJT39" s="21"/>
      <c r="WJU39" s="21"/>
      <c r="WJV39" s="21"/>
      <c r="WJW39" s="21"/>
      <c r="WJX39" s="21"/>
      <c r="WJY39" s="21"/>
      <c r="WJZ39" s="21"/>
      <c r="WKA39" s="21"/>
      <c r="WKB39" s="21"/>
      <c r="WKC39" s="21"/>
      <c r="WKD39" s="21"/>
      <c r="WKE39" s="21"/>
      <c r="WKF39" s="21"/>
      <c r="WKG39" s="21"/>
      <c r="WKH39" s="21"/>
      <c r="WKI39" s="21"/>
      <c r="WKJ39" s="21"/>
      <c r="WKK39" s="21"/>
      <c r="WKL39" s="21"/>
      <c r="WKM39" s="21"/>
      <c r="WKN39" s="21"/>
      <c r="WKO39" s="21"/>
      <c r="WKP39" s="21"/>
      <c r="WKQ39" s="21"/>
      <c r="WKR39" s="21"/>
      <c r="WKS39" s="21"/>
      <c r="WKT39" s="21"/>
      <c r="WKU39" s="21"/>
      <c r="WKV39" s="21"/>
      <c r="WKW39" s="21"/>
      <c r="WKX39" s="21"/>
      <c r="WKY39" s="21"/>
      <c r="WKZ39" s="21"/>
      <c r="WLA39" s="21"/>
      <c r="WLB39" s="21"/>
      <c r="WLC39" s="21"/>
      <c r="WLD39" s="21"/>
      <c r="WLE39" s="21"/>
      <c r="WLF39" s="21"/>
      <c r="WLG39" s="21"/>
      <c r="WLH39" s="21"/>
      <c r="WLI39" s="21"/>
      <c r="WLJ39" s="21"/>
      <c r="WLK39" s="21"/>
      <c r="WLL39" s="21"/>
      <c r="WLM39" s="21"/>
      <c r="WLN39" s="21"/>
      <c r="WLO39" s="21"/>
      <c r="WLP39" s="21"/>
      <c r="WLQ39" s="21"/>
      <c r="WLR39" s="21"/>
      <c r="WLS39" s="21"/>
      <c r="WLT39" s="21"/>
      <c r="WLU39" s="21"/>
      <c r="WLV39" s="21"/>
      <c r="WLW39" s="21"/>
      <c r="WLX39" s="21"/>
      <c r="WLY39" s="21"/>
      <c r="WLZ39" s="21"/>
      <c r="WMA39" s="21"/>
      <c r="WMB39" s="21"/>
      <c r="WMC39" s="21"/>
      <c r="WMD39" s="21"/>
      <c r="WME39" s="21"/>
      <c r="WMF39" s="21"/>
      <c r="WMG39" s="21"/>
      <c r="WMH39" s="21"/>
      <c r="WMI39" s="21"/>
      <c r="WMJ39" s="21"/>
      <c r="WMK39" s="21"/>
      <c r="WML39" s="21"/>
      <c r="WMM39" s="21"/>
      <c r="WMN39" s="21"/>
      <c r="WMO39" s="21"/>
      <c r="WMP39" s="21"/>
      <c r="WMQ39" s="21"/>
      <c r="WMR39" s="21"/>
      <c r="WMS39" s="21"/>
      <c r="WMT39" s="21"/>
      <c r="WMU39" s="21"/>
      <c r="WMV39" s="21"/>
      <c r="WMW39" s="21"/>
      <c r="WMX39" s="21"/>
      <c r="WMY39" s="21"/>
      <c r="WMZ39" s="21"/>
      <c r="WNA39" s="21"/>
      <c r="WNB39" s="21"/>
      <c r="WNC39" s="21"/>
      <c r="WND39" s="21"/>
      <c r="WNE39" s="21"/>
      <c r="WNF39" s="21"/>
      <c r="WNG39" s="21"/>
      <c r="WNH39" s="21"/>
      <c r="WNI39" s="21"/>
      <c r="WNJ39" s="21"/>
      <c r="WNK39" s="21"/>
      <c r="WNL39" s="21"/>
      <c r="WNM39" s="21"/>
      <c r="WNN39" s="21"/>
      <c r="WNO39" s="21"/>
      <c r="WNP39" s="21"/>
      <c r="WNQ39" s="21"/>
      <c r="WNR39" s="21"/>
      <c r="WNS39" s="21"/>
      <c r="WNT39" s="21"/>
      <c r="WNU39" s="21"/>
      <c r="WNV39" s="21"/>
      <c r="WNW39" s="21"/>
      <c r="WNX39" s="21"/>
      <c r="WNY39" s="21"/>
      <c r="WNZ39" s="21"/>
      <c r="WOA39" s="21"/>
      <c r="WOB39" s="21"/>
      <c r="WOC39" s="21"/>
      <c r="WOD39" s="21"/>
      <c r="WOE39" s="21"/>
      <c r="WOF39" s="21"/>
      <c r="WOG39" s="21"/>
      <c r="WOH39" s="21"/>
      <c r="WOI39" s="21"/>
      <c r="WOJ39" s="21"/>
      <c r="WOK39" s="21"/>
      <c r="WOL39" s="21"/>
      <c r="WOM39" s="21"/>
      <c r="WON39" s="21"/>
      <c r="WOO39" s="21"/>
      <c r="WOP39" s="21"/>
      <c r="WOQ39" s="21"/>
      <c r="WOR39" s="21"/>
      <c r="WOS39" s="21"/>
      <c r="WOT39" s="21"/>
      <c r="WOU39" s="21"/>
      <c r="WOV39" s="21"/>
      <c r="WOW39" s="21"/>
      <c r="WOX39" s="21"/>
      <c r="WOY39" s="21"/>
      <c r="WOZ39" s="21"/>
      <c r="WPA39" s="21"/>
      <c r="WPB39" s="21"/>
      <c r="WPC39" s="21"/>
      <c r="WPD39" s="21"/>
      <c r="WPE39" s="21"/>
      <c r="WPF39" s="21"/>
      <c r="WPG39" s="21"/>
      <c r="WPH39" s="21"/>
      <c r="WPI39" s="21"/>
      <c r="WPJ39" s="21"/>
      <c r="WPK39" s="21"/>
      <c r="WPL39" s="21"/>
      <c r="WPM39" s="21"/>
      <c r="WPN39" s="21"/>
      <c r="WPO39" s="21"/>
      <c r="WPP39" s="21"/>
      <c r="WPQ39" s="21"/>
      <c r="WPR39" s="21"/>
      <c r="WPS39" s="21"/>
      <c r="WPT39" s="21"/>
      <c r="WPU39" s="21"/>
      <c r="WPV39" s="21"/>
      <c r="WPW39" s="21"/>
      <c r="WPX39" s="21"/>
      <c r="WPY39" s="21"/>
      <c r="WPZ39" s="21"/>
      <c r="WQA39" s="21"/>
      <c r="WQB39" s="21"/>
      <c r="WQC39" s="21"/>
      <c r="WQD39" s="21"/>
      <c r="WQE39" s="21"/>
      <c r="WQF39" s="21"/>
      <c r="WQG39" s="21"/>
      <c r="WQH39" s="21"/>
      <c r="WQI39" s="21"/>
      <c r="WQJ39" s="21"/>
      <c r="WQK39" s="21"/>
      <c r="WQL39" s="21"/>
      <c r="WQM39" s="21"/>
      <c r="WQN39" s="21"/>
      <c r="WQO39" s="21"/>
      <c r="WQP39" s="21"/>
      <c r="WQQ39" s="21"/>
      <c r="WQR39" s="21"/>
      <c r="WQS39" s="21"/>
      <c r="WQT39" s="21"/>
      <c r="WQU39" s="21"/>
      <c r="WQV39" s="21"/>
      <c r="WQW39" s="21"/>
      <c r="WQX39" s="21"/>
      <c r="WQY39" s="21"/>
      <c r="WQZ39" s="21"/>
      <c r="WRA39" s="21"/>
      <c r="WRB39" s="21"/>
      <c r="WRC39" s="21"/>
      <c r="WRD39" s="21"/>
      <c r="WRE39" s="21"/>
      <c r="WRF39" s="21"/>
      <c r="WRG39" s="21"/>
      <c r="WRH39" s="21"/>
      <c r="WRI39" s="21"/>
      <c r="WRJ39" s="21"/>
      <c r="WRK39" s="21"/>
      <c r="WRL39" s="21"/>
      <c r="WRM39" s="21"/>
      <c r="WRN39" s="21"/>
      <c r="WRO39" s="21"/>
      <c r="WRP39" s="21"/>
      <c r="WRQ39" s="21"/>
      <c r="WRR39" s="21"/>
      <c r="WRS39" s="21"/>
      <c r="WRT39" s="21"/>
      <c r="WRU39" s="21"/>
      <c r="WRV39" s="21"/>
      <c r="WRW39" s="21"/>
      <c r="WRX39" s="21"/>
      <c r="WRY39" s="21"/>
      <c r="WRZ39" s="21"/>
      <c r="WSA39" s="21"/>
      <c r="WSB39" s="21"/>
      <c r="WSC39" s="21"/>
      <c r="WSD39" s="21"/>
      <c r="WSE39" s="21"/>
      <c r="WSF39" s="21"/>
      <c r="WSG39" s="21"/>
      <c r="WSH39" s="21"/>
      <c r="WSI39" s="21"/>
      <c r="WSJ39" s="21"/>
      <c r="WSK39" s="21"/>
      <c r="WSL39" s="21"/>
      <c r="WSM39" s="21"/>
      <c r="WSN39" s="21"/>
      <c r="WSO39" s="21"/>
      <c r="WSP39" s="21"/>
      <c r="WSQ39" s="21"/>
      <c r="WSR39" s="21"/>
      <c r="WSS39" s="21"/>
      <c r="WST39" s="21"/>
      <c r="WSU39" s="21"/>
      <c r="WSV39" s="21"/>
      <c r="WSW39" s="21"/>
      <c r="WSX39" s="21"/>
      <c r="WSY39" s="21"/>
      <c r="WSZ39" s="21"/>
      <c r="WTA39" s="21"/>
      <c r="WTB39" s="21"/>
      <c r="WTC39" s="21"/>
      <c r="WTD39" s="21"/>
      <c r="WTE39" s="21"/>
      <c r="WTF39" s="21"/>
      <c r="WTG39" s="21"/>
      <c r="WTH39" s="21"/>
      <c r="WTI39" s="21"/>
      <c r="WTJ39" s="21"/>
      <c r="WTK39" s="21"/>
      <c r="WTL39" s="21"/>
      <c r="WTM39" s="21"/>
      <c r="WTN39" s="21"/>
      <c r="WTO39" s="21"/>
      <c r="WTP39" s="21"/>
      <c r="WTQ39" s="21"/>
      <c r="WTR39" s="21"/>
      <c r="WTS39" s="21"/>
      <c r="WTT39" s="21"/>
      <c r="WTU39" s="21"/>
      <c r="WTV39" s="21"/>
      <c r="WTW39" s="21"/>
      <c r="WTX39" s="21"/>
      <c r="WTY39" s="21"/>
      <c r="WTZ39" s="21"/>
      <c r="WUA39" s="21"/>
      <c r="WUB39" s="21"/>
      <c r="WUC39" s="21"/>
      <c r="WUD39" s="21"/>
      <c r="WUE39" s="21"/>
      <c r="WUF39" s="21"/>
      <c r="WUG39" s="21"/>
      <c r="WUH39" s="21"/>
      <c r="WUI39" s="21"/>
      <c r="WUJ39" s="21"/>
      <c r="WUK39" s="21"/>
      <c r="WUL39" s="21"/>
      <c r="WUM39" s="21"/>
      <c r="WUN39" s="21"/>
      <c r="WUO39" s="21"/>
      <c r="WUP39" s="21"/>
      <c r="WUQ39" s="21"/>
      <c r="WUR39" s="21"/>
      <c r="WUS39" s="21"/>
      <c r="WUT39" s="21"/>
      <c r="WUU39" s="21"/>
      <c r="WUV39" s="21"/>
      <c r="WUW39" s="21"/>
      <c r="WUX39" s="21"/>
      <c r="WUY39" s="21"/>
      <c r="WUZ39" s="21"/>
      <c r="WVA39" s="21"/>
      <c r="WVB39" s="21"/>
      <c r="WVC39" s="21"/>
      <c r="WVD39" s="21"/>
      <c r="WVE39" s="21"/>
      <c r="WVF39" s="21"/>
      <c r="WVG39" s="21"/>
      <c r="WVH39" s="21"/>
      <c r="WVI39" s="21"/>
      <c r="WVJ39" s="21"/>
      <c r="WVK39" s="21"/>
      <c r="WVL39" s="21"/>
      <c r="WVM39" s="21"/>
      <c r="WVN39" s="21"/>
      <c r="WVO39" s="21"/>
      <c r="WVP39" s="21"/>
      <c r="WVQ39" s="21"/>
      <c r="WVR39" s="21"/>
      <c r="WVS39" s="21"/>
      <c r="WVT39" s="21"/>
      <c r="WVU39" s="21"/>
      <c r="WVV39" s="21"/>
      <c r="WVW39" s="21"/>
      <c r="WVX39" s="21"/>
      <c r="WVY39" s="21"/>
      <c r="WVZ39" s="21"/>
      <c r="WWA39" s="21"/>
      <c r="WWB39" s="21"/>
      <c r="WWC39" s="21"/>
      <c r="WWD39" s="21"/>
      <c r="WWE39" s="21"/>
      <c r="WWF39" s="21"/>
      <c r="WWG39" s="21"/>
      <c r="WWH39" s="21"/>
      <c r="WWI39" s="21"/>
      <c r="WWJ39" s="21"/>
      <c r="WWK39" s="21"/>
      <c r="WWL39" s="21"/>
      <c r="WWM39" s="21"/>
      <c r="WWN39" s="21"/>
      <c r="WWO39" s="21"/>
      <c r="WWP39" s="21"/>
      <c r="WWQ39" s="21"/>
      <c r="WWR39" s="21"/>
      <c r="WWS39" s="21"/>
      <c r="WWT39" s="21"/>
      <c r="WWU39" s="21"/>
      <c r="WWV39" s="21"/>
      <c r="WWW39" s="21"/>
      <c r="WWX39" s="21"/>
      <c r="WWY39" s="21"/>
      <c r="WWZ39" s="21"/>
      <c r="WXA39" s="21"/>
      <c r="WXB39" s="21"/>
      <c r="WXC39" s="21"/>
      <c r="WXD39" s="21"/>
      <c r="WXE39" s="21"/>
      <c r="WXF39" s="21"/>
      <c r="WXG39" s="21"/>
      <c r="WXH39" s="21"/>
      <c r="WXI39" s="21"/>
      <c r="WXJ39" s="21"/>
      <c r="WXK39" s="21"/>
      <c r="WXL39" s="21"/>
      <c r="WXM39" s="21"/>
      <c r="WXN39" s="21"/>
      <c r="WXO39" s="21"/>
      <c r="WXP39" s="21"/>
      <c r="WXQ39" s="21"/>
      <c r="WXR39" s="21"/>
      <c r="WXS39" s="21"/>
      <c r="WXT39" s="21"/>
      <c r="WXU39" s="21"/>
      <c r="WXV39" s="21"/>
      <c r="WXW39" s="21"/>
      <c r="WXX39" s="21"/>
      <c r="WXY39" s="21"/>
      <c r="WXZ39" s="21"/>
      <c r="WYA39" s="21"/>
      <c r="WYB39" s="21"/>
      <c r="WYC39" s="21"/>
      <c r="WYD39" s="21"/>
      <c r="WYE39" s="21"/>
      <c r="WYF39" s="21"/>
      <c r="WYG39" s="21"/>
      <c r="WYH39" s="21"/>
      <c r="WYI39" s="21"/>
      <c r="WYJ39" s="21"/>
      <c r="WYK39" s="21"/>
      <c r="WYL39" s="21"/>
      <c r="WYM39" s="21"/>
      <c r="WYN39" s="21"/>
      <c r="WYO39" s="21"/>
      <c r="WYP39" s="21"/>
      <c r="WYQ39" s="21"/>
      <c r="WYR39" s="21"/>
      <c r="WYS39" s="21"/>
      <c r="WYT39" s="21"/>
      <c r="WYU39" s="21"/>
      <c r="WYV39" s="21"/>
      <c r="WYW39" s="21"/>
      <c r="WYX39" s="21"/>
      <c r="WYY39" s="21"/>
      <c r="WYZ39" s="21"/>
      <c r="WZA39" s="21"/>
      <c r="WZB39" s="21"/>
      <c r="WZC39" s="21"/>
      <c r="WZD39" s="21"/>
      <c r="WZE39" s="21"/>
      <c r="WZF39" s="21"/>
      <c r="WZG39" s="21"/>
      <c r="WZH39" s="21"/>
      <c r="WZI39" s="21"/>
      <c r="WZJ39" s="21"/>
      <c r="WZK39" s="21"/>
      <c r="WZL39" s="21"/>
      <c r="WZM39" s="21"/>
      <c r="WZN39" s="21"/>
      <c r="WZO39" s="21"/>
      <c r="WZP39" s="21"/>
      <c r="WZQ39" s="21"/>
      <c r="WZR39" s="21"/>
      <c r="WZS39" s="21"/>
      <c r="WZT39" s="21"/>
      <c r="WZU39" s="21"/>
      <c r="WZV39" s="21"/>
      <c r="WZW39" s="21"/>
      <c r="WZX39" s="21"/>
      <c r="WZY39" s="21"/>
      <c r="WZZ39" s="21"/>
      <c r="XAA39" s="21"/>
      <c r="XAB39" s="21"/>
      <c r="XAC39" s="21"/>
      <c r="XAD39" s="21"/>
      <c r="XAE39" s="21"/>
      <c r="XAF39" s="21"/>
      <c r="XAG39" s="21"/>
      <c r="XAH39" s="21"/>
      <c r="XAI39" s="21"/>
      <c r="XAJ39" s="21"/>
      <c r="XAK39" s="21"/>
      <c r="XAL39" s="21"/>
      <c r="XAM39" s="21"/>
      <c r="XAN39" s="21"/>
      <c r="XAO39" s="21"/>
      <c r="XAP39" s="21"/>
      <c r="XAQ39" s="21"/>
      <c r="XAR39" s="21"/>
      <c r="XAS39" s="21"/>
      <c r="XAT39" s="21"/>
      <c r="XAU39" s="21"/>
      <c r="XAV39" s="21"/>
      <c r="XAW39" s="21"/>
      <c r="XAX39" s="21"/>
      <c r="XAY39" s="21"/>
      <c r="XAZ39" s="21"/>
      <c r="XBA39" s="21"/>
      <c r="XBB39" s="21"/>
      <c r="XBC39" s="21"/>
      <c r="XBD39" s="21"/>
      <c r="XBE39" s="21"/>
      <c r="XBF39" s="21"/>
      <c r="XBG39" s="21"/>
      <c r="XBH39" s="21"/>
      <c r="XBI39" s="21"/>
      <c r="XBJ39" s="21"/>
      <c r="XBK39" s="21"/>
      <c r="XBL39" s="21"/>
      <c r="XBM39" s="21"/>
      <c r="XBN39" s="21"/>
      <c r="XBO39" s="21"/>
      <c r="XBP39" s="21"/>
      <c r="XBQ39" s="21"/>
      <c r="XBR39" s="21"/>
      <c r="XBS39" s="21"/>
      <c r="XBT39" s="21"/>
      <c r="XBU39" s="21"/>
      <c r="XBV39" s="21"/>
      <c r="XBW39" s="21"/>
      <c r="XBX39" s="21"/>
      <c r="XBY39" s="21"/>
      <c r="XBZ39" s="21"/>
      <c r="XCA39" s="21"/>
      <c r="XCB39" s="21"/>
      <c r="XCC39" s="21"/>
      <c r="XCD39" s="21"/>
      <c r="XCE39" s="21"/>
      <c r="XCF39" s="21"/>
      <c r="XCG39" s="21"/>
      <c r="XCH39" s="21"/>
      <c r="XCI39" s="21"/>
      <c r="XCJ39" s="21"/>
      <c r="XCK39" s="21"/>
      <c r="XCL39" s="21"/>
      <c r="XCM39" s="21"/>
      <c r="XCN39" s="21"/>
      <c r="XCO39" s="21"/>
      <c r="XCP39" s="21"/>
      <c r="XCQ39" s="21"/>
      <c r="XCR39" s="21"/>
      <c r="XCS39" s="21"/>
      <c r="XCT39" s="21"/>
      <c r="XCU39" s="21"/>
      <c r="XCV39" s="21"/>
      <c r="XCW39" s="21"/>
      <c r="XCX39" s="21"/>
      <c r="XCY39" s="21"/>
      <c r="XCZ39" s="21"/>
      <c r="XDA39" s="21"/>
      <c r="XDB39" s="21"/>
      <c r="XDC39" s="21"/>
      <c r="XDD39" s="21"/>
      <c r="XDE39" s="21"/>
      <c r="XDF39" s="21"/>
      <c r="XDG39" s="21"/>
      <c r="XDH39" s="21"/>
      <c r="XDI39" s="21"/>
      <c r="XDJ39" s="21"/>
      <c r="XDK39" s="21"/>
      <c r="XDL39" s="21"/>
      <c r="XDM39" s="21"/>
      <c r="XDN39" s="21"/>
      <c r="XDO39" s="21"/>
      <c r="XDP39" s="21"/>
      <c r="XDQ39" s="21"/>
      <c r="XDR39" s="21"/>
      <c r="XDS39" s="21"/>
      <c r="XDT39" s="21"/>
      <c r="XDU39" s="21"/>
      <c r="XDV39" s="21"/>
      <c r="XDW39" s="21"/>
      <c r="XDX39" s="21"/>
      <c r="XDY39" s="21"/>
      <c r="XDZ39" s="21"/>
      <c r="XEA39" s="21"/>
      <c r="XEB39" s="21"/>
      <c r="XEC39" s="21"/>
      <c r="XED39" s="21"/>
      <c r="XEE39" s="21"/>
      <c r="XEF39" s="21"/>
      <c r="XEG39" s="21"/>
      <c r="XEH39" s="21"/>
      <c r="XEI39" s="21"/>
      <c r="XEJ39" s="21"/>
      <c r="XEK39" s="21"/>
      <c r="XEL39" s="21"/>
      <c r="XEM39" s="21"/>
      <c r="XEN39" s="21"/>
      <c r="XEO39" s="21"/>
      <c r="XEP39" s="21"/>
      <c r="XEQ39" s="21"/>
      <c r="XER39" s="21"/>
      <c r="XES39" s="21"/>
      <c r="XET39" s="21"/>
      <c r="XEU39" s="21"/>
      <c r="XEV39" s="21"/>
      <c r="XEW39" s="21"/>
      <c r="XEX39" s="21"/>
      <c r="XEY39" s="21"/>
      <c r="XEZ39" s="21"/>
      <c r="XFA39" s="21"/>
      <c r="XFB39" s="21"/>
      <c r="XFC39" s="21"/>
      <c r="XFD39" s="21"/>
    </row>
    <row r="40" spans="1:16384" ht="17" thickTop="1">
      <c r="XEJ40" s="19"/>
    </row>
    <row r="41" spans="1:16384">
      <c r="B41" s="170" t="s">
        <v>137</v>
      </c>
      <c r="C41" s="170"/>
      <c r="D41" s="170"/>
      <c r="E41" s="170"/>
      <c r="F41" s="170"/>
    </row>
    <row r="42" spans="1:16384">
      <c r="B42" s="25"/>
      <c r="C42" s="25"/>
      <c r="D42" s="25"/>
      <c r="E42" s="25"/>
      <c r="F42" s="25"/>
    </row>
    <row r="43" spans="1:16384" ht="19">
      <c r="B43" s="25" t="s">
        <v>157</v>
      </c>
      <c r="C43" s="25"/>
      <c r="D43" s="25"/>
      <c r="E43" s="171">
        <f>Riskfree_Return</f>
        <v>0.04</v>
      </c>
      <c r="F43" s="172">
        <v>1</v>
      </c>
    </row>
    <row r="44" spans="1:16384" ht="18">
      <c r="B44" s="25" t="s">
        <v>138</v>
      </c>
      <c r="C44" s="25"/>
      <c r="D44" s="25"/>
      <c r="E44" s="173">
        <f>Beta_Equity</f>
        <v>1</v>
      </c>
      <c r="F44" s="172">
        <v>2</v>
      </c>
    </row>
    <row r="45" spans="1:16384" ht="19">
      <c r="B45" s="25" t="s">
        <v>158</v>
      </c>
      <c r="C45" s="25"/>
      <c r="D45" s="25"/>
      <c r="E45" s="171">
        <f>Risk_Premium</f>
        <v>3.0000000000000006E-2</v>
      </c>
      <c r="F45" s="172">
        <v>3</v>
      </c>
    </row>
    <row r="46" spans="1:16384" ht="17" customHeight="1">
      <c r="B46" s="174" t="s">
        <v>159</v>
      </c>
      <c r="C46" s="175"/>
      <c r="D46" s="176"/>
      <c r="E46" s="177">
        <f>E43+E44*E45</f>
        <v>7.0000000000000007E-2</v>
      </c>
      <c r="F46" s="178"/>
    </row>
    <row r="47" spans="1:16384" ht="17" customHeight="1">
      <c r="B47" s="25"/>
      <c r="C47" s="25"/>
      <c r="D47" s="25"/>
      <c r="E47" s="25"/>
      <c r="F47" s="172"/>
    </row>
    <row r="48" spans="1:16384" ht="18">
      <c r="B48" s="25" t="s">
        <v>139</v>
      </c>
      <c r="C48" s="25"/>
      <c r="D48" s="25"/>
      <c r="E48" s="179">
        <f>Interest_Rate</f>
        <v>2.7139874739039668E-2</v>
      </c>
      <c r="F48" s="172">
        <v>4</v>
      </c>
    </row>
    <row r="49" spans="2:15" ht="18">
      <c r="B49" s="25" t="s">
        <v>140</v>
      </c>
      <c r="C49" s="25"/>
      <c r="D49" s="25"/>
      <c r="E49" s="171">
        <f>Tax_Rate</f>
        <v>0.3</v>
      </c>
      <c r="F49" s="180"/>
    </row>
    <row r="50" spans="2:15" ht="19">
      <c r="B50" s="174" t="s">
        <v>160</v>
      </c>
      <c r="C50" s="175"/>
      <c r="D50" s="175"/>
      <c r="E50" s="177">
        <f>(1-E49)*E48</f>
        <v>1.8997912317327767E-2</v>
      </c>
      <c r="F50" s="178"/>
    </row>
    <row r="51" spans="2:15" ht="17" customHeight="1">
      <c r="B51" s="25"/>
      <c r="C51" s="25"/>
      <c r="D51" s="25"/>
      <c r="E51" s="25"/>
      <c r="F51" s="172"/>
    </row>
    <row r="52" spans="2:15" ht="17" customHeight="1">
      <c r="B52" s="181" t="s">
        <v>141</v>
      </c>
      <c r="C52" s="25"/>
      <c r="D52" s="25"/>
      <c r="E52" s="25"/>
      <c r="F52" s="172"/>
    </row>
    <row r="53" spans="2:15" ht="18">
      <c r="B53" s="182" t="s">
        <v>142</v>
      </c>
      <c r="C53" s="25"/>
      <c r="D53" s="183">
        <f>'Balance Sheet Historic'!C62</f>
        <v>9573</v>
      </c>
      <c r="E53" s="184">
        <f>D53/D55</f>
        <v>0.13257717395820351</v>
      </c>
      <c r="F53" s="172"/>
    </row>
    <row r="54" spans="2:15" ht="18">
      <c r="B54" s="182" t="s">
        <v>143</v>
      </c>
      <c r="C54" s="25"/>
      <c r="D54" s="183">
        <f>'Balance Sheet Historic'!C64</f>
        <v>62634</v>
      </c>
      <c r="E54" s="184">
        <f>D54/D55</f>
        <v>0.86742282604179655</v>
      </c>
      <c r="F54" s="172"/>
    </row>
    <row r="55" spans="2:15" ht="18">
      <c r="B55" s="185" t="s">
        <v>144</v>
      </c>
      <c r="C55" s="175"/>
      <c r="D55" s="186">
        <f>SUM(D53:D54)</f>
        <v>72207</v>
      </c>
      <c r="E55" s="187">
        <v>1</v>
      </c>
      <c r="F55" s="188"/>
    </row>
    <row r="56" spans="2:15" ht="18">
      <c r="B56" s="25"/>
      <c r="C56" s="25"/>
      <c r="D56" s="25"/>
      <c r="E56" s="25"/>
      <c r="F56" s="189"/>
    </row>
    <row r="57" spans="2:15" ht="17" thickBot="1">
      <c r="B57" s="190" t="s">
        <v>137</v>
      </c>
      <c r="C57" s="190"/>
      <c r="D57" s="190"/>
      <c r="E57" s="191">
        <f>E46*E54+E53*E50</f>
        <v>6.3238287349062824E-2</v>
      </c>
      <c r="F57" s="190"/>
    </row>
    <row r="58" spans="2:15" ht="17" thickTop="1">
      <c r="B58" s="17" t="s">
        <v>145</v>
      </c>
      <c r="C58" s="9"/>
      <c r="D58" s="9"/>
      <c r="E58" s="9"/>
      <c r="F58" s="9"/>
    </row>
    <row r="59" spans="2:15">
      <c r="B59" s="17" t="s">
        <v>146</v>
      </c>
      <c r="C59" s="9"/>
      <c r="D59" s="9"/>
      <c r="E59" s="9"/>
      <c r="F59" s="9"/>
    </row>
    <row r="60" spans="2:15">
      <c r="B60" s="17" t="s">
        <v>147</v>
      </c>
      <c r="C60" s="9"/>
      <c r="D60" s="9"/>
      <c r="E60" s="9"/>
      <c r="F60" s="9"/>
    </row>
    <row r="61" spans="2:15">
      <c r="B61" s="17" t="s">
        <v>173</v>
      </c>
      <c r="C61" s="9"/>
      <c r="D61" s="9"/>
      <c r="E61" s="9"/>
      <c r="F61" s="9"/>
    </row>
    <row r="63" spans="2:15" ht="16" customHeight="1">
      <c r="B63" s="192" t="s">
        <v>148</v>
      </c>
      <c r="C63" s="192"/>
      <c r="D63" s="193"/>
      <c r="E63" s="194"/>
      <c r="F63" s="324" t="s">
        <v>149</v>
      </c>
      <c r="G63" s="324"/>
      <c r="H63" s="324"/>
      <c r="I63" s="324"/>
      <c r="J63" s="324"/>
      <c r="K63" s="324"/>
      <c r="L63" s="324"/>
      <c r="M63" s="324"/>
      <c r="N63" s="324"/>
      <c r="O63" s="324"/>
    </row>
    <row r="64" spans="2:15">
      <c r="B64" s="147" t="s">
        <v>150</v>
      </c>
      <c r="C64" s="147" t="s">
        <v>151</v>
      </c>
      <c r="D64" s="195">
        <f>E64-1</f>
        <v>2022</v>
      </c>
      <c r="E64" s="196">
        <f>Start_Year</f>
        <v>2023</v>
      </c>
      <c r="F64" s="197">
        <f t="shared" ref="F64:O64" si="21">IF(COLUMN()-COLUMN($E$64)&lt;=Years_Forecasted, E64+1, "")</f>
        <v>2024</v>
      </c>
      <c r="G64" s="197">
        <f t="shared" si="21"/>
        <v>2025</v>
      </c>
      <c r="H64" s="197">
        <f t="shared" si="21"/>
        <v>2026</v>
      </c>
      <c r="I64" s="197" t="str">
        <f t="shared" si="21"/>
        <v/>
      </c>
      <c r="J64" s="197" t="str">
        <f t="shared" si="21"/>
        <v/>
      </c>
      <c r="K64" s="197" t="str">
        <f t="shared" si="21"/>
        <v/>
      </c>
      <c r="L64" s="197" t="str">
        <f t="shared" si="21"/>
        <v/>
      </c>
      <c r="M64" s="197" t="str">
        <f t="shared" si="21"/>
        <v/>
      </c>
      <c r="N64" s="197" t="str">
        <f t="shared" si="21"/>
        <v/>
      </c>
      <c r="O64" s="197" t="str">
        <f t="shared" si="21"/>
        <v/>
      </c>
    </row>
    <row r="65" spans="2:16 16368:16368">
      <c r="B65" s="25"/>
      <c r="C65" s="25"/>
      <c r="D65" s="25"/>
      <c r="E65" s="34"/>
      <c r="F65" s="25"/>
      <c r="G65" s="25"/>
      <c r="H65" s="25"/>
      <c r="I65" s="25"/>
      <c r="J65" s="25"/>
      <c r="K65" s="25"/>
      <c r="L65" s="25"/>
      <c r="M65" s="25"/>
      <c r="N65" s="25"/>
      <c r="O65" s="25"/>
    </row>
    <row r="66" spans="2:16 16368:16368">
      <c r="B66" s="25" t="s">
        <v>1</v>
      </c>
      <c r="C66" s="147" t="s">
        <v>153</v>
      </c>
      <c r="D66" s="198">
        <f>IF('Income Statement Historic'!D14&lt;&gt;"",'Income Statement Historic'!D14, "")</f>
        <v>13910</v>
      </c>
      <c r="E66" s="199">
        <f>IF('Income Statement Historic'!C14&lt;&gt;"",'Income Statement Historic'!C14, "")</f>
        <v>10129</v>
      </c>
      <c r="F66" s="198">
        <f ca="1">IF(F64="","",F18)</f>
        <v>15774.84272516545</v>
      </c>
      <c r="G66" s="198">
        <f t="shared" ref="G66:O66" ca="1" si="22">IF(G64="","",G18)</f>
        <v>16819.682302256882</v>
      </c>
      <c r="H66" s="198">
        <f t="shared" ca="1" si="22"/>
        <v>18036.629671444698</v>
      </c>
      <c r="I66" s="198" t="str">
        <f t="shared" si="22"/>
        <v/>
      </c>
      <c r="J66" s="198" t="str">
        <f t="shared" si="22"/>
        <v/>
      </c>
      <c r="K66" s="198" t="str">
        <f t="shared" si="22"/>
        <v/>
      </c>
      <c r="L66" s="198" t="str">
        <f t="shared" si="22"/>
        <v/>
      </c>
      <c r="M66" s="198" t="str">
        <f t="shared" si="22"/>
        <v/>
      </c>
      <c r="N66" s="198" t="str">
        <f t="shared" si="22"/>
        <v/>
      </c>
      <c r="O66" s="198" t="str">
        <f t="shared" si="22"/>
        <v/>
      </c>
    </row>
    <row r="67" spans="2:16 16368:16368">
      <c r="B67" s="25" t="str">
        <f>"Taxes @ "&amp;TEXT(Tax_Rate,"0.0%")</f>
        <v>Taxes @ 30%</v>
      </c>
      <c r="C67" s="147" t="s">
        <v>153</v>
      </c>
      <c r="D67" s="198">
        <f>IF(D64="","",-D66*Tax_Rate)</f>
        <v>-4173</v>
      </c>
      <c r="E67" s="199">
        <f>IF(E64="","",-E66*Tax_Rate)</f>
        <v>-3038.7</v>
      </c>
      <c r="F67" s="198">
        <f ca="1">IF(F64="","",-F66*F34)</f>
        <v>-4732.4528175496353</v>
      </c>
      <c r="G67" s="198">
        <f t="shared" ref="G67:O67" ca="1" si="23">IF(G64="","",-G66*G34)</f>
        <v>-5045.9046906770645</v>
      </c>
      <c r="H67" s="198">
        <f t="shared" ca="1" si="23"/>
        <v>-5410.9889014334094</v>
      </c>
      <c r="I67" s="198" t="str">
        <f t="shared" si="23"/>
        <v/>
      </c>
      <c r="J67" s="198" t="str">
        <f t="shared" si="23"/>
        <v/>
      </c>
      <c r="K67" s="198" t="str">
        <f t="shared" si="23"/>
        <v/>
      </c>
      <c r="L67" s="198" t="str">
        <f t="shared" si="23"/>
        <v/>
      </c>
      <c r="M67" s="198" t="str">
        <f t="shared" si="23"/>
        <v/>
      </c>
      <c r="N67" s="198" t="str">
        <f t="shared" si="23"/>
        <v/>
      </c>
      <c r="O67" s="198" t="str">
        <f t="shared" si="23"/>
        <v/>
      </c>
    </row>
    <row r="68" spans="2:16 16368:16368">
      <c r="B68" s="200" t="s">
        <v>2</v>
      </c>
      <c r="C68" s="201" t="s">
        <v>153</v>
      </c>
      <c r="D68" s="202">
        <f>IF(SUM(D66:D67)=0,"",SUM(D66:D67))</f>
        <v>9737</v>
      </c>
      <c r="E68" s="203">
        <f>IF(SUM(E66:E67)=0,"",SUM(E66:E67))</f>
        <v>7090.3</v>
      </c>
      <c r="F68" s="202">
        <f ca="1">IF(SUM(F66:F67)=0,"",SUM(F66:F67))</f>
        <v>11042.389907615816</v>
      </c>
      <c r="G68" s="202">
        <f ca="1">IF(SUM(G66:G67)=0,"",SUM(G66:G67))</f>
        <v>11773.777611579819</v>
      </c>
      <c r="H68" s="202">
        <f ca="1">IF(SUM(H66:H67)=0,"",SUM(H66:H67))</f>
        <v>12625.640770011289</v>
      </c>
      <c r="I68" s="202" t="str">
        <f t="shared" ref="I68:P68" si="24">IF(SUM(I66:I67)=0,"",SUM(I66:I67))</f>
        <v/>
      </c>
      <c r="J68" s="202" t="str">
        <f t="shared" si="24"/>
        <v/>
      </c>
      <c r="K68" s="202" t="str">
        <f t="shared" si="24"/>
        <v/>
      </c>
      <c r="L68" s="202" t="str">
        <f t="shared" si="24"/>
        <v/>
      </c>
      <c r="M68" s="202" t="str">
        <f t="shared" si="24"/>
        <v/>
      </c>
      <c r="N68" s="202" t="str">
        <f t="shared" si="24"/>
        <v/>
      </c>
      <c r="O68" s="202" t="str">
        <f t="shared" si="24"/>
        <v/>
      </c>
      <c r="P68" s="2" t="str">
        <f t="shared" si="24"/>
        <v/>
      </c>
    </row>
    <row r="69" spans="2:16 16368:16368">
      <c r="B69" s="25"/>
      <c r="C69" s="147"/>
      <c r="D69" s="198"/>
      <c r="E69" s="199"/>
      <c r="F69" s="198"/>
      <c r="G69" s="198"/>
      <c r="H69" s="198"/>
      <c r="I69" s="198"/>
      <c r="J69" s="198"/>
      <c r="K69" s="198"/>
      <c r="L69" s="198"/>
      <c r="M69" s="198"/>
      <c r="N69" s="198"/>
      <c r="O69" s="198"/>
    </row>
    <row r="70" spans="2:16 16368:16368">
      <c r="B70" s="25" t="s">
        <v>3</v>
      </c>
      <c r="C70" s="147" t="s">
        <v>153</v>
      </c>
      <c r="D70" s="198">
        <f ca="1">D83</f>
        <v>-7163</v>
      </c>
      <c r="E70" s="199">
        <f t="shared" ref="E70:O70" ca="1" si="25">E83</f>
        <v>-8899</v>
      </c>
      <c r="F70" s="198">
        <f t="shared" ca="1" si="25"/>
        <v>-9165.9699999999993</v>
      </c>
      <c r="G70" s="198">
        <f t="shared" ca="1" si="25"/>
        <v>-9440.9490999999998</v>
      </c>
      <c r="H70" s="198">
        <f t="shared" ca="1" si="25"/>
        <v>-9724.1775730000008</v>
      </c>
      <c r="I70" s="198" t="str">
        <f t="shared" ca="1" si="25"/>
        <v/>
      </c>
      <c r="J70" s="198" t="str">
        <f t="shared" ca="1" si="25"/>
        <v/>
      </c>
      <c r="K70" s="198" t="str">
        <f t="shared" ca="1" si="25"/>
        <v/>
      </c>
      <c r="L70" s="198" t="str">
        <f t="shared" ca="1" si="25"/>
        <v/>
      </c>
      <c r="M70" s="198" t="str">
        <f t="shared" ca="1" si="25"/>
        <v/>
      </c>
      <c r="N70" s="198" t="str">
        <f t="shared" ca="1" si="25"/>
        <v/>
      </c>
      <c r="O70" s="198" t="str">
        <f t="shared" ca="1" si="25"/>
        <v/>
      </c>
    </row>
    <row r="71" spans="2:16 16368:16368">
      <c r="B71" s="25" t="s">
        <v>4</v>
      </c>
      <c r="C71" s="147" t="s">
        <v>153</v>
      </c>
      <c r="D71" s="198">
        <f ca="1">D32</f>
        <v>3747</v>
      </c>
      <c r="E71" s="199">
        <f t="shared" ref="E71:O71" ca="1" si="26">E32</f>
        <v>4667</v>
      </c>
      <c r="F71" s="198">
        <f t="shared" ca="1" si="26"/>
        <v>5632.9396725001388</v>
      </c>
      <c r="G71" s="198">
        <f t="shared" ca="1" si="26"/>
        <v>6627.8575351752816</v>
      </c>
      <c r="H71" s="198">
        <f t="shared" ca="1" si="26"/>
        <v>7652.6229337306795</v>
      </c>
      <c r="I71" s="198" t="str">
        <f t="shared" si="26"/>
        <v/>
      </c>
      <c r="J71" s="198" t="str">
        <f t="shared" si="26"/>
        <v/>
      </c>
      <c r="K71" s="198" t="str">
        <f t="shared" si="26"/>
        <v/>
      </c>
      <c r="L71" s="198" t="str">
        <f t="shared" si="26"/>
        <v/>
      </c>
      <c r="M71" s="198" t="str">
        <f t="shared" si="26"/>
        <v/>
      </c>
      <c r="N71" s="198" t="str">
        <f t="shared" si="26"/>
        <v/>
      </c>
      <c r="O71" s="198" t="str">
        <f t="shared" si="26"/>
        <v/>
      </c>
    </row>
    <row r="72" spans="2:16 16368:16368">
      <c r="B72" s="25" t="s">
        <v>152</v>
      </c>
      <c r="C72" s="147" t="s">
        <v>153</v>
      </c>
      <c r="D72" s="198">
        <f>IF(D84&lt;&gt;"",-D84,"")</f>
        <v>-2978</v>
      </c>
      <c r="E72" s="199">
        <f t="shared" ref="E72:O72" si="27">IF(E84&lt;&gt;"",-E84,"")</f>
        <v>-2190</v>
      </c>
      <c r="F72" s="198">
        <f t="shared" si="27"/>
        <v>-2233.8000000000002</v>
      </c>
      <c r="G72" s="198">
        <f t="shared" si="27"/>
        <v>-2278.4760000000001</v>
      </c>
      <c r="H72" s="198">
        <f t="shared" si="27"/>
        <v>-2324.0455200000001</v>
      </c>
      <c r="I72" s="198" t="str">
        <f t="shared" si="27"/>
        <v/>
      </c>
      <c r="J72" s="198" t="str">
        <f t="shared" si="27"/>
        <v/>
      </c>
      <c r="K72" s="198" t="str">
        <f t="shared" si="27"/>
        <v/>
      </c>
      <c r="L72" s="198" t="str">
        <f t="shared" si="27"/>
        <v/>
      </c>
      <c r="M72" s="198" t="str">
        <f t="shared" si="27"/>
        <v/>
      </c>
      <c r="N72" s="198" t="str">
        <f t="shared" si="27"/>
        <v/>
      </c>
      <c r="O72" s="198" t="str">
        <f t="shared" si="27"/>
        <v/>
      </c>
    </row>
    <row r="73" spans="2:16 16368:16368">
      <c r="B73" s="25"/>
      <c r="C73" s="147"/>
      <c r="D73" s="198"/>
      <c r="E73" s="199"/>
      <c r="F73" s="198"/>
      <c r="G73" s="204"/>
      <c r="H73" s="198"/>
      <c r="I73" s="198"/>
      <c r="J73" s="198"/>
      <c r="K73" s="198"/>
      <c r="L73" s="198"/>
      <c r="M73" s="198"/>
      <c r="N73" s="198"/>
      <c r="O73" s="198"/>
    </row>
    <row r="74" spans="2:16 16368:16368" ht="17" thickBot="1">
      <c r="B74" s="205" t="s">
        <v>5</v>
      </c>
      <c r="C74" s="206" t="s">
        <v>153</v>
      </c>
      <c r="D74" s="207">
        <f ca="1">IF(SUM(D68:D72)=0,"",SUM(D68:D72))</f>
        <v>3343</v>
      </c>
      <c r="E74" s="208">
        <f t="shared" ref="E74:O74" ca="1" si="28">IF(SUM(E68:E72)=0,"",SUM(E68:E72))</f>
        <v>668.30000000000018</v>
      </c>
      <c r="F74" s="207">
        <f t="shared" ca="1" si="28"/>
        <v>5275.5595801159552</v>
      </c>
      <c r="G74" s="209">
        <f t="shared" ca="1" si="28"/>
        <v>6682.2100467551008</v>
      </c>
      <c r="H74" s="207">
        <f ca="1">IF(SUM(H68:H72)=0,"",SUM(H68:H72))</f>
        <v>8230.0406107419676</v>
      </c>
      <c r="I74" s="207" t="str">
        <f t="shared" ca="1" si="28"/>
        <v/>
      </c>
      <c r="J74" s="207" t="str">
        <f t="shared" ca="1" si="28"/>
        <v/>
      </c>
      <c r="K74" s="207" t="str">
        <f t="shared" ca="1" si="28"/>
        <v/>
      </c>
      <c r="L74" s="207" t="str">
        <f t="shared" ca="1" si="28"/>
        <v/>
      </c>
      <c r="M74" s="207" t="str">
        <f t="shared" ca="1" si="28"/>
        <v/>
      </c>
      <c r="N74" s="207" t="str">
        <f t="shared" ca="1" si="28"/>
        <v/>
      </c>
      <c r="O74" s="207" t="str">
        <f t="shared" ca="1" si="28"/>
        <v/>
      </c>
    </row>
    <row r="75" spans="2:16 16368:16368" ht="17" thickTop="1">
      <c r="B75" s="25"/>
      <c r="C75" s="147"/>
      <c r="D75" s="198"/>
      <c r="E75" s="199"/>
      <c r="F75" s="198"/>
      <c r="G75" s="198"/>
      <c r="H75" s="198"/>
      <c r="I75" s="198"/>
      <c r="J75" s="198"/>
      <c r="K75" s="198"/>
      <c r="L75" s="198"/>
      <c r="M75" s="198"/>
      <c r="N75" s="198"/>
      <c r="O75" s="198"/>
    </row>
    <row r="76" spans="2:16 16368:16368">
      <c r="B76" s="25" t="s">
        <v>6</v>
      </c>
      <c r="C76" s="147" t="s">
        <v>154</v>
      </c>
      <c r="D76" s="198"/>
      <c r="E76" s="199"/>
      <c r="F76" s="198">
        <f t="shared" ref="F76:O76" ca="1" si="29">IF(F74&lt;&gt;"",E76+1, "")</f>
        <v>1</v>
      </c>
      <c r="G76" s="198">
        <f t="shared" ca="1" si="29"/>
        <v>2</v>
      </c>
      <c r="H76" s="198">
        <f ca="1">IF(H74&lt;&gt;"",G76+1, "")</f>
        <v>3</v>
      </c>
      <c r="I76" s="198" t="str">
        <f t="shared" ca="1" si="29"/>
        <v/>
      </c>
      <c r="J76" s="198" t="str">
        <f t="shared" ca="1" si="29"/>
        <v/>
      </c>
      <c r="K76" s="198" t="str">
        <f t="shared" ca="1" si="29"/>
        <v/>
      </c>
      <c r="L76" s="198" t="str">
        <f t="shared" ca="1" si="29"/>
        <v/>
      </c>
      <c r="M76" s="198" t="str">
        <f t="shared" ca="1" si="29"/>
        <v/>
      </c>
      <c r="N76" s="198" t="str">
        <f t="shared" ca="1" si="29"/>
        <v/>
      </c>
      <c r="O76" s="198" t="str">
        <f t="shared" ca="1" si="29"/>
        <v/>
      </c>
      <c r="XEN76" s="20"/>
    </row>
    <row r="77" spans="2:16 16368:16368">
      <c r="B77" s="25" t="s">
        <v>7</v>
      </c>
      <c r="C77" s="147" t="s">
        <v>155</v>
      </c>
      <c r="D77" s="198"/>
      <c r="E77" s="199"/>
      <c r="F77" s="210">
        <f>IF(F64&lt;&gt;"",WACC,"")</f>
        <v>6.3238287349062824E-2</v>
      </c>
      <c r="G77" s="210">
        <f t="shared" ref="G77:O77" si="30">IF(G64&lt;&gt;"",WACC,"")</f>
        <v>6.3238287349062824E-2</v>
      </c>
      <c r="H77" s="210">
        <f t="shared" si="30"/>
        <v>6.3238287349062824E-2</v>
      </c>
      <c r="I77" s="210" t="str">
        <f t="shared" si="30"/>
        <v/>
      </c>
      <c r="J77" s="210" t="str">
        <f t="shared" si="30"/>
        <v/>
      </c>
      <c r="K77" s="210" t="str">
        <f t="shared" si="30"/>
        <v/>
      </c>
      <c r="L77" s="210" t="str">
        <f t="shared" si="30"/>
        <v/>
      </c>
      <c r="M77" s="210" t="str">
        <f t="shared" si="30"/>
        <v/>
      </c>
      <c r="N77" s="210" t="str">
        <f t="shared" si="30"/>
        <v/>
      </c>
      <c r="O77" s="210" t="str">
        <f t="shared" si="30"/>
        <v/>
      </c>
    </row>
    <row r="78" spans="2:16 16368:16368">
      <c r="B78" s="25"/>
      <c r="C78" s="147"/>
      <c r="D78" s="198"/>
      <c r="E78" s="199"/>
      <c r="F78" s="198"/>
      <c r="G78" s="198"/>
      <c r="H78" s="198"/>
      <c r="I78" s="198"/>
      <c r="J78" s="198"/>
      <c r="K78" s="198"/>
      <c r="L78" s="198"/>
      <c r="M78" s="198"/>
      <c r="N78" s="198"/>
      <c r="O78" s="198"/>
    </row>
    <row r="79" spans="2:16 16368:16368" ht="17" thickBot="1">
      <c r="B79" s="211" t="s">
        <v>8</v>
      </c>
      <c r="C79" s="212" t="s">
        <v>153</v>
      </c>
      <c r="D79" s="213"/>
      <c r="E79" s="214"/>
      <c r="F79" s="213">
        <f ca="1">IF(F64&lt;&gt;"",F74/(1+F77)^F76,"")</f>
        <v>4961.7848067429313</v>
      </c>
      <c r="G79" s="213">
        <f t="shared" ref="G79:O79" ca="1" si="31">IF(G64&lt;&gt;"",G74/(1+G77)^G76,"")</f>
        <v>5910.9720878564794</v>
      </c>
      <c r="H79" s="213">
        <f t="shared" ca="1" si="31"/>
        <v>6847.1549591427893</v>
      </c>
      <c r="I79" s="213" t="str">
        <f t="shared" si="31"/>
        <v/>
      </c>
      <c r="J79" s="213" t="str">
        <f t="shared" si="31"/>
        <v/>
      </c>
      <c r="K79" s="213" t="str">
        <f t="shared" si="31"/>
        <v/>
      </c>
      <c r="L79" s="213" t="str">
        <f t="shared" si="31"/>
        <v/>
      </c>
      <c r="M79" s="213" t="str">
        <f t="shared" si="31"/>
        <v/>
      </c>
      <c r="N79" s="213" t="str">
        <f t="shared" si="31"/>
        <v/>
      </c>
      <c r="O79" s="213" t="str">
        <f t="shared" si="31"/>
        <v/>
      </c>
    </row>
    <row r="80" spans="2:16 16368:16368" ht="17" thickTop="1">
      <c r="E80" s="35"/>
    </row>
    <row r="81" spans="2:16384">
      <c r="E81" s="35"/>
    </row>
    <row r="82" spans="2:16384">
      <c r="B82" s="75" t="s">
        <v>161</v>
      </c>
      <c r="C82" s="28" t="s">
        <v>151</v>
      </c>
      <c r="D82" s="29"/>
      <c r="E82" s="36"/>
      <c r="F82" s="25"/>
      <c r="G82" s="25"/>
      <c r="H82" s="25"/>
      <c r="I82" s="25"/>
      <c r="J82" s="25"/>
      <c r="K82" s="25"/>
      <c r="L82" s="25"/>
    </row>
    <row r="83" spans="2:16384">
      <c r="B83" s="43" t="s">
        <v>72</v>
      </c>
      <c r="C83" s="44" t="s">
        <v>154</v>
      </c>
      <c r="D83" s="45">
        <f ca="1">IF(D64&lt;&gt;"",-OFFSET('PPE &amp; Depreciation Schedule'!D7,COLUMN()-COLUMN($D$83),0), "")</f>
        <v>-7163</v>
      </c>
      <c r="E83" s="46">
        <f ca="1">IF(E64&lt;&gt;"",-OFFSET('PPE &amp; Depreciation Schedule'!E7,COLUMN()-COLUMN($D$83),0), "")</f>
        <v>-8899</v>
      </c>
      <c r="F83" s="45">
        <f ca="1">IF(F64&lt;&gt;"",-OFFSET('PPE &amp; Depreciation Schedule'!F7,COLUMN()-COLUMN($D$83),0), "")</f>
        <v>-9165.9699999999993</v>
      </c>
      <c r="G83" s="45">
        <f ca="1">IF(G64&lt;&gt;"",-OFFSET('PPE &amp; Depreciation Schedule'!G7,COLUMN()-COLUMN($D$83),0), "")</f>
        <v>-9440.9490999999998</v>
      </c>
      <c r="H83" s="45">
        <f ca="1">IF(H64&lt;&gt;"",-OFFSET('PPE &amp; Depreciation Schedule'!H7,COLUMN()-COLUMN($D$83),0), "")</f>
        <v>-9724.1775730000008</v>
      </c>
      <c r="I83" s="45" t="str">
        <f ca="1">IF(I64&lt;&gt;"",-OFFSET('PPE &amp; Depreciation Schedule'!I7,COLUMN()-COLUMN($D$83),0), "")</f>
        <v/>
      </c>
      <c r="J83" s="45" t="str">
        <f ca="1">IF(J64&lt;&gt;"",-OFFSET('PPE &amp; Depreciation Schedule'!J7,COLUMN()-COLUMN($D$83),0), "")</f>
        <v/>
      </c>
      <c r="K83" s="45" t="str">
        <f ca="1">IF(K64&lt;&gt;"",-OFFSET('PPE &amp; Depreciation Schedule'!K7,COLUMN()-COLUMN($D$83),0), "")</f>
        <v/>
      </c>
      <c r="L83" s="45" t="str">
        <f ca="1">IF(L64&lt;&gt;"",-OFFSET('PPE &amp; Depreciation Schedule'!L7,COLUMN()-COLUMN($D$83),0), "")</f>
        <v/>
      </c>
      <c r="M83" s="45" t="str">
        <f ca="1">IF(M64&lt;&gt;"",-OFFSET('PPE &amp; Depreciation Schedule'!M7,COLUMN()-COLUMN($D$83),0), "")</f>
        <v/>
      </c>
      <c r="N83" s="45" t="str">
        <f ca="1">IF(N64&lt;&gt;"",-OFFSET('PPE &amp; Depreciation Schedule'!N7,COLUMN()-COLUMN($D$83),0), "")</f>
        <v/>
      </c>
      <c r="O83" s="45" t="str">
        <f ca="1">IF(O64&lt;&gt;"",-OFFSET('PPE &amp; Depreciation Schedule'!O7,COLUMN()-COLUMN($D$83),0), "")</f>
        <v/>
      </c>
    </row>
    <row r="84" spans="2:16384">
      <c r="B84" s="43" t="s">
        <v>171</v>
      </c>
      <c r="C84" s="44" t="s">
        <v>153</v>
      </c>
      <c r="D84" s="47">
        <f>IF('Balance Sheet Historic'!D44&lt;&gt;"",'Balance Sheet Historic'!D44, "")</f>
        <v>2978</v>
      </c>
      <c r="E84" s="48">
        <f>IF('Balance Sheet Historic'!C44&lt;&gt;"",'Balance Sheet Historic'!C44,"""")</f>
        <v>2190</v>
      </c>
      <c r="F84" s="258">
        <f>IF(F64&lt;&gt;"",E84*(1+F85),"")</f>
        <v>2233.8000000000002</v>
      </c>
      <c r="G84" s="258">
        <f t="shared" ref="G84:O84" si="32">IF(G64&lt;&gt;"",F84*(1+G85),"")</f>
        <v>2278.4760000000001</v>
      </c>
      <c r="H84" s="258">
        <f t="shared" si="32"/>
        <v>2324.0455200000001</v>
      </c>
      <c r="I84" s="258" t="str">
        <f t="shared" si="32"/>
        <v/>
      </c>
      <c r="J84" s="258" t="str">
        <f t="shared" si="32"/>
        <v/>
      </c>
      <c r="K84" s="258" t="str">
        <f t="shared" si="32"/>
        <v/>
      </c>
      <c r="L84" s="258" t="str">
        <f t="shared" si="32"/>
        <v/>
      </c>
      <c r="M84" s="258" t="str">
        <f t="shared" si="32"/>
        <v/>
      </c>
      <c r="N84" s="258" t="str">
        <f t="shared" si="32"/>
        <v/>
      </c>
      <c r="O84" s="258" t="str">
        <f t="shared" si="32"/>
        <v/>
      </c>
    </row>
    <row r="85" spans="2:16384">
      <c r="B85" s="43" t="s">
        <v>119</v>
      </c>
      <c r="C85" s="44" t="s">
        <v>155</v>
      </c>
      <c r="D85" s="49"/>
      <c r="E85" s="50"/>
      <c r="F85" s="51">
        <f t="shared" ref="F85:O85" si="33">IF(F64&lt;&gt;"",Growth_RATE_ONWC,"")</f>
        <v>0.02</v>
      </c>
      <c r="G85" s="51">
        <f t="shared" si="33"/>
        <v>0.02</v>
      </c>
      <c r="H85" s="51">
        <f t="shared" si="33"/>
        <v>0.02</v>
      </c>
      <c r="I85" s="51" t="str">
        <f t="shared" si="33"/>
        <v/>
      </c>
      <c r="J85" s="51" t="str">
        <f t="shared" si="33"/>
        <v/>
      </c>
      <c r="K85" s="51" t="str">
        <f t="shared" si="33"/>
        <v/>
      </c>
      <c r="L85" s="51" t="str">
        <f t="shared" si="33"/>
        <v/>
      </c>
      <c r="M85" s="51" t="str">
        <f t="shared" si="33"/>
        <v/>
      </c>
      <c r="N85" s="51" t="str">
        <f t="shared" si="33"/>
        <v/>
      </c>
      <c r="O85" s="51" t="str">
        <f t="shared" si="33"/>
        <v/>
      </c>
    </row>
    <row r="86" spans="2:16384">
      <c r="B86" s="30"/>
      <c r="C86" s="28"/>
      <c r="D86" s="29"/>
      <c r="E86" s="29"/>
      <c r="F86" s="32"/>
      <c r="G86" s="32"/>
      <c r="H86" s="32"/>
      <c r="I86" s="32"/>
      <c r="J86" s="32"/>
      <c r="K86" s="25"/>
      <c r="L86" s="25"/>
    </row>
    <row r="87" spans="2:16384">
      <c r="B87" s="30"/>
      <c r="C87" s="28"/>
      <c r="D87" s="31"/>
      <c r="E87" s="31"/>
      <c r="F87" s="24"/>
      <c r="G87" s="24"/>
      <c r="H87" s="24"/>
      <c r="I87" s="24"/>
      <c r="J87" s="24"/>
      <c r="K87" s="25"/>
      <c r="L87" s="25"/>
    </row>
    <row r="88" spans="2:16384">
      <c r="B88" s="30"/>
      <c r="C88" s="28"/>
      <c r="D88" s="31"/>
      <c r="E88" s="31"/>
      <c r="F88" s="24"/>
      <c r="G88" s="24"/>
      <c r="H88" s="24"/>
      <c r="I88" s="24"/>
      <c r="J88" s="24"/>
      <c r="K88" s="25"/>
      <c r="L88" s="25"/>
    </row>
    <row r="89" spans="2:16384" ht="21" thickBot="1">
      <c r="B89" s="22" t="s">
        <v>252</v>
      </c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  <c r="BJ89" s="21"/>
      <c r="BK89" s="21"/>
      <c r="BL89" s="21"/>
      <c r="BM89" s="21"/>
      <c r="BN89" s="21"/>
      <c r="BO89" s="21"/>
      <c r="BP89" s="21"/>
      <c r="BQ89" s="21"/>
      <c r="BR89" s="21"/>
      <c r="BS89" s="21"/>
      <c r="BT89" s="21"/>
      <c r="BU89" s="21"/>
      <c r="BV89" s="21"/>
      <c r="BW89" s="21"/>
      <c r="BX89" s="21"/>
      <c r="BY89" s="21"/>
      <c r="BZ89" s="21"/>
      <c r="CA89" s="21"/>
      <c r="CB89" s="21"/>
      <c r="CC89" s="21"/>
      <c r="CD89" s="21"/>
      <c r="CE89" s="21"/>
      <c r="CF89" s="21"/>
      <c r="CG89" s="21"/>
      <c r="CH89" s="21"/>
      <c r="CI89" s="21"/>
      <c r="CJ89" s="21"/>
      <c r="CK89" s="21"/>
      <c r="CL89" s="21"/>
      <c r="CM89" s="21"/>
      <c r="CN89" s="21"/>
      <c r="CO89" s="21"/>
      <c r="CP89" s="21"/>
      <c r="CQ89" s="21"/>
      <c r="CR89" s="21"/>
      <c r="CS89" s="21"/>
      <c r="CT89" s="21"/>
      <c r="CU89" s="21"/>
      <c r="CV89" s="21"/>
      <c r="CW89" s="21"/>
      <c r="CX89" s="21"/>
      <c r="CY89" s="21"/>
      <c r="CZ89" s="21"/>
      <c r="DA89" s="21"/>
      <c r="DB89" s="21"/>
      <c r="DC89" s="21"/>
      <c r="DD89" s="21"/>
      <c r="DE89" s="21"/>
      <c r="DF89" s="21"/>
      <c r="DG89" s="21"/>
      <c r="DH89" s="21"/>
      <c r="DI89" s="21"/>
      <c r="DJ89" s="21"/>
      <c r="DK89" s="21"/>
      <c r="DL89" s="21"/>
      <c r="DM89" s="21"/>
      <c r="DN89" s="21"/>
      <c r="DO89" s="21"/>
      <c r="DP89" s="21"/>
      <c r="DQ89" s="21"/>
      <c r="DR89" s="21"/>
      <c r="DS89" s="21"/>
      <c r="DT89" s="21"/>
      <c r="DU89" s="21"/>
      <c r="DV89" s="21"/>
      <c r="DW89" s="21"/>
      <c r="DX89" s="21"/>
      <c r="DY89" s="21"/>
      <c r="DZ89" s="21"/>
      <c r="EA89" s="21"/>
      <c r="EB89" s="21"/>
      <c r="EC89" s="21"/>
      <c r="ED89" s="21"/>
      <c r="EE89" s="21"/>
      <c r="EF89" s="21"/>
      <c r="EG89" s="21"/>
      <c r="EH89" s="21"/>
      <c r="EI89" s="21"/>
      <c r="EJ89" s="21"/>
      <c r="EK89" s="21"/>
      <c r="EL89" s="21"/>
      <c r="EM89" s="21"/>
      <c r="EN89" s="21"/>
      <c r="EO89" s="21"/>
      <c r="EP89" s="21"/>
      <c r="EQ89" s="21"/>
      <c r="ER89" s="21"/>
      <c r="ES89" s="21"/>
      <c r="ET89" s="21"/>
      <c r="EU89" s="21"/>
      <c r="EV89" s="21"/>
      <c r="EW89" s="21"/>
      <c r="EX89" s="21"/>
      <c r="EY89" s="21"/>
      <c r="EZ89" s="21"/>
      <c r="FA89" s="21"/>
      <c r="FB89" s="21"/>
      <c r="FC89" s="21"/>
      <c r="FD89" s="21"/>
      <c r="FE89" s="21"/>
      <c r="FF89" s="21"/>
      <c r="FG89" s="21"/>
      <c r="FH89" s="21"/>
      <c r="FI89" s="21"/>
      <c r="FJ89" s="21"/>
      <c r="FK89" s="21"/>
      <c r="FL89" s="21"/>
      <c r="FM89" s="21"/>
      <c r="FN89" s="21"/>
      <c r="FO89" s="21"/>
      <c r="FP89" s="21"/>
      <c r="FQ89" s="21"/>
      <c r="FR89" s="21"/>
      <c r="FS89" s="21"/>
      <c r="FT89" s="21"/>
      <c r="FU89" s="21"/>
      <c r="FV89" s="21"/>
      <c r="FW89" s="21"/>
      <c r="FX89" s="21"/>
      <c r="FY89" s="21"/>
      <c r="FZ89" s="21"/>
      <c r="GA89" s="21"/>
      <c r="GB89" s="21"/>
      <c r="GC89" s="21"/>
      <c r="GD89" s="21"/>
      <c r="GE89" s="21"/>
      <c r="GF89" s="21"/>
      <c r="GG89" s="21"/>
      <c r="GH89" s="21"/>
      <c r="GI89" s="21"/>
      <c r="GJ89" s="21"/>
      <c r="GK89" s="21"/>
      <c r="GL89" s="21"/>
      <c r="GM89" s="21"/>
      <c r="GN89" s="21"/>
      <c r="GO89" s="21"/>
      <c r="GP89" s="21"/>
      <c r="GQ89" s="21"/>
      <c r="GR89" s="21"/>
      <c r="GS89" s="21"/>
      <c r="GT89" s="21"/>
      <c r="GU89" s="21"/>
      <c r="GV89" s="21"/>
      <c r="GW89" s="21"/>
      <c r="GX89" s="21"/>
      <c r="GY89" s="21"/>
      <c r="GZ89" s="21"/>
      <c r="HA89" s="21"/>
      <c r="HB89" s="21"/>
      <c r="HC89" s="21"/>
      <c r="HD89" s="21"/>
      <c r="HE89" s="21"/>
      <c r="HF89" s="21"/>
      <c r="HG89" s="21"/>
      <c r="HH89" s="21"/>
      <c r="HI89" s="21"/>
      <c r="HJ89" s="21"/>
      <c r="HK89" s="21"/>
      <c r="HL89" s="21"/>
      <c r="HM89" s="21"/>
      <c r="HN89" s="21"/>
      <c r="HO89" s="21"/>
      <c r="HP89" s="21"/>
      <c r="HQ89" s="21"/>
      <c r="HR89" s="21"/>
      <c r="HS89" s="21"/>
      <c r="HT89" s="21"/>
      <c r="HU89" s="21"/>
      <c r="HV89" s="21"/>
      <c r="HW89" s="21"/>
      <c r="HX89" s="21"/>
      <c r="HY89" s="21"/>
      <c r="HZ89" s="21"/>
      <c r="IA89" s="21"/>
      <c r="IB89" s="21"/>
      <c r="IC89" s="21"/>
      <c r="ID89" s="21"/>
      <c r="IE89" s="21"/>
      <c r="IF89" s="21"/>
      <c r="IG89" s="21"/>
      <c r="IH89" s="21"/>
      <c r="II89" s="21"/>
      <c r="IJ89" s="21"/>
      <c r="IK89" s="21"/>
      <c r="IL89" s="21"/>
      <c r="IM89" s="21"/>
      <c r="IN89" s="21"/>
      <c r="IO89" s="21"/>
      <c r="IP89" s="21"/>
      <c r="IQ89" s="21"/>
      <c r="IR89" s="21"/>
      <c r="IS89" s="21"/>
      <c r="IT89" s="21"/>
      <c r="IU89" s="21"/>
      <c r="IV89" s="21"/>
      <c r="IW89" s="21"/>
      <c r="IX89" s="21"/>
      <c r="IY89" s="21"/>
      <c r="IZ89" s="21"/>
      <c r="JA89" s="21"/>
      <c r="JB89" s="21"/>
      <c r="JC89" s="21"/>
      <c r="JD89" s="21"/>
      <c r="JE89" s="21"/>
      <c r="JF89" s="21"/>
      <c r="JG89" s="21"/>
      <c r="JH89" s="21"/>
      <c r="JI89" s="21"/>
      <c r="JJ89" s="21"/>
      <c r="JK89" s="21"/>
      <c r="JL89" s="21"/>
      <c r="JM89" s="21"/>
      <c r="JN89" s="21"/>
      <c r="JO89" s="21"/>
      <c r="JP89" s="21"/>
      <c r="JQ89" s="21"/>
      <c r="JR89" s="21"/>
      <c r="JS89" s="21"/>
      <c r="JT89" s="21"/>
      <c r="JU89" s="21"/>
      <c r="JV89" s="21"/>
      <c r="JW89" s="21"/>
      <c r="JX89" s="21"/>
      <c r="JY89" s="21"/>
      <c r="JZ89" s="21"/>
      <c r="KA89" s="21"/>
      <c r="KB89" s="21"/>
      <c r="KC89" s="21"/>
      <c r="KD89" s="21"/>
      <c r="KE89" s="21"/>
      <c r="KF89" s="21"/>
      <c r="KG89" s="21"/>
      <c r="KH89" s="21"/>
      <c r="KI89" s="21"/>
      <c r="KJ89" s="21"/>
      <c r="KK89" s="21"/>
      <c r="KL89" s="21"/>
      <c r="KM89" s="21"/>
      <c r="KN89" s="21"/>
      <c r="KO89" s="21"/>
      <c r="KP89" s="21"/>
      <c r="KQ89" s="21"/>
      <c r="KR89" s="21"/>
      <c r="KS89" s="21"/>
      <c r="KT89" s="21"/>
      <c r="KU89" s="21"/>
      <c r="KV89" s="21"/>
      <c r="KW89" s="21"/>
      <c r="KX89" s="21"/>
      <c r="KY89" s="21"/>
      <c r="KZ89" s="21"/>
      <c r="LA89" s="21"/>
      <c r="LB89" s="21"/>
      <c r="LC89" s="21"/>
      <c r="LD89" s="21"/>
      <c r="LE89" s="21"/>
      <c r="LF89" s="21"/>
      <c r="LG89" s="21"/>
      <c r="LH89" s="21"/>
      <c r="LI89" s="21"/>
      <c r="LJ89" s="21"/>
      <c r="LK89" s="21"/>
      <c r="LL89" s="21"/>
      <c r="LM89" s="21"/>
      <c r="LN89" s="21"/>
      <c r="LO89" s="21"/>
      <c r="LP89" s="21"/>
      <c r="LQ89" s="21"/>
      <c r="LR89" s="21"/>
      <c r="LS89" s="21"/>
      <c r="LT89" s="21"/>
      <c r="LU89" s="21"/>
      <c r="LV89" s="21"/>
      <c r="LW89" s="21"/>
      <c r="LX89" s="21"/>
      <c r="LY89" s="21"/>
      <c r="LZ89" s="21"/>
      <c r="MA89" s="21"/>
      <c r="MB89" s="21"/>
      <c r="MC89" s="21"/>
      <c r="MD89" s="21"/>
      <c r="ME89" s="21"/>
      <c r="MF89" s="21"/>
      <c r="MG89" s="21"/>
      <c r="MH89" s="21"/>
      <c r="MI89" s="21"/>
      <c r="MJ89" s="21"/>
      <c r="MK89" s="21"/>
      <c r="ML89" s="21"/>
      <c r="MM89" s="21"/>
      <c r="MN89" s="21"/>
      <c r="MO89" s="21"/>
      <c r="MP89" s="21"/>
      <c r="MQ89" s="21"/>
      <c r="MR89" s="21"/>
      <c r="MS89" s="21"/>
      <c r="MT89" s="21"/>
      <c r="MU89" s="21"/>
      <c r="MV89" s="21"/>
      <c r="MW89" s="21"/>
      <c r="MX89" s="21"/>
      <c r="MY89" s="21"/>
      <c r="MZ89" s="21"/>
      <c r="NA89" s="21"/>
      <c r="NB89" s="21"/>
      <c r="NC89" s="21"/>
      <c r="ND89" s="21"/>
      <c r="NE89" s="21"/>
      <c r="NF89" s="21"/>
      <c r="NG89" s="21"/>
      <c r="NH89" s="21"/>
      <c r="NI89" s="21"/>
      <c r="NJ89" s="21"/>
      <c r="NK89" s="21"/>
      <c r="NL89" s="21"/>
      <c r="NM89" s="21"/>
      <c r="NN89" s="21"/>
      <c r="NO89" s="21"/>
      <c r="NP89" s="21"/>
      <c r="NQ89" s="21"/>
      <c r="NR89" s="21"/>
      <c r="NS89" s="21"/>
      <c r="NT89" s="21"/>
      <c r="NU89" s="21"/>
      <c r="NV89" s="21"/>
      <c r="NW89" s="21"/>
      <c r="NX89" s="21"/>
      <c r="NY89" s="21"/>
      <c r="NZ89" s="21"/>
      <c r="OA89" s="21"/>
      <c r="OB89" s="21"/>
      <c r="OC89" s="21"/>
      <c r="OD89" s="21"/>
      <c r="OE89" s="21"/>
      <c r="OF89" s="21"/>
      <c r="OG89" s="21"/>
      <c r="OH89" s="21"/>
      <c r="OI89" s="21"/>
      <c r="OJ89" s="21"/>
      <c r="OK89" s="21"/>
      <c r="OL89" s="21"/>
      <c r="OM89" s="21"/>
      <c r="ON89" s="21"/>
      <c r="OO89" s="21"/>
      <c r="OP89" s="21"/>
      <c r="OQ89" s="21"/>
      <c r="OR89" s="21"/>
      <c r="OS89" s="21"/>
      <c r="OT89" s="21"/>
      <c r="OU89" s="21"/>
      <c r="OV89" s="21"/>
      <c r="OW89" s="21"/>
      <c r="OX89" s="21"/>
      <c r="OY89" s="21"/>
      <c r="OZ89" s="21"/>
      <c r="PA89" s="21"/>
      <c r="PB89" s="21"/>
      <c r="PC89" s="21"/>
      <c r="PD89" s="21"/>
      <c r="PE89" s="21"/>
      <c r="PF89" s="21"/>
      <c r="PG89" s="21"/>
      <c r="PH89" s="21"/>
      <c r="PI89" s="21"/>
      <c r="PJ89" s="21"/>
      <c r="PK89" s="21"/>
      <c r="PL89" s="21"/>
      <c r="PM89" s="21"/>
      <c r="PN89" s="21"/>
      <c r="PO89" s="21"/>
      <c r="PP89" s="21"/>
      <c r="PQ89" s="21"/>
      <c r="PR89" s="21"/>
      <c r="PS89" s="21"/>
      <c r="PT89" s="21"/>
      <c r="PU89" s="21"/>
      <c r="PV89" s="21"/>
      <c r="PW89" s="21"/>
      <c r="PX89" s="21"/>
      <c r="PY89" s="21"/>
      <c r="PZ89" s="21"/>
      <c r="QA89" s="21"/>
      <c r="QB89" s="21"/>
      <c r="QC89" s="21"/>
      <c r="QD89" s="21"/>
      <c r="QE89" s="21"/>
      <c r="QF89" s="21"/>
      <c r="QG89" s="21"/>
      <c r="QH89" s="21"/>
      <c r="QI89" s="21"/>
      <c r="QJ89" s="21"/>
      <c r="QK89" s="21"/>
      <c r="QL89" s="21"/>
      <c r="QM89" s="21"/>
      <c r="QN89" s="21"/>
      <c r="QO89" s="21"/>
      <c r="QP89" s="21"/>
      <c r="QQ89" s="21"/>
      <c r="QR89" s="21"/>
      <c r="QS89" s="21"/>
      <c r="QT89" s="21"/>
      <c r="QU89" s="21"/>
      <c r="QV89" s="21"/>
      <c r="QW89" s="21"/>
      <c r="QX89" s="21"/>
      <c r="QY89" s="21"/>
      <c r="QZ89" s="21"/>
      <c r="RA89" s="21"/>
      <c r="RB89" s="21"/>
      <c r="RC89" s="21"/>
      <c r="RD89" s="21"/>
      <c r="RE89" s="21"/>
      <c r="RF89" s="21"/>
      <c r="RG89" s="21"/>
      <c r="RH89" s="21"/>
      <c r="RI89" s="21"/>
      <c r="RJ89" s="21"/>
      <c r="RK89" s="21"/>
      <c r="RL89" s="21"/>
      <c r="RM89" s="21"/>
      <c r="RN89" s="21"/>
      <c r="RO89" s="21"/>
      <c r="RP89" s="21"/>
      <c r="RQ89" s="21"/>
      <c r="RR89" s="21"/>
      <c r="RS89" s="21"/>
      <c r="RT89" s="21"/>
      <c r="RU89" s="21"/>
      <c r="RV89" s="21"/>
      <c r="RW89" s="21"/>
      <c r="RX89" s="21"/>
      <c r="RY89" s="21"/>
      <c r="RZ89" s="21"/>
      <c r="SA89" s="21"/>
      <c r="SB89" s="21"/>
      <c r="SC89" s="21"/>
      <c r="SD89" s="21"/>
      <c r="SE89" s="21"/>
      <c r="SF89" s="21"/>
      <c r="SG89" s="21"/>
      <c r="SH89" s="21"/>
      <c r="SI89" s="21"/>
      <c r="SJ89" s="21"/>
      <c r="SK89" s="21"/>
      <c r="SL89" s="21"/>
      <c r="SM89" s="21"/>
      <c r="SN89" s="21"/>
      <c r="SO89" s="21"/>
      <c r="SP89" s="21"/>
      <c r="SQ89" s="21"/>
      <c r="SR89" s="21"/>
      <c r="SS89" s="21"/>
      <c r="ST89" s="21"/>
      <c r="SU89" s="21"/>
      <c r="SV89" s="21"/>
      <c r="SW89" s="21"/>
      <c r="SX89" s="21"/>
      <c r="SY89" s="21"/>
      <c r="SZ89" s="21"/>
      <c r="TA89" s="21"/>
      <c r="TB89" s="21"/>
      <c r="TC89" s="21"/>
      <c r="TD89" s="21"/>
      <c r="TE89" s="21"/>
      <c r="TF89" s="21"/>
      <c r="TG89" s="21"/>
      <c r="TH89" s="21"/>
      <c r="TI89" s="21"/>
      <c r="TJ89" s="21"/>
      <c r="TK89" s="21"/>
      <c r="TL89" s="21"/>
      <c r="TM89" s="21"/>
      <c r="TN89" s="21"/>
      <c r="TO89" s="21"/>
      <c r="TP89" s="21"/>
      <c r="TQ89" s="21"/>
      <c r="TR89" s="21"/>
      <c r="TS89" s="21"/>
      <c r="TT89" s="21"/>
      <c r="TU89" s="21"/>
      <c r="TV89" s="21"/>
      <c r="TW89" s="21"/>
      <c r="TX89" s="21"/>
      <c r="TY89" s="21"/>
      <c r="TZ89" s="21"/>
      <c r="UA89" s="21"/>
      <c r="UB89" s="21"/>
      <c r="UC89" s="21"/>
      <c r="UD89" s="21"/>
      <c r="UE89" s="21"/>
      <c r="UF89" s="21"/>
      <c r="UG89" s="21"/>
      <c r="UH89" s="21"/>
      <c r="UI89" s="21"/>
      <c r="UJ89" s="21"/>
      <c r="UK89" s="21"/>
      <c r="UL89" s="21"/>
      <c r="UM89" s="21"/>
      <c r="UN89" s="21"/>
      <c r="UO89" s="21"/>
      <c r="UP89" s="21"/>
      <c r="UQ89" s="21"/>
      <c r="UR89" s="21"/>
      <c r="US89" s="21"/>
      <c r="UT89" s="21"/>
      <c r="UU89" s="21"/>
      <c r="UV89" s="21"/>
      <c r="UW89" s="21"/>
      <c r="UX89" s="21"/>
      <c r="UY89" s="21"/>
      <c r="UZ89" s="21"/>
      <c r="VA89" s="21"/>
      <c r="VB89" s="21"/>
      <c r="VC89" s="21"/>
      <c r="VD89" s="21"/>
      <c r="VE89" s="21"/>
      <c r="VF89" s="21"/>
      <c r="VG89" s="21"/>
      <c r="VH89" s="21"/>
      <c r="VI89" s="21"/>
      <c r="VJ89" s="21"/>
      <c r="VK89" s="21"/>
      <c r="VL89" s="21"/>
      <c r="VM89" s="21"/>
      <c r="VN89" s="21"/>
      <c r="VO89" s="21"/>
      <c r="VP89" s="21"/>
      <c r="VQ89" s="21"/>
      <c r="VR89" s="21"/>
      <c r="VS89" s="21"/>
      <c r="VT89" s="21"/>
      <c r="VU89" s="21"/>
      <c r="VV89" s="21"/>
      <c r="VW89" s="21"/>
      <c r="VX89" s="21"/>
      <c r="VY89" s="21"/>
      <c r="VZ89" s="21"/>
      <c r="WA89" s="21"/>
      <c r="WB89" s="21"/>
      <c r="WC89" s="21"/>
      <c r="WD89" s="21"/>
      <c r="WE89" s="21"/>
      <c r="WF89" s="21"/>
      <c r="WG89" s="21"/>
      <c r="WH89" s="21"/>
      <c r="WI89" s="21"/>
      <c r="WJ89" s="21"/>
      <c r="WK89" s="21"/>
      <c r="WL89" s="21"/>
      <c r="WM89" s="21"/>
      <c r="WN89" s="21"/>
      <c r="WO89" s="21"/>
      <c r="WP89" s="21"/>
      <c r="WQ89" s="21"/>
      <c r="WR89" s="21"/>
      <c r="WS89" s="21"/>
      <c r="WT89" s="21"/>
      <c r="WU89" s="21"/>
      <c r="WV89" s="21"/>
      <c r="WW89" s="21"/>
      <c r="WX89" s="21"/>
      <c r="WY89" s="21"/>
      <c r="WZ89" s="21"/>
      <c r="XA89" s="21"/>
      <c r="XB89" s="21"/>
      <c r="XC89" s="21"/>
      <c r="XD89" s="21"/>
      <c r="XE89" s="21"/>
      <c r="XF89" s="21"/>
      <c r="XG89" s="21"/>
      <c r="XH89" s="21"/>
      <c r="XI89" s="21"/>
      <c r="XJ89" s="21"/>
      <c r="XK89" s="21"/>
      <c r="XL89" s="21"/>
      <c r="XM89" s="21"/>
      <c r="XN89" s="21"/>
      <c r="XO89" s="21"/>
      <c r="XP89" s="21"/>
      <c r="XQ89" s="21"/>
      <c r="XR89" s="21"/>
      <c r="XS89" s="21"/>
      <c r="XT89" s="21"/>
      <c r="XU89" s="21"/>
      <c r="XV89" s="21"/>
      <c r="XW89" s="21"/>
      <c r="XX89" s="21"/>
      <c r="XY89" s="21"/>
      <c r="XZ89" s="21"/>
      <c r="YA89" s="21"/>
      <c r="YB89" s="21"/>
      <c r="YC89" s="21"/>
      <c r="YD89" s="21"/>
      <c r="YE89" s="21"/>
      <c r="YF89" s="21"/>
      <c r="YG89" s="21"/>
      <c r="YH89" s="21"/>
      <c r="YI89" s="21"/>
      <c r="YJ89" s="21"/>
      <c r="YK89" s="21"/>
      <c r="YL89" s="21"/>
      <c r="YM89" s="21"/>
      <c r="YN89" s="21"/>
      <c r="YO89" s="21"/>
      <c r="YP89" s="21"/>
      <c r="YQ89" s="21"/>
      <c r="YR89" s="21"/>
      <c r="YS89" s="21"/>
      <c r="YT89" s="21"/>
      <c r="YU89" s="21"/>
      <c r="YV89" s="21"/>
      <c r="YW89" s="21"/>
      <c r="YX89" s="21"/>
      <c r="YY89" s="21"/>
      <c r="YZ89" s="21"/>
      <c r="ZA89" s="21"/>
      <c r="ZB89" s="21"/>
      <c r="ZC89" s="21"/>
      <c r="ZD89" s="21"/>
      <c r="ZE89" s="21"/>
      <c r="ZF89" s="21"/>
      <c r="ZG89" s="21"/>
      <c r="ZH89" s="21"/>
      <c r="ZI89" s="21"/>
      <c r="ZJ89" s="21"/>
      <c r="ZK89" s="21"/>
      <c r="ZL89" s="21"/>
      <c r="ZM89" s="21"/>
      <c r="ZN89" s="21"/>
      <c r="ZO89" s="21"/>
      <c r="ZP89" s="21"/>
      <c r="ZQ89" s="21"/>
      <c r="ZR89" s="21"/>
      <c r="ZS89" s="21"/>
      <c r="ZT89" s="21"/>
      <c r="ZU89" s="21"/>
      <c r="ZV89" s="21"/>
      <c r="ZW89" s="21"/>
      <c r="ZX89" s="21"/>
      <c r="ZY89" s="21"/>
      <c r="ZZ89" s="21"/>
      <c r="AAA89" s="21"/>
      <c r="AAB89" s="21"/>
      <c r="AAC89" s="21"/>
      <c r="AAD89" s="21"/>
      <c r="AAE89" s="21"/>
      <c r="AAF89" s="21"/>
      <c r="AAG89" s="21"/>
      <c r="AAH89" s="21"/>
      <c r="AAI89" s="21"/>
      <c r="AAJ89" s="21"/>
      <c r="AAK89" s="21"/>
      <c r="AAL89" s="21"/>
      <c r="AAM89" s="21"/>
      <c r="AAN89" s="21"/>
      <c r="AAO89" s="21"/>
      <c r="AAP89" s="21"/>
      <c r="AAQ89" s="21"/>
      <c r="AAR89" s="21"/>
      <c r="AAS89" s="21"/>
      <c r="AAT89" s="21"/>
      <c r="AAU89" s="21"/>
      <c r="AAV89" s="21"/>
      <c r="AAW89" s="21"/>
      <c r="AAX89" s="21"/>
      <c r="AAY89" s="21"/>
      <c r="AAZ89" s="21"/>
      <c r="ABA89" s="21"/>
      <c r="ABB89" s="21"/>
      <c r="ABC89" s="21"/>
      <c r="ABD89" s="21"/>
      <c r="ABE89" s="21"/>
      <c r="ABF89" s="21"/>
      <c r="ABG89" s="21"/>
      <c r="ABH89" s="21"/>
      <c r="ABI89" s="21"/>
      <c r="ABJ89" s="21"/>
      <c r="ABK89" s="21"/>
      <c r="ABL89" s="21"/>
      <c r="ABM89" s="21"/>
      <c r="ABN89" s="21"/>
      <c r="ABO89" s="21"/>
      <c r="ABP89" s="21"/>
      <c r="ABQ89" s="21"/>
      <c r="ABR89" s="21"/>
      <c r="ABS89" s="21"/>
      <c r="ABT89" s="21"/>
      <c r="ABU89" s="21"/>
      <c r="ABV89" s="21"/>
      <c r="ABW89" s="21"/>
      <c r="ABX89" s="21"/>
      <c r="ABY89" s="21"/>
      <c r="ABZ89" s="21"/>
      <c r="ACA89" s="21"/>
      <c r="ACB89" s="21"/>
      <c r="ACC89" s="21"/>
      <c r="ACD89" s="21"/>
      <c r="ACE89" s="21"/>
      <c r="ACF89" s="21"/>
      <c r="ACG89" s="21"/>
      <c r="ACH89" s="21"/>
      <c r="ACI89" s="21"/>
      <c r="ACJ89" s="21"/>
      <c r="ACK89" s="21"/>
      <c r="ACL89" s="21"/>
      <c r="ACM89" s="21"/>
      <c r="ACN89" s="21"/>
      <c r="ACO89" s="21"/>
      <c r="ACP89" s="21"/>
      <c r="ACQ89" s="21"/>
      <c r="ACR89" s="21"/>
      <c r="ACS89" s="21"/>
      <c r="ACT89" s="21"/>
      <c r="ACU89" s="21"/>
      <c r="ACV89" s="21"/>
      <c r="ACW89" s="21"/>
      <c r="ACX89" s="21"/>
      <c r="ACY89" s="21"/>
      <c r="ACZ89" s="21"/>
      <c r="ADA89" s="21"/>
      <c r="ADB89" s="21"/>
      <c r="ADC89" s="21"/>
      <c r="ADD89" s="21"/>
      <c r="ADE89" s="21"/>
      <c r="ADF89" s="21"/>
      <c r="ADG89" s="21"/>
      <c r="ADH89" s="21"/>
      <c r="ADI89" s="21"/>
      <c r="ADJ89" s="21"/>
      <c r="ADK89" s="21"/>
      <c r="ADL89" s="21"/>
      <c r="ADM89" s="21"/>
      <c r="ADN89" s="21"/>
      <c r="ADO89" s="21"/>
      <c r="ADP89" s="21"/>
      <c r="ADQ89" s="21"/>
      <c r="ADR89" s="21"/>
      <c r="ADS89" s="21"/>
      <c r="ADT89" s="21"/>
      <c r="ADU89" s="21"/>
      <c r="ADV89" s="21"/>
      <c r="ADW89" s="21"/>
      <c r="ADX89" s="21"/>
      <c r="ADY89" s="21"/>
      <c r="ADZ89" s="21"/>
      <c r="AEA89" s="21"/>
      <c r="AEB89" s="21"/>
      <c r="AEC89" s="21"/>
      <c r="AED89" s="21"/>
      <c r="AEE89" s="21"/>
      <c r="AEF89" s="21"/>
      <c r="AEG89" s="21"/>
      <c r="AEH89" s="21"/>
      <c r="AEI89" s="21"/>
      <c r="AEJ89" s="21"/>
      <c r="AEK89" s="21"/>
      <c r="AEL89" s="21"/>
      <c r="AEM89" s="21"/>
      <c r="AEN89" s="21"/>
      <c r="AEO89" s="21"/>
      <c r="AEP89" s="21"/>
      <c r="AEQ89" s="21"/>
      <c r="AER89" s="21"/>
      <c r="AES89" s="21"/>
      <c r="AET89" s="21"/>
      <c r="AEU89" s="21"/>
      <c r="AEV89" s="21"/>
      <c r="AEW89" s="21"/>
      <c r="AEX89" s="21"/>
      <c r="AEY89" s="21"/>
      <c r="AEZ89" s="21"/>
      <c r="AFA89" s="21"/>
      <c r="AFB89" s="21"/>
      <c r="AFC89" s="21"/>
      <c r="AFD89" s="21"/>
      <c r="AFE89" s="21"/>
      <c r="AFF89" s="21"/>
      <c r="AFG89" s="21"/>
      <c r="AFH89" s="21"/>
      <c r="AFI89" s="21"/>
      <c r="AFJ89" s="21"/>
      <c r="AFK89" s="21"/>
      <c r="AFL89" s="21"/>
      <c r="AFM89" s="21"/>
      <c r="AFN89" s="21"/>
      <c r="AFO89" s="21"/>
      <c r="AFP89" s="21"/>
      <c r="AFQ89" s="21"/>
      <c r="AFR89" s="21"/>
      <c r="AFS89" s="21"/>
      <c r="AFT89" s="21"/>
      <c r="AFU89" s="21"/>
      <c r="AFV89" s="21"/>
      <c r="AFW89" s="21"/>
      <c r="AFX89" s="21"/>
      <c r="AFY89" s="21"/>
      <c r="AFZ89" s="21"/>
      <c r="AGA89" s="21"/>
      <c r="AGB89" s="21"/>
      <c r="AGC89" s="21"/>
      <c r="AGD89" s="21"/>
      <c r="AGE89" s="21"/>
      <c r="AGF89" s="21"/>
      <c r="AGG89" s="21"/>
      <c r="AGH89" s="21"/>
      <c r="AGI89" s="21"/>
      <c r="AGJ89" s="21"/>
      <c r="AGK89" s="21"/>
      <c r="AGL89" s="21"/>
      <c r="AGM89" s="21"/>
      <c r="AGN89" s="21"/>
      <c r="AGO89" s="21"/>
      <c r="AGP89" s="21"/>
      <c r="AGQ89" s="21"/>
      <c r="AGR89" s="21"/>
      <c r="AGS89" s="21"/>
      <c r="AGT89" s="21"/>
      <c r="AGU89" s="21"/>
      <c r="AGV89" s="21"/>
      <c r="AGW89" s="21"/>
      <c r="AGX89" s="21"/>
      <c r="AGY89" s="21"/>
      <c r="AGZ89" s="21"/>
      <c r="AHA89" s="21"/>
      <c r="AHB89" s="21"/>
      <c r="AHC89" s="21"/>
      <c r="AHD89" s="21"/>
      <c r="AHE89" s="21"/>
      <c r="AHF89" s="21"/>
      <c r="AHG89" s="21"/>
      <c r="AHH89" s="21"/>
      <c r="AHI89" s="21"/>
      <c r="AHJ89" s="21"/>
      <c r="AHK89" s="21"/>
      <c r="AHL89" s="21"/>
      <c r="AHM89" s="21"/>
      <c r="AHN89" s="21"/>
      <c r="AHO89" s="21"/>
      <c r="AHP89" s="21"/>
      <c r="AHQ89" s="21"/>
      <c r="AHR89" s="21"/>
      <c r="AHS89" s="21"/>
      <c r="AHT89" s="21"/>
      <c r="AHU89" s="21"/>
      <c r="AHV89" s="21"/>
      <c r="AHW89" s="21"/>
      <c r="AHX89" s="21"/>
      <c r="AHY89" s="21"/>
      <c r="AHZ89" s="21"/>
      <c r="AIA89" s="21"/>
      <c r="AIB89" s="21"/>
      <c r="AIC89" s="21"/>
      <c r="AID89" s="21"/>
      <c r="AIE89" s="21"/>
      <c r="AIF89" s="21"/>
      <c r="AIG89" s="21"/>
      <c r="AIH89" s="21"/>
      <c r="AII89" s="21"/>
      <c r="AIJ89" s="21"/>
      <c r="AIK89" s="21"/>
      <c r="AIL89" s="21"/>
      <c r="AIM89" s="21"/>
      <c r="AIN89" s="21"/>
      <c r="AIO89" s="21"/>
      <c r="AIP89" s="21"/>
      <c r="AIQ89" s="21"/>
      <c r="AIR89" s="21"/>
      <c r="AIS89" s="21"/>
      <c r="AIT89" s="21"/>
      <c r="AIU89" s="21"/>
      <c r="AIV89" s="21"/>
      <c r="AIW89" s="21"/>
      <c r="AIX89" s="21"/>
      <c r="AIY89" s="21"/>
      <c r="AIZ89" s="21"/>
      <c r="AJA89" s="21"/>
      <c r="AJB89" s="21"/>
      <c r="AJC89" s="21"/>
      <c r="AJD89" s="21"/>
      <c r="AJE89" s="21"/>
      <c r="AJF89" s="21"/>
      <c r="AJG89" s="21"/>
      <c r="AJH89" s="21"/>
      <c r="AJI89" s="21"/>
      <c r="AJJ89" s="21"/>
      <c r="AJK89" s="21"/>
      <c r="AJL89" s="21"/>
      <c r="AJM89" s="21"/>
      <c r="AJN89" s="21"/>
      <c r="AJO89" s="21"/>
      <c r="AJP89" s="21"/>
      <c r="AJQ89" s="21"/>
      <c r="AJR89" s="21"/>
      <c r="AJS89" s="21"/>
      <c r="AJT89" s="21"/>
      <c r="AJU89" s="21"/>
      <c r="AJV89" s="21"/>
      <c r="AJW89" s="21"/>
      <c r="AJX89" s="21"/>
      <c r="AJY89" s="21"/>
      <c r="AJZ89" s="21"/>
      <c r="AKA89" s="21"/>
      <c r="AKB89" s="21"/>
      <c r="AKC89" s="21"/>
      <c r="AKD89" s="21"/>
      <c r="AKE89" s="21"/>
      <c r="AKF89" s="21"/>
      <c r="AKG89" s="21"/>
      <c r="AKH89" s="21"/>
      <c r="AKI89" s="21"/>
      <c r="AKJ89" s="21"/>
      <c r="AKK89" s="21"/>
      <c r="AKL89" s="21"/>
      <c r="AKM89" s="21"/>
      <c r="AKN89" s="21"/>
      <c r="AKO89" s="21"/>
      <c r="AKP89" s="21"/>
      <c r="AKQ89" s="21"/>
      <c r="AKR89" s="21"/>
      <c r="AKS89" s="21"/>
      <c r="AKT89" s="21"/>
      <c r="AKU89" s="21"/>
      <c r="AKV89" s="21"/>
      <c r="AKW89" s="21"/>
      <c r="AKX89" s="21"/>
      <c r="AKY89" s="21"/>
      <c r="AKZ89" s="21"/>
      <c r="ALA89" s="21"/>
      <c r="ALB89" s="21"/>
      <c r="ALC89" s="21"/>
      <c r="ALD89" s="21"/>
      <c r="ALE89" s="21"/>
      <c r="ALF89" s="21"/>
      <c r="ALG89" s="21"/>
      <c r="ALH89" s="21"/>
      <c r="ALI89" s="21"/>
      <c r="ALJ89" s="21"/>
      <c r="ALK89" s="21"/>
      <c r="ALL89" s="21"/>
      <c r="ALM89" s="21"/>
      <c r="ALN89" s="21"/>
      <c r="ALO89" s="21"/>
      <c r="ALP89" s="21"/>
      <c r="ALQ89" s="21"/>
      <c r="ALR89" s="21"/>
      <c r="ALS89" s="21"/>
      <c r="ALT89" s="21"/>
      <c r="ALU89" s="21"/>
      <c r="ALV89" s="21"/>
      <c r="ALW89" s="21"/>
      <c r="ALX89" s="21"/>
      <c r="ALY89" s="21"/>
      <c r="ALZ89" s="21"/>
      <c r="AMA89" s="21"/>
      <c r="AMB89" s="21"/>
      <c r="AMC89" s="21"/>
      <c r="AMD89" s="21"/>
      <c r="AME89" s="21"/>
      <c r="AMF89" s="21"/>
      <c r="AMG89" s="21"/>
      <c r="AMH89" s="21"/>
      <c r="AMI89" s="21"/>
      <c r="AMJ89" s="21"/>
      <c r="AMK89" s="21"/>
      <c r="AML89" s="21"/>
      <c r="AMM89" s="21"/>
      <c r="AMN89" s="21"/>
      <c r="AMO89" s="21"/>
      <c r="AMP89" s="21"/>
      <c r="AMQ89" s="21"/>
      <c r="AMR89" s="21"/>
      <c r="AMS89" s="21"/>
      <c r="AMT89" s="21"/>
      <c r="AMU89" s="21"/>
      <c r="AMV89" s="21"/>
      <c r="AMW89" s="21"/>
      <c r="AMX89" s="21"/>
      <c r="AMY89" s="21"/>
      <c r="AMZ89" s="21"/>
      <c r="ANA89" s="21"/>
      <c r="ANB89" s="21"/>
      <c r="ANC89" s="21"/>
      <c r="AND89" s="21"/>
      <c r="ANE89" s="21"/>
      <c r="ANF89" s="21"/>
      <c r="ANG89" s="21"/>
      <c r="ANH89" s="21"/>
      <c r="ANI89" s="21"/>
      <c r="ANJ89" s="21"/>
      <c r="ANK89" s="21"/>
      <c r="ANL89" s="21"/>
      <c r="ANM89" s="21"/>
      <c r="ANN89" s="21"/>
      <c r="ANO89" s="21"/>
      <c r="ANP89" s="21"/>
      <c r="ANQ89" s="21"/>
      <c r="ANR89" s="21"/>
      <c r="ANS89" s="21"/>
      <c r="ANT89" s="21"/>
      <c r="ANU89" s="21"/>
      <c r="ANV89" s="21"/>
      <c r="ANW89" s="21"/>
      <c r="ANX89" s="21"/>
      <c r="ANY89" s="21"/>
      <c r="ANZ89" s="21"/>
      <c r="AOA89" s="21"/>
      <c r="AOB89" s="21"/>
      <c r="AOC89" s="21"/>
      <c r="AOD89" s="21"/>
      <c r="AOE89" s="21"/>
      <c r="AOF89" s="21"/>
      <c r="AOG89" s="21"/>
      <c r="AOH89" s="21"/>
      <c r="AOI89" s="21"/>
      <c r="AOJ89" s="21"/>
      <c r="AOK89" s="21"/>
      <c r="AOL89" s="21"/>
      <c r="AOM89" s="21"/>
      <c r="AON89" s="21"/>
      <c r="AOO89" s="21"/>
      <c r="AOP89" s="21"/>
      <c r="AOQ89" s="21"/>
      <c r="AOR89" s="21"/>
      <c r="AOS89" s="21"/>
      <c r="AOT89" s="21"/>
      <c r="AOU89" s="21"/>
      <c r="AOV89" s="21"/>
      <c r="AOW89" s="21"/>
      <c r="AOX89" s="21"/>
      <c r="AOY89" s="21"/>
      <c r="AOZ89" s="21"/>
      <c r="APA89" s="21"/>
      <c r="APB89" s="21"/>
      <c r="APC89" s="21"/>
      <c r="APD89" s="21"/>
      <c r="APE89" s="21"/>
      <c r="APF89" s="21"/>
      <c r="APG89" s="21"/>
      <c r="APH89" s="21"/>
      <c r="API89" s="21"/>
      <c r="APJ89" s="21"/>
      <c r="APK89" s="21"/>
      <c r="APL89" s="21"/>
      <c r="APM89" s="21"/>
      <c r="APN89" s="21"/>
      <c r="APO89" s="21"/>
      <c r="APP89" s="21"/>
      <c r="APQ89" s="21"/>
      <c r="APR89" s="21"/>
      <c r="APS89" s="21"/>
      <c r="APT89" s="21"/>
      <c r="APU89" s="21"/>
      <c r="APV89" s="21"/>
      <c r="APW89" s="21"/>
      <c r="APX89" s="21"/>
      <c r="APY89" s="21"/>
      <c r="APZ89" s="21"/>
      <c r="AQA89" s="21"/>
      <c r="AQB89" s="21"/>
      <c r="AQC89" s="21"/>
      <c r="AQD89" s="21"/>
      <c r="AQE89" s="21"/>
      <c r="AQF89" s="21"/>
      <c r="AQG89" s="21"/>
      <c r="AQH89" s="21"/>
      <c r="AQI89" s="21"/>
      <c r="AQJ89" s="21"/>
      <c r="AQK89" s="21"/>
      <c r="AQL89" s="21"/>
      <c r="AQM89" s="21"/>
      <c r="AQN89" s="21"/>
      <c r="AQO89" s="21"/>
      <c r="AQP89" s="21"/>
      <c r="AQQ89" s="21"/>
      <c r="AQR89" s="21"/>
      <c r="AQS89" s="21"/>
      <c r="AQT89" s="21"/>
      <c r="AQU89" s="21"/>
      <c r="AQV89" s="21"/>
      <c r="AQW89" s="21"/>
      <c r="AQX89" s="21"/>
      <c r="AQY89" s="21"/>
      <c r="AQZ89" s="21"/>
      <c r="ARA89" s="21"/>
      <c r="ARB89" s="21"/>
      <c r="ARC89" s="21"/>
      <c r="ARD89" s="21"/>
      <c r="ARE89" s="21"/>
      <c r="ARF89" s="21"/>
      <c r="ARG89" s="21"/>
      <c r="ARH89" s="21"/>
      <c r="ARI89" s="21"/>
      <c r="ARJ89" s="21"/>
      <c r="ARK89" s="21"/>
      <c r="ARL89" s="21"/>
      <c r="ARM89" s="21"/>
      <c r="ARN89" s="21"/>
      <c r="ARO89" s="21"/>
      <c r="ARP89" s="21"/>
      <c r="ARQ89" s="21"/>
      <c r="ARR89" s="21"/>
      <c r="ARS89" s="21"/>
      <c r="ART89" s="21"/>
      <c r="ARU89" s="21"/>
      <c r="ARV89" s="21"/>
      <c r="ARW89" s="21"/>
      <c r="ARX89" s="21"/>
      <c r="ARY89" s="21"/>
      <c r="ARZ89" s="21"/>
      <c r="ASA89" s="21"/>
      <c r="ASB89" s="21"/>
      <c r="ASC89" s="21"/>
      <c r="ASD89" s="21"/>
      <c r="ASE89" s="21"/>
      <c r="ASF89" s="21"/>
      <c r="ASG89" s="21"/>
      <c r="ASH89" s="21"/>
      <c r="ASI89" s="21"/>
      <c r="ASJ89" s="21"/>
      <c r="ASK89" s="21"/>
      <c r="ASL89" s="21"/>
      <c r="ASM89" s="21"/>
      <c r="ASN89" s="21"/>
      <c r="ASO89" s="21"/>
      <c r="ASP89" s="21"/>
      <c r="ASQ89" s="21"/>
      <c r="ASR89" s="21"/>
      <c r="ASS89" s="21"/>
      <c r="AST89" s="21"/>
      <c r="ASU89" s="21"/>
      <c r="ASV89" s="21"/>
      <c r="ASW89" s="21"/>
      <c r="ASX89" s="21"/>
      <c r="ASY89" s="21"/>
      <c r="ASZ89" s="21"/>
      <c r="ATA89" s="21"/>
      <c r="ATB89" s="21"/>
      <c r="ATC89" s="21"/>
      <c r="ATD89" s="21"/>
      <c r="ATE89" s="21"/>
      <c r="ATF89" s="21"/>
      <c r="ATG89" s="21"/>
      <c r="ATH89" s="21"/>
      <c r="ATI89" s="21"/>
      <c r="ATJ89" s="21"/>
      <c r="ATK89" s="21"/>
      <c r="ATL89" s="21"/>
      <c r="ATM89" s="21"/>
      <c r="ATN89" s="21"/>
      <c r="ATO89" s="21"/>
      <c r="ATP89" s="21"/>
      <c r="ATQ89" s="21"/>
      <c r="ATR89" s="21"/>
      <c r="ATS89" s="21"/>
      <c r="ATT89" s="21"/>
      <c r="ATU89" s="21"/>
      <c r="ATV89" s="21"/>
      <c r="ATW89" s="21"/>
      <c r="ATX89" s="21"/>
      <c r="ATY89" s="21"/>
      <c r="ATZ89" s="21"/>
      <c r="AUA89" s="21"/>
      <c r="AUB89" s="21"/>
      <c r="AUC89" s="21"/>
      <c r="AUD89" s="21"/>
      <c r="AUE89" s="21"/>
      <c r="AUF89" s="21"/>
      <c r="AUG89" s="21"/>
      <c r="AUH89" s="21"/>
      <c r="AUI89" s="21"/>
      <c r="AUJ89" s="21"/>
      <c r="AUK89" s="21"/>
      <c r="AUL89" s="21"/>
      <c r="AUM89" s="21"/>
      <c r="AUN89" s="21"/>
      <c r="AUO89" s="21"/>
      <c r="AUP89" s="21"/>
      <c r="AUQ89" s="21"/>
      <c r="AUR89" s="21"/>
      <c r="AUS89" s="21"/>
      <c r="AUT89" s="21"/>
      <c r="AUU89" s="21"/>
      <c r="AUV89" s="21"/>
      <c r="AUW89" s="21"/>
      <c r="AUX89" s="21"/>
      <c r="AUY89" s="21"/>
      <c r="AUZ89" s="21"/>
      <c r="AVA89" s="21"/>
      <c r="AVB89" s="21"/>
      <c r="AVC89" s="21"/>
      <c r="AVD89" s="21"/>
      <c r="AVE89" s="21"/>
      <c r="AVF89" s="21"/>
      <c r="AVG89" s="21"/>
      <c r="AVH89" s="21"/>
      <c r="AVI89" s="21"/>
      <c r="AVJ89" s="21"/>
      <c r="AVK89" s="21"/>
      <c r="AVL89" s="21"/>
      <c r="AVM89" s="21"/>
      <c r="AVN89" s="21"/>
      <c r="AVO89" s="21"/>
      <c r="AVP89" s="21"/>
      <c r="AVQ89" s="21"/>
      <c r="AVR89" s="21"/>
      <c r="AVS89" s="21"/>
      <c r="AVT89" s="21"/>
      <c r="AVU89" s="21"/>
      <c r="AVV89" s="21"/>
      <c r="AVW89" s="21"/>
      <c r="AVX89" s="21"/>
      <c r="AVY89" s="21"/>
      <c r="AVZ89" s="21"/>
      <c r="AWA89" s="21"/>
      <c r="AWB89" s="21"/>
      <c r="AWC89" s="21"/>
      <c r="AWD89" s="21"/>
      <c r="AWE89" s="21"/>
      <c r="AWF89" s="21"/>
      <c r="AWG89" s="21"/>
      <c r="AWH89" s="21"/>
      <c r="AWI89" s="21"/>
      <c r="AWJ89" s="21"/>
      <c r="AWK89" s="21"/>
      <c r="AWL89" s="21"/>
      <c r="AWM89" s="21"/>
      <c r="AWN89" s="21"/>
      <c r="AWO89" s="21"/>
      <c r="AWP89" s="21"/>
      <c r="AWQ89" s="21"/>
      <c r="AWR89" s="21"/>
      <c r="AWS89" s="21"/>
      <c r="AWT89" s="21"/>
      <c r="AWU89" s="21"/>
      <c r="AWV89" s="21"/>
      <c r="AWW89" s="21"/>
      <c r="AWX89" s="21"/>
      <c r="AWY89" s="21"/>
      <c r="AWZ89" s="21"/>
      <c r="AXA89" s="21"/>
      <c r="AXB89" s="21"/>
      <c r="AXC89" s="21"/>
      <c r="AXD89" s="21"/>
      <c r="AXE89" s="21"/>
      <c r="AXF89" s="21"/>
      <c r="AXG89" s="21"/>
      <c r="AXH89" s="21"/>
      <c r="AXI89" s="21"/>
      <c r="AXJ89" s="21"/>
      <c r="AXK89" s="21"/>
      <c r="AXL89" s="21"/>
      <c r="AXM89" s="21"/>
      <c r="AXN89" s="21"/>
      <c r="AXO89" s="21"/>
      <c r="AXP89" s="21"/>
      <c r="AXQ89" s="21"/>
      <c r="AXR89" s="21"/>
      <c r="AXS89" s="21"/>
      <c r="AXT89" s="21"/>
      <c r="AXU89" s="21"/>
      <c r="AXV89" s="21"/>
      <c r="AXW89" s="21"/>
      <c r="AXX89" s="21"/>
      <c r="AXY89" s="21"/>
      <c r="AXZ89" s="21"/>
      <c r="AYA89" s="21"/>
      <c r="AYB89" s="21"/>
      <c r="AYC89" s="21"/>
      <c r="AYD89" s="21"/>
      <c r="AYE89" s="21"/>
      <c r="AYF89" s="21"/>
      <c r="AYG89" s="21"/>
      <c r="AYH89" s="21"/>
      <c r="AYI89" s="21"/>
      <c r="AYJ89" s="21"/>
      <c r="AYK89" s="21"/>
      <c r="AYL89" s="21"/>
      <c r="AYM89" s="21"/>
      <c r="AYN89" s="21"/>
      <c r="AYO89" s="21"/>
      <c r="AYP89" s="21"/>
      <c r="AYQ89" s="21"/>
      <c r="AYR89" s="21"/>
      <c r="AYS89" s="21"/>
      <c r="AYT89" s="21"/>
      <c r="AYU89" s="21"/>
      <c r="AYV89" s="21"/>
      <c r="AYW89" s="21"/>
      <c r="AYX89" s="21"/>
      <c r="AYY89" s="21"/>
      <c r="AYZ89" s="21"/>
      <c r="AZA89" s="21"/>
      <c r="AZB89" s="21"/>
      <c r="AZC89" s="21"/>
      <c r="AZD89" s="21"/>
      <c r="AZE89" s="21"/>
      <c r="AZF89" s="21"/>
      <c r="AZG89" s="21"/>
      <c r="AZH89" s="21"/>
      <c r="AZI89" s="21"/>
      <c r="AZJ89" s="21"/>
      <c r="AZK89" s="21"/>
      <c r="AZL89" s="21"/>
      <c r="AZM89" s="21"/>
      <c r="AZN89" s="21"/>
      <c r="AZO89" s="21"/>
      <c r="AZP89" s="21"/>
      <c r="AZQ89" s="21"/>
      <c r="AZR89" s="21"/>
      <c r="AZS89" s="21"/>
      <c r="AZT89" s="21"/>
      <c r="AZU89" s="21"/>
      <c r="AZV89" s="21"/>
      <c r="AZW89" s="21"/>
      <c r="AZX89" s="21"/>
      <c r="AZY89" s="21"/>
      <c r="AZZ89" s="21"/>
      <c r="BAA89" s="21"/>
      <c r="BAB89" s="21"/>
      <c r="BAC89" s="21"/>
      <c r="BAD89" s="21"/>
      <c r="BAE89" s="21"/>
      <c r="BAF89" s="21"/>
      <c r="BAG89" s="21"/>
      <c r="BAH89" s="21"/>
      <c r="BAI89" s="21"/>
      <c r="BAJ89" s="21"/>
      <c r="BAK89" s="21"/>
      <c r="BAL89" s="21"/>
      <c r="BAM89" s="21"/>
      <c r="BAN89" s="21"/>
      <c r="BAO89" s="21"/>
      <c r="BAP89" s="21"/>
      <c r="BAQ89" s="21"/>
      <c r="BAR89" s="21"/>
      <c r="BAS89" s="21"/>
      <c r="BAT89" s="21"/>
      <c r="BAU89" s="21"/>
      <c r="BAV89" s="21"/>
      <c r="BAW89" s="21"/>
      <c r="BAX89" s="21"/>
      <c r="BAY89" s="21"/>
      <c r="BAZ89" s="21"/>
      <c r="BBA89" s="21"/>
      <c r="BBB89" s="21"/>
      <c r="BBC89" s="21"/>
      <c r="BBD89" s="21"/>
      <c r="BBE89" s="21"/>
      <c r="BBF89" s="21"/>
      <c r="BBG89" s="21"/>
      <c r="BBH89" s="21"/>
      <c r="BBI89" s="21"/>
      <c r="BBJ89" s="21"/>
      <c r="BBK89" s="21"/>
      <c r="BBL89" s="21"/>
      <c r="BBM89" s="21"/>
      <c r="BBN89" s="21"/>
      <c r="BBO89" s="21"/>
      <c r="BBP89" s="21"/>
      <c r="BBQ89" s="21"/>
      <c r="BBR89" s="21"/>
      <c r="BBS89" s="21"/>
      <c r="BBT89" s="21"/>
      <c r="BBU89" s="21"/>
      <c r="BBV89" s="21"/>
      <c r="BBW89" s="21"/>
      <c r="BBX89" s="21"/>
      <c r="BBY89" s="21"/>
      <c r="BBZ89" s="21"/>
      <c r="BCA89" s="21"/>
      <c r="BCB89" s="21"/>
      <c r="BCC89" s="21"/>
      <c r="BCD89" s="21"/>
      <c r="BCE89" s="21"/>
      <c r="BCF89" s="21"/>
      <c r="BCG89" s="21"/>
      <c r="BCH89" s="21"/>
      <c r="BCI89" s="21"/>
      <c r="BCJ89" s="21"/>
      <c r="BCK89" s="21"/>
      <c r="BCL89" s="21"/>
      <c r="BCM89" s="21"/>
      <c r="BCN89" s="21"/>
      <c r="BCO89" s="21"/>
      <c r="BCP89" s="21"/>
      <c r="BCQ89" s="21"/>
      <c r="BCR89" s="21"/>
      <c r="BCS89" s="21"/>
      <c r="BCT89" s="21"/>
      <c r="BCU89" s="21"/>
      <c r="BCV89" s="21"/>
      <c r="BCW89" s="21"/>
      <c r="BCX89" s="21"/>
      <c r="BCY89" s="21"/>
      <c r="BCZ89" s="21"/>
      <c r="BDA89" s="21"/>
      <c r="BDB89" s="21"/>
      <c r="BDC89" s="21"/>
      <c r="BDD89" s="21"/>
      <c r="BDE89" s="21"/>
      <c r="BDF89" s="21"/>
      <c r="BDG89" s="21"/>
      <c r="BDH89" s="21"/>
      <c r="BDI89" s="21"/>
      <c r="BDJ89" s="21"/>
      <c r="BDK89" s="21"/>
      <c r="BDL89" s="21"/>
      <c r="BDM89" s="21"/>
      <c r="BDN89" s="21"/>
      <c r="BDO89" s="21"/>
      <c r="BDP89" s="21"/>
      <c r="BDQ89" s="21"/>
      <c r="BDR89" s="21"/>
      <c r="BDS89" s="21"/>
      <c r="BDT89" s="21"/>
      <c r="BDU89" s="21"/>
      <c r="BDV89" s="21"/>
      <c r="BDW89" s="21"/>
      <c r="BDX89" s="21"/>
      <c r="BDY89" s="21"/>
      <c r="BDZ89" s="21"/>
      <c r="BEA89" s="21"/>
      <c r="BEB89" s="21"/>
      <c r="BEC89" s="21"/>
      <c r="BED89" s="21"/>
      <c r="BEE89" s="21"/>
      <c r="BEF89" s="21"/>
      <c r="BEG89" s="21"/>
      <c r="BEH89" s="21"/>
      <c r="BEI89" s="21"/>
      <c r="BEJ89" s="21"/>
      <c r="BEK89" s="21"/>
      <c r="BEL89" s="21"/>
      <c r="BEM89" s="21"/>
      <c r="BEN89" s="21"/>
      <c r="BEO89" s="21"/>
      <c r="BEP89" s="21"/>
      <c r="BEQ89" s="21"/>
      <c r="BER89" s="21"/>
      <c r="BES89" s="21"/>
      <c r="BET89" s="21"/>
      <c r="BEU89" s="21"/>
      <c r="BEV89" s="21"/>
      <c r="BEW89" s="21"/>
      <c r="BEX89" s="21"/>
      <c r="BEY89" s="21"/>
      <c r="BEZ89" s="21"/>
      <c r="BFA89" s="21"/>
      <c r="BFB89" s="21"/>
      <c r="BFC89" s="21"/>
      <c r="BFD89" s="21"/>
      <c r="BFE89" s="21"/>
      <c r="BFF89" s="21"/>
      <c r="BFG89" s="21"/>
      <c r="BFH89" s="21"/>
      <c r="BFI89" s="21"/>
      <c r="BFJ89" s="21"/>
      <c r="BFK89" s="21"/>
      <c r="BFL89" s="21"/>
      <c r="BFM89" s="21"/>
      <c r="BFN89" s="21"/>
      <c r="BFO89" s="21"/>
      <c r="BFP89" s="21"/>
      <c r="BFQ89" s="21"/>
      <c r="BFR89" s="21"/>
      <c r="BFS89" s="21"/>
      <c r="BFT89" s="21"/>
      <c r="BFU89" s="21"/>
      <c r="BFV89" s="21"/>
      <c r="BFW89" s="21"/>
      <c r="BFX89" s="21"/>
      <c r="BFY89" s="21"/>
      <c r="BFZ89" s="21"/>
      <c r="BGA89" s="21"/>
      <c r="BGB89" s="21"/>
      <c r="BGC89" s="21"/>
      <c r="BGD89" s="21"/>
      <c r="BGE89" s="21"/>
      <c r="BGF89" s="21"/>
      <c r="BGG89" s="21"/>
      <c r="BGH89" s="21"/>
      <c r="BGI89" s="21"/>
      <c r="BGJ89" s="21"/>
      <c r="BGK89" s="21"/>
      <c r="BGL89" s="21"/>
      <c r="BGM89" s="21"/>
      <c r="BGN89" s="21"/>
      <c r="BGO89" s="21"/>
      <c r="BGP89" s="21"/>
      <c r="BGQ89" s="21"/>
      <c r="BGR89" s="21"/>
      <c r="BGS89" s="21"/>
      <c r="BGT89" s="21"/>
      <c r="BGU89" s="21"/>
      <c r="BGV89" s="21"/>
      <c r="BGW89" s="21"/>
      <c r="BGX89" s="21"/>
      <c r="BGY89" s="21"/>
      <c r="BGZ89" s="21"/>
      <c r="BHA89" s="21"/>
      <c r="BHB89" s="21"/>
      <c r="BHC89" s="21"/>
      <c r="BHD89" s="21"/>
      <c r="BHE89" s="21"/>
      <c r="BHF89" s="21"/>
      <c r="BHG89" s="21"/>
      <c r="BHH89" s="21"/>
      <c r="BHI89" s="21"/>
      <c r="BHJ89" s="21"/>
      <c r="BHK89" s="21"/>
      <c r="BHL89" s="21"/>
      <c r="BHM89" s="21"/>
      <c r="BHN89" s="21"/>
      <c r="BHO89" s="21"/>
      <c r="BHP89" s="21"/>
      <c r="BHQ89" s="21"/>
      <c r="BHR89" s="21"/>
      <c r="BHS89" s="21"/>
      <c r="BHT89" s="21"/>
      <c r="BHU89" s="21"/>
      <c r="BHV89" s="21"/>
      <c r="BHW89" s="21"/>
      <c r="BHX89" s="21"/>
      <c r="BHY89" s="21"/>
      <c r="BHZ89" s="21"/>
      <c r="BIA89" s="21"/>
      <c r="BIB89" s="21"/>
      <c r="BIC89" s="21"/>
      <c r="BID89" s="21"/>
      <c r="BIE89" s="21"/>
      <c r="BIF89" s="21"/>
      <c r="BIG89" s="21"/>
      <c r="BIH89" s="21"/>
      <c r="BII89" s="21"/>
      <c r="BIJ89" s="21"/>
      <c r="BIK89" s="21"/>
      <c r="BIL89" s="21"/>
      <c r="BIM89" s="21"/>
      <c r="BIN89" s="21"/>
      <c r="BIO89" s="21"/>
      <c r="BIP89" s="21"/>
      <c r="BIQ89" s="21"/>
      <c r="BIR89" s="21"/>
      <c r="BIS89" s="21"/>
      <c r="BIT89" s="21"/>
      <c r="BIU89" s="21"/>
      <c r="BIV89" s="21"/>
      <c r="BIW89" s="21"/>
      <c r="BIX89" s="21"/>
      <c r="BIY89" s="21"/>
      <c r="BIZ89" s="21"/>
      <c r="BJA89" s="21"/>
      <c r="BJB89" s="21"/>
      <c r="BJC89" s="21"/>
      <c r="BJD89" s="21"/>
      <c r="BJE89" s="21"/>
      <c r="BJF89" s="21"/>
      <c r="BJG89" s="21"/>
      <c r="BJH89" s="21"/>
      <c r="BJI89" s="21"/>
      <c r="BJJ89" s="21"/>
      <c r="BJK89" s="21"/>
      <c r="BJL89" s="21"/>
      <c r="BJM89" s="21"/>
      <c r="BJN89" s="21"/>
      <c r="BJO89" s="21"/>
      <c r="BJP89" s="21"/>
      <c r="BJQ89" s="21"/>
      <c r="BJR89" s="21"/>
      <c r="BJS89" s="21"/>
      <c r="BJT89" s="21"/>
      <c r="BJU89" s="21"/>
      <c r="BJV89" s="21"/>
      <c r="BJW89" s="21"/>
      <c r="BJX89" s="21"/>
      <c r="BJY89" s="21"/>
      <c r="BJZ89" s="21"/>
      <c r="BKA89" s="21"/>
      <c r="BKB89" s="21"/>
      <c r="BKC89" s="21"/>
      <c r="BKD89" s="21"/>
      <c r="BKE89" s="21"/>
      <c r="BKF89" s="21"/>
      <c r="BKG89" s="21"/>
      <c r="BKH89" s="21"/>
      <c r="BKI89" s="21"/>
      <c r="BKJ89" s="21"/>
      <c r="BKK89" s="21"/>
      <c r="BKL89" s="21"/>
      <c r="BKM89" s="21"/>
      <c r="BKN89" s="21"/>
      <c r="BKO89" s="21"/>
      <c r="BKP89" s="21"/>
      <c r="BKQ89" s="21"/>
      <c r="BKR89" s="21"/>
      <c r="BKS89" s="21"/>
      <c r="BKT89" s="21"/>
      <c r="BKU89" s="21"/>
      <c r="BKV89" s="21"/>
      <c r="BKW89" s="21"/>
      <c r="BKX89" s="21"/>
      <c r="BKY89" s="21"/>
      <c r="BKZ89" s="21"/>
      <c r="BLA89" s="21"/>
      <c r="BLB89" s="21"/>
      <c r="BLC89" s="21"/>
      <c r="BLD89" s="21"/>
      <c r="BLE89" s="21"/>
      <c r="BLF89" s="21"/>
      <c r="BLG89" s="21"/>
      <c r="BLH89" s="21"/>
      <c r="BLI89" s="21"/>
      <c r="BLJ89" s="21"/>
      <c r="BLK89" s="21"/>
      <c r="BLL89" s="21"/>
      <c r="BLM89" s="21"/>
      <c r="BLN89" s="21"/>
      <c r="BLO89" s="21"/>
      <c r="BLP89" s="21"/>
      <c r="BLQ89" s="21"/>
      <c r="BLR89" s="21"/>
      <c r="BLS89" s="21"/>
      <c r="BLT89" s="21"/>
      <c r="BLU89" s="21"/>
      <c r="BLV89" s="21"/>
      <c r="BLW89" s="21"/>
      <c r="BLX89" s="21"/>
      <c r="BLY89" s="21"/>
      <c r="BLZ89" s="21"/>
      <c r="BMA89" s="21"/>
      <c r="BMB89" s="21"/>
      <c r="BMC89" s="21"/>
      <c r="BMD89" s="21"/>
      <c r="BME89" s="21"/>
      <c r="BMF89" s="21"/>
      <c r="BMG89" s="21"/>
      <c r="BMH89" s="21"/>
      <c r="BMI89" s="21"/>
      <c r="BMJ89" s="21"/>
      <c r="BMK89" s="21"/>
      <c r="BML89" s="21"/>
      <c r="BMM89" s="21"/>
      <c r="BMN89" s="21"/>
      <c r="BMO89" s="21"/>
      <c r="BMP89" s="21"/>
      <c r="BMQ89" s="21"/>
      <c r="BMR89" s="21"/>
      <c r="BMS89" s="21"/>
      <c r="BMT89" s="21"/>
      <c r="BMU89" s="21"/>
      <c r="BMV89" s="21"/>
      <c r="BMW89" s="21"/>
      <c r="BMX89" s="21"/>
      <c r="BMY89" s="21"/>
      <c r="BMZ89" s="21"/>
      <c r="BNA89" s="21"/>
      <c r="BNB89" s="21"/>
      <c r="BNC89" s="21"/>
      <c r="BND89" s="21"/>
      <c r="BNE89" s="21"/>
      <c r="BNF89" s="21"/>
      <c r="BNG89" s="21"/>
      <c r="BNH89" s="21"/>
      <c r="BNI89" s="21"/>
      <c r="BNJ89" s="21"/>
      <c r="BNK89" s="21"/>
      <c r="BNL89" s="21"/>
      <c r="BNM89" s="21"/>
      <c r="BNN89" s="21"/>
      <c r="BNO89" s="21"/>
      <c r="BNP89" s="21"/>
      <c r="BNQ89" s="21"/>
      <c r="BNR89" s="21"/>
      <c r="BNS89" s="21"/>
      <c r="BNT89" s="21"/>
      <c r="BNU89" s="21"/>
      <c r="BNV89" s="21"/>
      <c r="BNW89" s="21"/>
      <c r="BNX89" s="21"/>
      <c r="BNY89" s="21"/>
      <c r="BNZ89" s="21"/>
      <c r="BOA89" s="21"/>
      <c r="BOB89" s="21"/>
      <c r="BOC89" s="21"/>
      <c r="BOD89" s="21"/>
      <c r="BOE89" s="21"/>
      <c r="BOF89" s="21"/>
      <c r="BOG89" s="21"/>
      <c r="BOH89" s="21"/>
      <c r="BOI89" s="21"/>
      <c r="BOJ89" s="21"/>
      <c r="BOK89" s="21"/>
      <c r="BOL89" s="21"/>
      <c r="BOM89" s="21"/>
      <c r="BON89" s="21"/>
      <c r="BOO89" s="21"/>
      <c r="BOP89" s="21"/>
      <c r="BOQ89" s="21"/>
      <c r="BOR89" s="21"/>
      <c r="BOS89" s="21"/>
      <c r="BOT89" s="21"/>
      <c r="BOU89" s="21"/>
      <c r="BOV89" s="21"/>
      <c r="BOW89" s="21"/>
      <c r="BOX89" s="21"/>
      <c r="BOY89" s="21"/>
      <c r="BOZ89" s="21"/>
      <c r="BPA89" s="21"/>
      <c r="BPB89" s="21"/>
      <c r="BPC89" s="21"/>
      <c r="BPD89" s="21"/>
      <c r="BPE89" s="21"/>
      <c r="BPF89" s="21"/>
      <c r="BPG89" s="21"/>
      <c r="BPH89" s="21"/>
      <c r="BPI89" s="21"/>
      <c r="BPJ89" s="21"/>
      <c r="BPK89" s="21"/>
      <c r="BPL89" s="21"/>
      <c r="BPM89" s="21"/>
      <c r="BPN89" s="21"/>
      <c r="BPO89" s="21"/>
      <c r="BPP89" s="21"/>
      <c r="BPQ89" s="21"/>
      <c r="BPR89" s="21"/>
      <c r="BPS89" s="21"/>
      <c r="BPT89" s="21"/>
      <c r="BPU89" s="21"/>
      <c r="BPV89" s="21"/>
      <c r="BPW89" s="21"/>
      <c r="BPX89" s="21"/>
      <c r="BPY89" s="21"/>
      <c r="BPZ89" s="21"/>
      <c r="BQA89" s="21"/>
      <c r="BQB89" s="21"/>
      <c r="BQC89" s="21"/>
      <c r="BQD89" s="21"/>
      <c r="BQE89" s="21"/>
      <c r="BQF89" s="21"/>
      <c r="BQG89" s="21"/>
      <c r="BQH89" s="21"/>
      <c r="BQI89" s="21"/>
      <c r="BQJ89" s="21"/>
      <c r="BQK89" s="21"/>
      <c r="BQL89" s="21"/>
      <c r="BQM89" s="21"/>
      <c r="BQN89" s="21"/>
      <c r="BQO89" s="21"/>
      <c r="BQP89" s="21"/>
      <c r="BQQ89" s="21"/>
      <c r="BQR89" s="21"/>
      <c r="BQS89" s="21"/>
      <c r="BQT89" s="21"/>
      <c r="BQU89" s="21"/>
      <c r="BQV89" s="21"/>
      <c r="BQW89" s="21"/>
      <c r="BQX89" s="21"/>
      <c r="BQY89" s="21"/>
      <c r="BQZ89" s="21"/>
      <c r="BRA89" s="21"/>
      <c r="BRB89" s="21"/>
      <c r="BRC89" s="21"/>
      <c r="BRD89" s="21"/>
      <c r="BRE89" s="21"/>
      <c r="BRF89" s="21"/>
      <c r="BRG89" s="21"/>
      <c r="BRH89" s="21"/>
      <c r="BRI89" s="21"/>
      <c r="BRJ89" s="21"/>
      <c r="BRK89" s="21"/>
      <c r="BRL89" s="21"/>
      <c r="BRM89" s="21"/>
      <c r="BRN89" s="21"/>
      <c r="BRO89" s="21"/>
      <c r="BRP89" s="21"/>
      <c r="BRQ89" s="21"/>
      <c r="BRR89" s="21"/>
      <c r="BRS89" s="21"/>
      <c r="BRT89" s="21"/>
      <c r="BRU89" s="21"/>
      <c r="BRV89" s="21"/>
      <c r="BRW89" s="21"/>
      <c r="BRX89" s="21"/>
      <c r="BRY89" s="21"/>
      <c r="BRZ89" s="21"/>
      <c r="BSA89" s="21"/>
      <c r="BSB89" s="21"/>
      <c r="BSC89" s="21"/>
      <c r="BSD89" s="21"/>
      <c r="BSE89" s="21"/>
      <c r="BSF89" s="21"/>
      <c r="BSG89" s="21"/>
      <c r="BSH89" s="21"/>
      <c r="BSI89" s="21"/>
      <c r="BSJ89" s="21"/>
      <c r="BSK89" s="21"/>
      <c r="BSL89" s="21"/>
      <c r="BSM89" s="21"/>
      <c r="BSN89" s="21"/>
      <c r="BSO89" s="21"/>
      <c r="BSP89" s="21"/>
      <c r="BSQ89" s="21"/>
      <c r="BSR89" s="21"/>
      <c r="BSS89" s="21"/>
      <c r="BST89" s="21"/>
      <c r="BSU89" s="21"/>
      <c r="BSV89" s="21"/>
      <c r="BSW89" s="21"/>
      <c r="BSX89" s="21"/>
      <c r="BSY89" s="21"/>
      <c r="BSZ89" s="21"/>
      <c r="BTA89" s="21"/>
      <c r="BTB89" s="21"/>
      <c r="BTC89" s="21"/>
      <c r="BTD89" s="21"/>
      <c r="BTE89" s="21"/>
      <c r="BTF89" s="21"/>
      <c r="BTG89" s="21"/>
      <c r="BTH89" s="21"/>
      <c r="BTI89" s="21"/>
      <c r="BTJ89" s="21"/>
      <c r="BTK89" s="21"/>
      <c r="BTL89" s="21"/>
      <c r="BTM89" s="21"/>
      <c r="BTN89" s="21"/>
      <c r="BTO89" s="21"/>
      <c r="BTP89" s="21"/>
      <c r="BTQ89" s="21"/>
      <c r="BTR89" s="21"/>
      <c r="BTS89" s="21"/>
      <c r="BTT89" s="21"/>
      <c r="BTU89" s="21"/>
      <c r="BTV89" s="21"/>
      <c r="BTW89" s="21"/>
      <c r="BTX89" s="21"/>
      <c r="BTY89" s="21"/>
      <c r="BTZ89" s="21"/>
      <c r="BUA89" s="21"/>
      <c r="BUB89" s="21"/>
      <c r="BUC89" s="21"/>
      <c r="BUD89" s="21"/>
      <c r="BUE89" s="21"/>
      <c r="BUF89" s="21"/>
      <c r="BUG89" s="21"/>
      <c r="BUH89" s="21"/>
      <c r="BUI89" s="21"/>
      <c r="BUJ89" s="21"/>
      <c r="BUK89" s="21"/>
      <c r="BUL89" s="21"/>
      <c r="BUM89" s="21"/>
      <c r="BUN89" s="21"/>
      <c r="BUO89" s="21"/>
      <c r="BUP89" s="21"/>
      <c r="BUQ89" s="21"/>
      <c r="BUR89" s="21"/>
      <c r="BUS89" s="21"/>
      <c r="BUT89" s="21"/>
      <c r="BUU89" s="21"/>
      <c r="BUV89" s="21"/>
      <c r="BUW89" s="21"/>
      <c r="BUX89" s="21"/>
      <c r="BUY89" s="21"/>
      <c r="BUZ89" s="21"/>
      <c r="BVA89" s="21"/>
      <c r="BVB89" s="21"/>
      <c r="BVC89" s="21"/>
      <c r="BVD89" s="21"/>
      <c r="BVE89" s="21"/>
      <c r="BVF89" s="21"/>
      <c r="BVG89" s="21"/>
      <c r="BVH89" s="21"/>
      <c r="BVI89" s="21"/>
      <c r="BVJ89" s="21"/>
      <c r="BVK89" s="21"/>
      <c r="BVL89" s="21"/>
      <c r="BVM89" s="21"/>
      <c r="BVN89" s="21"/>
      <c r="BVO89" s="21"/>
      <c r="BVP89" s="21"/>
      <c r="BVQ89" s="21"/>
      <c r="BVR89" s="21"/>
      <c r="BVS89" s="21"/>
      <c r="BVT89" s="21"/>
      <c r="BVU89" s="21"/>
      <c r="BVV89" s="21"/>
      <c r="BVW89" s="21"/>
      <c r="BVX89" s="21"/>
      <c r="BVY89" s="21"/>
      <c r="BVZ89" s="21"/>
      <c r="BWA89" s="21"/>
      <c r="BWB89" s="21"/>
      <c r="BWC89" s="21"/>
      <c r="BWD89" s="21"/>
      <c r="BWE89" s="21"/>
      <c r="BWF89" s="21"/>
      <c r="BWG89" s="21"/>
      <c r="BWH89" s="21"/>
      <c r="BWI89" s="21"/>
      <c r="BWJ89" s="21"/>
      <c r="BWK89" s="21"/>
      <c r="BWL89" s="21"/>
      <c r="BWM89" s="21"/>
      <c r="BWN89" s="21"/>
      <c r="BWO89" s="21"/>
      <c r="BWP89" s="21"/>
      <c r="BWQ89" s="21"/>
      <c r="BWR89" s="21"/>
      <c r="BWS89" s="21"/>
      <c r="BWT89" s="21"/>
      <c r="BWU89" s="21"/>
      <c r="BWV89" s="21"/>
      <c r="BWW89" s="21"/>
      <c r="BWX89" s="21"/>
      <c r="BWY89" s="21"/>
      <c r="BWZ89" s="21"/>
      <c r="BXA89" s="21"/>
      <c r="BXB89" s="21"/>
      <c r="BXC89" s="21"/>
      <c r="BXD89" s="21"/>
      <c r="BXE89" s="21"/>
      <c r="BXF89" s="21"/>
      <c r="BXG89" s="21"/>
      <c r="BXH89" s="21"/>
      <c r="BXI89" s="21"/>
      <c r="BXJ89" s="21"/>
      <c r="BXK89" s="21"/>
      <c r="BXL89" s="21"/>
      <c r="BXM89" s="21"/>
      <c r="BXN89" s="21"/>
      <c r="BXO89" s="21"/>
      <c r="BXP89" s="21"/>
      <c r="BXQ89" s="21"/>
      <c r="BXR89" s="21"/>
      <c r="BXS89" s="21"/>
      <c r="BXT89" s="21"/>
      <c r="BXU89" s="21"/>
      <c r="BXV89" s="21"/>
      <c r="BXW89" s="21"/>
      <c r="BXX89" s="21"/>
      <c r="BXY89" s="21"/>
      <c r="BXZ89" s="21"/>
      <c r="BYA89" s="21"/>
      <c r="BYB89" s="21"/>
      <c r="BYC89" s="21"/>
      <c r="BYD89" s="21"/>
      <c r="BYE89" s="21"/>
      <c r="BYF89" s="21"/>
      <c r="BYG89" s="21"/>
      <c r="BYH89" s="21"/>
      <c r="BYI89" s="21"/>
      <c r="BYJ89" s="21"/>
      <c r="BYK89" s="21"/>
      <c r="BYL89" s="21"/>
      <c r="BYM89" s="21"/>
      <c r="BYN89" s="21"/>
      <c r="BYO89" s="21"/>
      <c r="BYP89" s="21"/>
      <c r="BYQ89" s="21"/>
      <c r="BYR89" s="21"/>
      <c r="BYS89" s="21"/>
      <c r="BYT89" s="21"/>
      <c r="BYU89" s="21"/>
      <c r="BYV89" s="21"/>
      <c r="BYW89" s="21"/>
      <c r="BYX89" s="21"/>
      <c r="BYY89" s="21"/>
      <c r="BYZ89" s="21"/>
      <c r="BZA89" s="21"/>
      <c r="BZB89" s="21"/>
      <c r="BZC89" s="21"/>
      <c r="BZD89" s="21"/>
      <c r="BZE89" s="21"/>
      <c r="BZF89" s="21"/>
      <c r="BZG89" s="21"/>
      <c r="BZH89" s="21"/>
      <c r="BZI89" s="21"/>
      <c r="BZJ89" s="21"/>
      <c r="BZK89" s="21"/>
      <c r="BZL89" s="21"/>
      <c r="BZM89" s="21"/>
      <c r="BZN89" s="21"/>
      <c r="BZO89" s="21"/>
      <c r="BZP89" s="21"/>
      <c r="BZQ89" s="21"/>
      <c r="BZR89" s="21"/>
      <c r="BZS89" s="21"/>
      <c r="BZT89" s="21"/>
      <c r="BZU89" s="21"/>
      <c r="BZV89" s="21"/>
      <c r="BZW89" s="21"/>
      <c r="BZX89" s="21"/>
      <c r="BZY89" s="21"/>
      <c r="BZZ89" s="21"/>
      <c r="CAA89" s="21"/>
      <c r="CAB89" s="21"/>
      <c r="CAC89" s="21"/>
      <c r="CAD89" s="21"/>
      <c r="CAE89" s="21"/>
      <c r="CAF89" s="21"/>
      <c r="CAG89" s="21"/>
      <c r="CAH89" s="21"/>
      <c r="CAI89" s="21"/>
      <c r="CAJ89" s="21"/>
      <c r="CAK89" s="21"/>
      <c r="CAL89" s="21"/>
      <c r="CAM89" s="21"/>
      <c r="CAN89" s="21"/>
      <c r="CAO89" s="21"/>
      <c r="CAP89" s="21"/>
      <c r="CAQ89" s="21"/>
      <c r="CAR89" s="21"/>
      <c r="CAS89" s="21"/>
      <c r="CAT89" s="21"/>
      <c r="CAU89" s="21"/>
      <c r="CAV89" s="21"/>
      <c r="CAW89" s="21"/>
      <c r="CAX89" s="21"/>
      <c r="CAY89" s="21"/>
      <c r="CAZ89" s="21"/>
      <c r="CBA89" s="21"/>
      <c r="CBB89" s="21"/>
      <c r="CBC89" s="21"/>
      <c r="CBD89" s="21"/>
      <c r="CBE89" s="21"/>
      <c r="CBF89" s="21"/>
      <c r="CBG89" s="21"/>
      <c r="CBH89" s="21"/>
      <c r="CBI89" s="21"/>
      <c r="CBJ89" s="21"/>
      <c r="CBK89" s="21"/>
      <c r="CBL89" s="21"/>
      <c r="CBM89" s="21"/>
      <c r="CBN89" s="21"/>
      <c r="CBO89" s="21"/>
      <c r="CBP89" s="21"/>
      <c r="CBQ89" s="21"/>
      <c r="CBR89" s="21"/>
      <c r="CBS89" s="21"/>
      <c r="CBT89" s="21"/>
      <c r="CBU89" s="21"/>
      <c r="CBV89" s="21"/>
      <c r="CBW89" s="21"/>
      <c r="CBX89" s="21"/>
      <c r="CBY89" s="21"/>
      <c r="CBZ89" s="21"/>
      <c r="CCA89" s="21"/>
      <c r="CCB89" s="21"/>
      <c r="CCC89" s="21"/>
      <c r="CCD89" s="21"/>
      <c r="CCE89" s="21"/>
      <c r="CCF89" s="21"/>
      <c r="CCG89" s="21"/>
      <c r="CCH89" s="21"/>
      <c r="CCI89" s="21"/>
      <c r="CCJ89" s="21"/>
      <c r="CCK89" s="21"/>
      <c r="CCL89" s="21"/>
      <c r="CCM89" s="21"/>
      <c r="CCN89" s="21"/>
      <c r="CCO89" s="21"/>
      <c r="CCP89" s="21"/>
      <c r="CCQ89" s="21"/>
      <c r="CCR89" s="21"/>
      <c r="CCS89" s="21"/>
      <c r="CCT89" s="21"/>
      <c r="CCU89" s="21"/>
      <c r="CCV89" s="21"/>
      <c r="CCW89" s="21"/>
      <c r="CCX89" s="21"/>
      <c r="CCY89" s="21"/>
      <c r="CCZ89" s="21"/>
      <c r="CDA89" s="21"/>
      <c r="CDB89" s="21"/>
      <c r="CDC89" s="21"/>
      <c r="CDD89" s="21"/>
      <c r="CDE89" s="21"/>
      <c r="CDF89" s="21"/>
      <c r="CDG89" s="21"/>
      <c r="CDH89" s="21"/>
      <c r="CDI89" s="21"/>
      <c r="CDJ89" s="21"/>
      <c r="CDK89" s="21"/>
      <c r="CDL89" s="21"/>
      <c r="CDM89" s="21"/>
      <c r="CDN89" s="21"/>
      <c r="CDO89" s="21"/>
      <c r="CDP89" s="21"/>
      <c r="CDQ89" s="21"/>
      <c r="CDR89" s="21"/>
      <c r="CDS89" s="21"/>
      <c r="CDT89" s="21"/>
      <c r="CDU89" s="21"/>
      <c r="CDV89" s="21"/>
      <c r="CDW89" s="21"/>
      <c r="CDX89" s="21"/>
      <c r="CDY89" s="21"/>
      <c r="CDZ89" s="21"/>
      <c r="CEA89" s="21"/>
      <c r="CEB89" s="21"/>
      <c r="CEC89" s="21"/>
      <c r="CED89" s="21"/>
      <c r="CEE89" s="21"/>
      <c r="CEF89" s="21"/>
      <c r="CEG89" s="21"/>
      <c r="CEH89" s="21"/>
      <c r="CEI89" s="21"/>
      <c r="CEJ89" s="21"/>
      <c r="CEK89" s="21"/>
      <c r="CEL89" s="21"/>
      <c r="CEM89" s="21"/>
      <c r="CEN89" s="21"/>
      <c r="CEO89" s="21"/>
      <c r="CEP89" s="21"/>
      <c r="CEQ89" s="21"/>
      <c r="CER89" s="21"/>
      <c r="CES89" s="21"/>
      <c r="CET89" s="21"/>
      <c r="CEU89" s="21"/>
      <c r="CEV89" s="21"/>
      <c r="CEW89" s="21"/>
      <c r="CEX89" s="21"/>
      <c r="CEY89" s="21"/>
      <c r="CEZ89" s="21"/>
      <c r="CFA89" s="21"/>
      <c r="CFB89" s="21"/>
      <c r="CFC89" s="21"/>
      <c r="CFD89" s="21"/>
      <c r="CFE89" s="21"/>
      <c r="CFF89" s="21"/>
      <c r="CFG89" s="21"/>
      <c r="CFH89" s="21"/>
      <c r="CFI89" s="21"/>
      <c r="CFJ89" s="21"/>
      <c r="CFK89" s="21"/>
      <c r="CFL89" s="21"/>
      <c r="CFM89" s="21"/>
      <c r="CFN89" s="21"/>
      <c r="CFO89" s="21"/>
      <c r="CFP89" s="21"/>
      <c r="CFQ89" s="21"/>
      <c r="CFR89" s="21"/>
      <c r="CFS89" s="21"/>
      <c r="CFT89" s="21"/>
      <c r="CFU89" s="21"/>
      <c r="CFV89" s="21"/>
      <c r="CFW89" s="21"/>
      <c r="CFX89" s="21"/>
      <c r="CFY89" s="21"/>
      <c r="CFZ89" s="21"/>
      <c r="CGA89" s="21"/>
      <c r="CGB89" s="21"/>
      <c r="CGC89" s="21"/>
      <c r="CGD89" s="21"/>
      <c r="CGE89" s="21"/>
      <c r="CGF89" s="21"/>
      <c r="CGG89" s="21"/>
      <c r="CGH89" s="21"/>
      <c r="CGI89" s="21"/>
      <c r="CGJ89" s="21"/>
      <c r="CGK89" s="21"/>
      <c r="CGL89" s="21"/>
      <c r="CGM89" s="21"/>
      <c r="CGN89" s="21"/>
      <c r="CGO89" s="21"/>
      <c r="CGP89" s="21"/>
      <c r="CGQ89" s="21"/>
      <c r="CGR89" s="21"/>
      <c r="CGS89" s="21"/>
      <c r="CGT89" s="21"/>
      <c r="CGU89" s="21"/>
      <c r="CGV89" s="21"/>
      <c r="CGW89" s="21"/>
      <c r="CGX89" s="21"/>
      <c r="CGY89" s="21"/>
      <c r="CGZ89" s="21"/>
      <c r="CHA89" s="21"/>
      <c r="CHB89" s="21"/>
      <c r="CHC89" s="21"/>
      <c r="CHD89" s="21"/>
      <c r="CHE89" s="21"/>
      <c r="CHF89" s="21"/>
      <c r="CHG89" s="21"/>
      <c r="CHH89" s="21"/>
      <c r="CHI89" s="21"/>
      <c r="CHJ89" s="21"/>
      <c r="CHK89" s="21"/>
      <c r="CHL89" s="21"/>
      <c r="CHM89" s="21"/>
      <c r="CHN89" s="21"/>
      <c r="CHO89" s="21"/>
      <c r="CHP89" s="21"/>
      <c r="CHQ89" s="21"/>
      <c r="CHR89" s="21"/>
      <c r="CHS89" s="21"/>
      <c r="CHT89" s="21"/>
      <c r="CHU89" s="21"/>
      <c r="CHV89" s="21"/>
      <c r="CHW89" s="21"/>
      <c r="CHX89" s="21"/>
      <c r="CHY89" s="21"/>
      <c r="CHZ89" s="21"/>
      <c r="CIA89" s="21"/>
      <c r="CIB89" s="21"/>
      <c r="CIC89" s="21"/>
      <c r="CID89" s="21"/>
      <c r="CIE89" s="21"/>
      <c r="CIF89" s="21"/>
      <c r="CIG89" s="21"/>
      <c r="CIH89" s="21"/>
      <c r="CII89" s="21"/>
      <c r="CIJ89" s="21"/>
      <c r="CIK89" s="21"/>
      <c r="CIL89" s="21"/>
      <c r="CIM89" s="21"/>
      <c r="CIN89" s="21"/>
      <c r="CIO89" s="21"/>
      <c r="CIP89" s="21"/>
      <c r="CIQ89" s="21"/>
      <c r="CIR89" s="21"/>
      <c r="CIS89" s="21"/>
      <c r="CIT89" s="21"/>
      <c r="CIU89" s="21"/>
      <c r="CIV89" s="21"/>
      <c r="CIW89" s="21"/>
      <c r="CIX89" s="21"/>
      <c r="CIY89" s="21"/>
      <c r="CIZ89" s="21"/>
      <c r="CJA89" s="21"/>
      <c r="CJB89" s="21"/>
      <c r="CJC89" s="21"/>
      <c r="CJD89" s="21"/>
      <c r="CJE89" s="21"/>
      <c r="CJF89" s="21"/>
      <c r="CJG89" s="21"/>
      <c r="CJH89" s="21"/>
      <c r="CJI89" s="21"/>
      <c r="CJJ89" s="21"/>
      <c r="CJK89" s="21"/>
      <c r="CJL89" s="21"/>
      <c r="CJM89" s="21"/>
      <c r="CJN89" s="21"/>
      <c r="CJO89" s="21"/>
      <c r="CJP89" s="21"/>
      <c r="CJQ89" s="21"/>
      <c r="CJR89" s="21"/>
      <c r="CJS89" s="21"/>
      <c r="CJT89" s="21"/>
      <c r="CJU89" s="21"/>
      <c r="CJV89" s="21"/>
      <c r="CJW89" s="21"/>
      <c r="CJX89" s="21"/>
      <c r="CJY89" s="21"/>
      <c r="CJZ89" s="21"/>
      <c r="CKA89" s="21"/>
      <c r="CKB89" s="21"/>
      <c r="CKC89" s="21"/>
      <c r="CKD89" s="21"/>
      <c r="CKE89" s="21"/>
      <c r="CKF89" s="21"/>
      <c r="CKG89" s="21"/>
      <c r="CKH89" s="21"/>
      <c r="CKI89" s="21"/>
      <c r="CKJ89" s="21"/>
      <c r="CKK89" s="21"/>
      <c r="CKL89" s="21"/>
      <c r="CKM89" s="21"/>
      <c r="CKN89" s="21"/>
      <c r="CKO89" s="21"/>
      <c r="CKP89" s="21"/>
      <c r="CKQ89" s="21"/>
      <c r="CKR89" s="21"/>
      <c r="CKS89" s="21"/>
      <c r="CKT89" s="21"/>
      <c r="CKU89" s="21"/>
      <c r="CKV89" s="21"/>
      <c r="CKW89" s="21"/>
      <c r="CKX89" s="21"/>
      <c r="CKY89" s="21"/>
      <c r="CKZ89" s="21"/>
      <c r="CLA89" s="21"/>
      <c r="CLB89" s="21"/>
      <c r="CLC89" s="21"/>
      <c r="CLD89" s="21"/>
      <c r="CLE89" s="21"/>
      <c r="CLF89" s="21"/>
      <c r="CLG89" s="21"/>
      <c r="CLH89" s="21"/>
      <c r="CLI89" s="21"/>
      <c r="CLJ89" s="21"/>
      <c r="CLK89" s="21"/>
      <c r="CLL89" s="21"/>
      <c r="CLM89" s="21"/>
      <c r="CLN89" s="21"/>
      <c r="CLO89" s="21"/>
      <c r="CLP89" s="21"/>
      <c r="CLQ89" s="21"/>
      <c r="CLR89" s="21"/>
      <c r="CLS89" s="21"/>
      <c r="CLT89" s="21"/>
      <c r="CLU89" s="21"/>
      <c r="CLV89" s="21"/>
      <c r="CLW89" s="21"/>
      <c r="CLX89" s="21"/>
      <c r="CLY89" s="21"/>
      <c r="CLZ89" s="21"/>
      <c r="CMA89" s="21"/>
      <c r="CMB89" s="21"/>
      <c r="CMC89" s="21"/>
      <c r="CMD89" s="21"/>
      <c r="CME89" s="21"/>
      <c r="CMF89" s="21"/>
      <c r="CMG89" s="21"/>
      <c r="CMH89" s="21"/>
      <c r="CMI89" s="21"/>
      <c r="CMJ89" s="21"/>
      <c r="CMK89" s="21"/>
      <c r="CML89" s="21"/>
      <c r="CMM89" s="21"/>
      <c r="CMN89" s="21"/>
      <c r="CMO89" s="21"/>
      <c r="CMP89" s="21"/>
      <c r="CMQ89" s="21"/>
      <c r="CMR89" s="21"/>
      <c r="CMS89" s="21"/>
      <c r="CMT89" s="21"/>
      <c r="CMU89" s="21"/>
      <c r="CMV89" s="21"/>
      <c r="CMW89" s="21"/>
      <c r="CMX89" s="21"/>
      <c r="CMY89" s="21"/>
      <c r="CMZ89" s="21"/>
      <c r="CNA89" s="21"/>
      <c r="CNB89" s="21"/>
      <c r="CNC89" s="21"/>
      <c r="CND89" s="21"/>
      <c r="CNE89" s="21"/>
      <c r="CNF89" s="21"/>
      <c r="CNG89" s="21"/>
      <c r="CNH89" s="21"/>
      <c r="CNI89" s="21"/>
      <c r="CNJ89" s="21"/>
      <c r="CNK89" s="21"/>
      <c r="CNL89" s="21"/>
      <c r="CNM89" s="21"/>
      <c r="CNN89" s="21"/>
      <c r="CNO89" s="21"/>
      <c r="CNP89" s="21"/>
      <c r="CNQ89" s="21"/>
      <c r="CNR89" s="21"/>
      <c r="CNS89" s="21"/>
      <c r="CNT89" s="21"/>
      <c r="CNU89" s="21"/>
      <c r="CNV89" s="21"/>
      <c r="CNW89" s="21"/>
      <c r="CNX89" s="21"/>
      <c r="CNY89" s="21"/>
      <c r="CNZ89" s="21"/>
      <c r="COA89" s="21"/>
      <c r="COB89" s="21"/>
      <c r="COC89" s="21"/>
      <c r="COD89" s="21"/>
      <c r="COE89" s="21"/>
      <c r="COF89" s="21"/>
      <c r="COG89" s="21"/>
      <c r="COH89" s="21"/>
      <c r="COI89" s="21"/>
      <c r="COJ89" s="21"/>
      <c r="COK89" s="21"/>
      <c r="COL89" s="21"/>
      <c r="COM89" s="21"/>
      <c r="CON89" s="21"/>
      <c r="COO89" s="21"/>
      <c r="COP89" s="21"/>
      <c r="COQ89" s="21"/>
      <c r="COR89" s="21"/>
      <c r="COS89" s="21"/>
      <c r="COT89" s="21"/>
      <c r="COU89" s="21"/>
      <c r="COV89" s="21"/>
      <c r="COW89" s="21"/>
      <c r="COX89" s="21"/>
      <c r="COY89" s="21"/>
      <c r="COZ89" s="21"/>
      <c r="CPA89" s="21"/>
      <c r="CPB89" s="21"/>
      <c r="CPC89" s="21"/>
      <c r="CPD89" s="21"/>
      <c r="CPE89" s="21"/>
      <c r="CPF89" s="21"/>
      <c r="CPG89" s="21"/>
      <c r="CPH89" s="21"/>
      <c r="CPI89" s="21"/>
      <c r="CPJ89" s="21"/>
      <c r="CPK89" s="21"/>
      <c r="CPL89" s="21"/>
      <c r="CPM89" s="21"/>
      <c r="CPN89" s="21"/>
      <c r="CPO89" s="21"/>
      <c r="CPP89" s="21"/>
      <c r="CPQ89" s="21"/>
      <c r="CPR89" s="21"/>
      <c r="CPS89" s="21"/>
      <c r="CPT89" s="21"/>
      <c r="CPU89" s="21"/>
      <c r="CPV89" s="21"/>
      <c r="CPW89" s="21"/>
      <c r="CPX89" s="21"/>
      <c r="CPY89" s="21"/>
      <c r="CPZ89" s="21"/>
      <c r="CQA89" s="21"/>
      <c r="CQB89" s="21"/>
      <c r="CQC89" s="21"/>
      <c r="CQD89" s="21"/>
      <c r="CQE89" s="21"/>
      <c r="CQF89" s="21"/>
      <c r="CQG89" s="21"/>
      <c r="CQH89" s="21"/>
      <c r="CQI89" s="21"/>
      <c r="CQJ89" s="21"/>
      <c r="CQK89" s="21"/>
      <c r="CQL89" s="21"/>
      <c r="CQM89" s="21"/>
      <c r="CQN89" s="21"/>
      <c r="CQO89" s="21"/>
      <c r="CQP89" s="21"/>
      <c r="CQQ89" s="21"/>
      <c r="CQR89" s="21"/>
      <c r="CQS89" s="21"/>
      <c r="CQT89" s="21"/>
      <c r="CQU89" s="21"/>
      <c r="CQV89" s="21"/>
      <c r="CQW89" s="21"/>
      <c r="CQX89" s="21"/>
      <c r="CQY89" s="21"/>
      <c r="CQZ89" s="21"/>
      <c r="CRA89" s="21"/>
      <c r="CRB89" s="21"/>
      <c r="CRC89" s="21"/>
      <c r="CRD89" s="21"/>
      <c r="CRE89" s="21"/>
      <c r="CRF89" s="21"/>
      <c r="CRG89" s="21"/>
      <c r="CRH89" s="21"/>
      <c r="CRI89" s="21"/>
      <c r="CRJ89" s="21"/>
      <c r="CRK89" s="21"/>
      <c r="CRL89" s="21"/>
      <c r="CRM89" s="21"/>
      <c r="CRN89" s="21"/>
      <c r="CRO89" s="21"/>
      <c r="CRP89" s="21"/>
      <c r="CRQ89" s="21"/>
      <c r="CRR89" s="21"/>
      <c r="CRS89" s="21"/>
      <c r="CRT89" s="21"/>
      <c r="CRU89" s="21"/>
      <c r="CRV89" s="21"/>
      <c r="CRW89" s="21"/>
      <c r="CRX89" s="21"/>
      <c r="CRY89" s="21"/>
      <c r="CRZ89" s="21"/>
      <c r="CSA89" s="21"/>
      <c r="CSB89" s="21"/>
      <c r="CSC89" s="21"/>
      <c r="CSD89" s="21"/>
      <c r="CSE89" s="21"/>
      <c r="CSF89" s="21"/>
      <c r="CSG89" s="21"/>
      <c r="CSH89" s="21"/>
      <c r="CSI89" s="21"/>
      <c r="CSJ89" s="21"/>
      <c r="CSK89" s="21"/>
      <c r="CSL89" s="21"/>
      <c r="CSM89" s="21"/>
      <c r="CSN89" s="21"/>
      <c r="CSO89" s="21"/>
      <c r="CSP89" s="21"/>
      <c r="CSQ89" s="21"/>
      <c r="CSR89" s="21"/>
      <c r="CSS89" s="21"/>
      <c r="CST89" s="21"/>
      <c r="CSU89" s="21"/>
      <c r="CSV89" s="21"/>
      <c r="CSW89" s="21"/>
      <c r="CSX89" s="21"/>
      <c r="CSY89" s="21"/>
      <c r="CSZ89" s="21"/>
      <c r="CTA89" s="21"/>
      <c r="CTB89" s="21"/>
      <c r="CTC89" s="21"/>
      <c r="CTD89" s="21"/>
      <c r="CTE89" s="21"/>
      <c r="CTF89" s="21"/>
      <c r="CTG89" s="21"/>
      <c r="CTH89" s="21"/>
      <c r="CTI89" s="21"/>
      <c r="CTJ89" s="21"/>
      <c r="CTK89" s="21"/>
      <c r="CTL89" s="21"/>
      <c r="CTM89" s="21"/>
      <c r="CTN89" s="21"/>
      <c r="CTO89" s="21"/>
      <c r="CTP89" s="21"/>
      <c r="CTQ89" s="21"/>
      <c r="CTR89" s="21"/>
      <c r="CTS89" s="21"/>
      <c r="CTT89" s="21"/>
      <c r="CTU89" s="21"/>
      <c r="CTV89" s="21"/>
      <c r="CTW89" s="21"/>
      <c r="CTX89" s="21"/>
      <c r="CTY89" s="21"/>
      <c r="CTZ89" s="21"/>
      <c r="CUA89" s="21"/>
      <c r="CUB89" s="21"/>
      <c r="CUC89" s="21"/>
      <c r="CUD89" s="21"/>
      <c r="CUE89" s="21"/>
      <c r="CUF89" s="21"/>
      <c r="CUG89" s="21"/>
      <c r="CUH89" s="21"/>
      <c r="CUI89" s="21"/>
      <c r="CUJ89" s="21"/>
      <c r="CUK89" s="21"/>
      <c r="CUL89" s="21"/>
      <c r="CUM89" s="21"/>
      <c r="CUN89" s="21"/>
      <c r="CUO89" s="21"/>
      <c r="CUP89" s="21"/>
      <c r="CUQ89" s="21"/>
      <c r="CUR89" s="21"/>
      <c r="CUS89" s="21"/>
      <c r="CUT89" s="21"/>
      <c r="CUU89" s="21"/>
      <c r="CUV89" s="21"/>
      <c r="CUW89" s="21"/>
      <c r="CUX89" s="21"/>
      <c r="CUY89" s="21"/>
      <c r="CUZ89" s="21"/>
      <c r="CVA89" s="21"/>
      <c r="CVB89" s="21"/>
      <c r="CVC89" s="21"/>
      <c r="CVD89" s="21"/>
      <c r="CVE89" s="21"/>
      <c r="CVF89" s="21"/>
      <c r="CVG89" s="21"/>
      <c r="CVH89" s="21"/>
      <c r="CVI89" s="21"/>
      <c r="CVJ89" s="21"/>
      <c r="CVK89" s="21"/>
      <c r="CVL89" s="21"/>
      <c r="CVM89" s="21"/>
      <c r="CVN89" s="21"/>
      <c r="CVO89" s="21"/>
      <c r="CVP89" s="21"/>
      <c r="CVQ89" s="21"/>
      <c r="CVR89" s="21"/>
      <c r="CVS89" s="21"/>
      <c r="CVT89" s="21"/>
      <c r="CVU89" s="21"/>
      <c r="CVV89" s="21"/>
      <c r="CVW89" s="21"/>
      <c r="CVX89" s="21"/>
      <c r="CVY89" s="21"/>
      <c r="CVZ89" s="21"/>
      <c r="CWA89" s="21"/>
      <c r="CWB89" s="21"/>
      <c r="CWC89" s="21"/>
      <c r="CWD89" s="21"/>
      <c r="CWE89" s="21"/>
      <c r="CWF89" s="21"/>
      <c r="CWG89" s="21"/>
      <c r="CWH89" s="21"/>
      <c r="CWI89" s="21"/>
      <c r="CWJ89" s="21"/>
      <c r="CWK89" s="21"/>
      <c r="CWL89" s="21"/>
      <c r="CWM89" s="21"/>
      <c r="CWN89" s="21"/>
      <c r="CWO89" s="21"/>
      <c r="CWP89" s="21"/>
      <c r="CWQ89" s="21"/>
      <c r="CWR89" s="21"/>
      <c r="CWS89" s="21"/>
      <c r="CWT89" s="21"/>
      <c r="CWU89" s="21"/>
      <c r="CWV89" s="21"/>
      <c r="CWW89" s="21"/>
      <c r="CWX89" s="21"/>
      <c r="CWY89" s="21"/>
      <c r="CWZ89" s="21"/>
      <c r="CXA89" s="21"/>
      <c r="CXB89" s="21"/>
      <c r="CXC89" s="21"/>
      <c r="CXD89" s="21"/>
      <c r="CXE89" s="21"/>
      <c r="CXF89" s="21"/>
      <c r="CXG89" s="21"/>
      <c r="CXH89" s="21"/>
      <c r="CXI89" s="21"/>
      <c r="CXJ89" s="21"/>
      <c r="CXK89" s="21"/>
      <c r="CXL89" s="21"/>
      <c r="CXM89" s="21"/>
      <c r="CXN89" s="21"/>
      <c r="CXO89" s="21"/>
      <c r="CXP89" s="21"/>
      <c r="CXQ89" s="21"/>
      <c r="CXR89" s="21"/>
      <c r="CXS89" s="21"/>
      <c r="CXT89" s="21"/>
      <c r="CXU89" s="21"/>
      <c r="CXV89" s="21"/>
      <c r="CXW89" s="21"/>
      <c r="CXX89" s="21"/>
      <c r="CXY89" s="21"/>
      <c r="CXZ89" s="21"/>
      <c r="CYA89" s="21"/>
      <c r="CYB89" s="21"/>
      <c r="CYC89" s="21"/>
      <c r="CYD89" s="21"/>
      <c r="CYE89" s="21"/>
      <c r="CYF89" s="21"/>
      <c r="CYG89" s="21"/>
      <c r="CYH89" s="21"/>
      <c r="CYI89" s="21"/>
      <c r="CYJ89" s="21"/>
      <c r="CYK89" s="21"/>
      <c r="CYL89" s="21"/>
      <c r="CYM89" s="21"/>
      <c r="CYN89" s="21"/>
      <c r="CYO89" s="21"/>
      <c r="CYP89" s="21"/>
      <c r="CYQ89" s="21"/>
      <c r="CYR89" s="21"/>
      <c r="CYS89" s="21"/>
      <c r="CYT89" s="21"/>
      <c r="CYU89" s="21"/>
      <c r="CYV89" s="21"/>
      <c r="CYW89" s="21"/>
      <c r="CYX89" s="21"/>
      <c r="CYY89" s="21"/>
      <c r="CYZ89" s="21"/>
      <c r="CZA89" s="21"/>
      <c r="CZB89" s="21"/>
      <c r="CZC89" s="21"/>
      <c r="CZD89" s="21"/>
      <c r="CZE89" s="21"/>
      <c r="CZF89" s="21"/>
      <c r="CZG89" s="21"/>
      <c r="CZH89" s="21"/>
      <c r="CZI89" s="21"/>
      <c r="CZJ89" s="21"/>
      <c r="CZK89" s="21"/>
      <c r="CZL89" s="21"/>
      <c r="CZM89" s="21"/>
      <c r="CZN89" s="21"/>
      <c r="CZO89" s="21"/>
      <c r="CZP89" s="21"/>
      <c r="CZQ89" s="21"/>
      <c r="CZR89" s="21"/>
      <c r="CZS89" s="21"/>
      <c r="CZT89" s="21"/>
      <c r="CZU89" s="21"/>
      <c r="CZV89" s="21"/>
      <c r="CZW89" s="21"/>
      <c r="CZX89" s="21"/>
      <c r="CZY89" s="21"/>
      <c r="CZZ89" s="21"/>
      <c r="DAA89" s="21"/>
      <c r="DAB89" s="21"/>
      <c r="DAC89" s="21"/>
      <c r="DAD89" s="21"/>
      <c r="DAE89" s="21"/>
      <c r="DAF89" s="21"/>
      <c r="DAG89" s="21"/>
      <c r="DAH89" s="21"/>
      <c r="DAI89" s="21"/>
      <c r="DAJ89" s="21"/>
      <c r="DAK89" s="21"/>
      <c r="DAL89" s="21"/>
      <c r="DAM89" s="21"/>
      <c r="DAN89" s="21"/>
      <c r="DAO89" s="21"/>
      <c r="DAP89" s="21"/>
      <c r="DAQ89" s="21"/>
      <c r="DAR89" s="21"/>
      <c r="DAS89" s="21"/>
      <c r="DAT89" s="21"/>
      <c r="DAU89" s="21"/>
      <c r="DAV89" s="21"/>
      <c r="DAW89" s="21"/>
      <c r="DAX89" s="21"/>
      <c r="DAY89" s="21"/>
      <c r="DAZ89" s="21"/>
      <c r="DBA89" s="21"/>
      <c r="DBB89" s="21"/>
      <c r="DBC89" s="21"/>
      <c r="DBD89" s="21"/>
      <c r="DBE89" s="21"/>
      <c r="DBF89" s="21"/>
      <c r="DBG89" s="21"/>
      <c r="DBH89" s="21"/>
      <c r="DBI89" s="21"/>
      <c r="DBJ89" s="21"/>
      <c r="DBK89" s="21"/>
      <c r="DBL89" s="21"/>
      <c r="DBM89" s="21"/>
      <c r="DBN89" s="21"/>
      <c r="DBO89" s="21"/>
      <c r="DBP89" s="21"/>
      <c r="DBQ89" s="21"/>
      <c r="DBR89" s="21"/>
      <c r="DBS89" s="21"/>
      <c r="DBT89" s="21"/>
      <c r="DBU89" s="21"/>
      <c r="DBV89" s="21"/>
      <c r="DBW89" s="21"/>
      <c r="DBX89" s="21"/>
      <c r="DBY89" s="21"/>
      <c r="DBZ89" s="21"/>
      <c r="DCA89" s="21"/>
      <c r="DCB89" s="21"/>
      <c r="DCC89" s="21"/>
      <c r="DCD89" s="21"/>
      <c r="DCE89" s="21"/>
      <c r="DCF89" s="21"/>
      <c r="DCG89" s="21"/>
      <c r="DCH89" s="21"/>
      <c r="DCI89" s="21"/>
      <c r="DCJ89" s="21"/>
      <c r="DCK89" s="21"/>
      <c r="DCL89" s="21"/>
      <c r="DCM89" s="21"/>
      <c r="DCN89" s="21"/>
      <c r="DCO89" s="21"/>
      <c r="DCP89" s="21"/>
      <c r="DCQ89" s="21"/>
      <c r="DCR89" s="21"/>
      <c r="DCS89" s="21"/>
      <c r="DCT89" s="21"/>
      <c r="DCU89" s="21"/>
      <c r="DCV89" s="21"/>
      <c r="DCW89" s="21"/>
      <c r="DCX89" s="21"/>
      <c r="DCY89" s="21"/>
      <c r="DCZ89" s="21"/>
      <c r="DDA89" s="21"/>
      <c r="DDB89" s="21"/>
      <c r="DDC89" s="21"/>
      <c r="DDD89" s="21"/>
      <c r="DDE89" s="21"/>
      <c r="DDF89" s="21"/>
      <c r="DDG89" s="21"/>
      <c r="DDH89" s="21"/>
      <c r="DDI89" s="21"/>
      <c r="DDJ89" s="21"/>
      <c r="DDK89" s="21"/>
      <c r="DDL89" s="21"/>
      <c r="DDM89" s="21"/>
      <c r="DDN89" s="21"/>
      <c r="DDO89" s="21"/>
      <c r="DDP89" s="21"/>
      <c r="DDQ89" s="21"/>
      <c r="DDR89" s="21"/>
      <c r="DDS89" s="21"/>
      <c r="DDT89" s="21"/>
      <c r="DDU89" s="21"/>
      <c r="DDV89" s="21"/>
      <c r="DDW89" s="21"/>
      <c r="DDX89" s="21"/>
      <c r="DDY89" s="21"/>
      <c r="DDZ89" s="21"/>
      <c r="DEA89" s="21"/>
      <c r="DEB89" s="21"/>
      <c r="DEC89" s="21"/>
      <c r="DED89" s="21"/>
      <c r="DEE89" s="21"/>
      <c r="DEF89" s="21"/>
      <c r="DEG89" s="21"/>
      <c r="DEH89" s="21"/>
      <c r="DEI89" s="21"/>
      <c r="DEJ89" s="21"/>
      <c r="DEK89" s="21"/>
      <c r="DEL89" s="21"/>
      <c r="DEM89" s="21"/>
      <c r="DEN89" s="21"/>
      <c r="DEO89" s="21"/>
      <c r="DEP89" s="21"/>
      <c r="DEQ89" s="21"/>
      <c r="DER89" s="21"/>
      <c r="DES89" s="21"/>
      <c r="DET89" s="21"/>
      <c r="DEU89" s="21"/>
      <c r="DEV89" s="21"/>
      <c r="DEW89" s="21"/>
      <c r="DEX89" s="21"/>
      <c r="DEY89" s="21"/>
      <c r="DEZ89" s="21"/>
      <c r="DFA89" s="21"/>
      <c r="DFB89" s="21"/>
      <c r="DFC89" s="21"/>
      <c r="DFD89" s="21"/>
      <c r="DFE89" s="21"/>
      <c r="DFF89" s="21"/>
      <c r="DFG89" s="21"/>
      <c r="DFH89" s="21"/>
      <c r="DFI89" s="21"/>
      <c r="DFJ89" s="21"/>
      <c r="DFK89" s="21"/>
      <c r="DFL89" s="21"/>
      <c r="DFM89" s="21"/>
      <c r="DFN89" s="21"/>
      <c r="DFO89" s="21"/>
      <c r="DFP89" s="21"/>
      <c r="DFQ89" s="21"/>
      <c r="DFR89" s="21"/>
      <c r="DFS89" s="21"/>
      <c r="DFT89" s="21"/>
      <c r="DFU89" s="21"/>
      <c r="DFV89" s="21"/>
      <c r="DFW89" s="21"/>
      <c r="DFX89" s="21"/>
      <c r="DFY89" s="21"/>
      <c r="DFZ89" s="21"/>
      <c r="DGA89" s="21"/>
      <c r="DGB89" s="21"/>
      <c r="DGC89" s="21"/>
      <c r="DGD89" s="21"/>
      <c r="DGE89" s="21"/>
      <c r="DGF89" s="21"/>
      <c r="DGG89" s="21"/>
      <c r="DGH89" s="21"/>
      <c r="DGI89" s="21"/>
      <c r="DGJ89" s="21"/>
      <c r="DGK89" s="21"/>
      <c r="DGL89" s="21"/>
      <c r="DGM89" s="21"/>
      <c r="DGN89" s="21"/>
      <c r="DGO89" s="21"/>
      <c r="DGP89" s="21"/>
      <c r="DGQ89" s="21"/>
      <c r="DGR89" s="21"/>
      <c r="DGS89" s="21"/>
      <c r="DGT89" s="21"/>
      <c r="DGU89" s="21"/>
      <c r="DGV89" s="21"/>
      <c r="DGW89" s="21"/>
      <c r="DGX89" s="21"/>
      <c r="DGY89" s="21"/>
      <c r="DGZ89" s="21"/>
      <c r="DHA89" s="21"/>
      <c r="DHB89" s="21"/>
      <c r="DHC89" s="21"/>
      <c r="DHD89" s="21"/>
      <c r="DHE89" s="21"/>
      <c r="DHF89" s="21"/>
      <c r="DHG89" s="21"/>
      <c r="DHH89" s="21"/>
      <c r="DHI89" s="21"/>
      <c r="DHJ89" s="21"/>
      <c r="DHK89" s="21"/>
      <c r="DHL89" s="21"/>
      <c r="DHM89" s="21"/>
      <c r="DHN89" s="21"/>
      <c r="DHO89" s="21"/>
      <c r="DHP89" s="21"/>
      <c r="DHQ89" s="21"/>
      <c r="DHR89" s="21"/>
      <c r="DHS89" s="21"/>
      <c r="DHT89" s="21"/>
      <c r="DHU89" s="21"/>
      <c r="DHV89" s="21"/>
      <c r="DHW89" s="21"/>
      <c r="DHX89" s="21"/>
      <c r="DHY89" s="21"/>
      <c r="DHZ89" s="21"/>
      <c r="DIA89" s="21"/>
      <c r="DIB89" s="21"/>
      <c r="DIC89" s="21"/>
      <c r="DID89" s="21"/>
      <c r="DIE89" s="21"/>
      <c r="DIF89" s="21"/>
      <c r="DIG89" s="21"/>
      <c r="DIH89" s="21"/>
      <c r="DII89" s="21"/>
      <c r="DIJ89" s="21"/>
      <c r="DIK89" s="21"/>
      <c r="DIL89" s="21"/>
      <c r="DIM89" s="21"/>
      <c r="DIN89" s="21"/>
      <c r="DIO89" s="21"/>
      <c r="DIP89" s="21"/>
      <c r="DIQ89" s="21"/>
      <c r="DIR89" s="21"/>
      <c r="DIS89" s="21"/>
      <c r="DIT89" s="21"/>
      <c r="DIU89" s="21"/>
      <c r="DIV89" s="21"/>
      <c r="DIW89" s="21"/>
      <c r="DIX89" s="21"/>
      <c r="DIY89" s="21"/>
      <c r="DIZ89" s="21"/>
      <c r="DJA89" s="21"/>
      <c r="DJB89" s="21"/>
      <c r="DJC89" s="21"/>
      <c r="DJD89" s="21"/>
      <c r="DJE89" s="21"/>
      <c r="DJF89" s="21"/>
      <c r="DJG89" s="21"/>
      <c r="DJH89" s="21"/>
      <c r="DJI89" s="21"/>
      <c r="DJJ89" s="21"/>
      <c r="DJK89" s="21"/>
      <c r="DJL89" s="21"/>
      <c r="DJM89" s="21"/>
      <c r="DJN89" s="21"/>
      <c r="DJO89" s="21"/>
      <c r="DJP89" s="21"/>
      <c r="DJQ89" s="21"/>
      <c r="DJR89" s="21"/>
      <c r="DJS89" s="21"/>
      <c r="DJT89" s="21"/>
      <c r="DJU89" s="21"/>
      <c r="DJV89" s="21"/>
      <c r="DJW89" s="21"/>
      <c r="DJX89" s="21"/>
      <c r="DJY89" s="21"/>
      <c r="DJZ89" s="21"/>
      <c r="DKA89" s="21"/>
      <c r="DKB89" s="21"/>
      <c r="DKC89" s="21"/>
      <c r="DKD89" s="21"/>
      <c r="DKE89" s="21"/>
      <c r="DKF89" s="21"/>
      <c r="DKG89" s="21"/>
      <c r="DKH89" s="21"/>
      <c r="DKI89" s="21"/>
      <c r="DKJ89" s="21"/>
      <c r="DKK89" s="21"/>
      <c r="DKL89" s="21"/>
      <c r="DKM89" s="21"/>
      <c r="DKN89" s="21"/>
      <c r="DKO89" s="21"/>
      <c r="DKP89" s="21"/>
      <c r="DKQ89" s="21"/>
      <c r="DKR89" s="21"/>
      <c r="DKS89" s="21"/>
      <c r="DKT89" s="21"/>
      <c r="DKU89" s="21"/>
      <c r="DKV89" s="21"/>
      <c r="DKW89" s="21"/>
      <c r="DKX89" s="21"/>
      <c r="DKY89" s="21"/>
      <c r="DKZ89" s="21"/>
      <c r="DLA89" s="21"/>
      <c r="DLB89" s="21"/>
      <c r="DLC89" s="21"/>
      <c r="DLD89" s="21"/>
      <c r="DLE89" s="21"/>
      <c r="DLF89" s="21"/>
      <c r="DLG89" s="21"/>
      <c r="DLH89" s="21"/>
      <c r="DLI89" s="21"/>
      <c r="DLJ89" s="21"/>
      <c r="DLK89" s="21"/>
      <c r="DLL89" s="21"/>
      <c r="DLM89" s="21"/>
      <c r="DLN89" s="21"/>
      <c r="DLO89" s="21"/>
      <c r="DLP89" s="21"/>
      <c r="DLQ89" s="21"/>
      <c r="DLR89" s="21"/>
      <c r="DLS89" s="21"/>
      <c r="DLT89" s="21"/>
      <c r="DLU89" s="21"/>
      <c r="DLV89" s="21"/>
      <c r="DLW89" s="21"/>
      <c r="DLX89" s="21"/>
      <c r="DLY89" s="21"/>
      <c r="DLZ89" s="21"/>
      <c r="DMA89" s="21"/>
      <c r="DMB89" s="21"/>
      <c r="DMC89" s="21"/>
      <c r="DMD89" s="21"/>
      <c r="DME89" s="21"/>
      <c r="DMF89" s="21"/>
      <c r="DMG89" s="21"/>
      <c r="DMH89" s="21"/>
      <c r="DMI89" s="21"/>
      <c r="DMJ89" s="21"/>
      <c r="DMK89" s="21"/>
      <c r="DML89" s="21"/>
      <c r="DMM89" s="21"/>
      <c r="DMN89" s="21"/>
      <c r="DMO89" s="21"/>
      <c r="DMP89" s="21"/>
      <c r="DMQ89" s="21"/>
      <c r="DMR89" s="21"/>
      <c r="DMS89" s="21"/>
      <c r="DMT89" s="21"/>
      <c r="DMU89" s="21"/>
      <c r="DMV89" s="21"/>
      <c r="DMW89" s="21"/>
      <c r="DMX89" s="21"/>
      <c r="DMY89" s="21"/>
      <c r="DMZ89" s="21"/>
      <c r="DNA89" s="21"/>
      <c r="DNB89" s="21"/>
      <c r="DNC89" s="21"/>
      <c r="DND89" s="21"/>
      <c r="DNE89" s="21"/>
      <c r="DNF89" s="21"/>
      <c r="DNG89" s="21"/>
      <c r="DNH89" s="21"/>
      <c r="DNI89" s="21"/>
      <c r="DNJ89" s="21"/>
      <c r="DNK89" s="21"/>
      <c r="DNL89" s="21"/>
      <c r="DNM89" s="21"/>
      <c r="DNN89" s="21"/>
      <c r="DNO89" s="21"/>
      <c r="DNP89" s="21"/>
      <c r="DNQ89" s="21"/>
      <c r="DNR89" s="21"/>
      <c r="DNS89" s="21"/>
      <c r="DNT89" s="21"/>
      <c r="DNU89" s="21"/>
      <c r="DNV89" s="21"/>
      <c r="DNW89" s="21"/>
      <c r="DNX89" s="21"/>
      <c r="DNY89" s="21"/>
      <c r="DNZ89" s="21"/>
      <c r="DOA89" s="21"/>
      <c r="DOB89" s="21"/>
      <c r="DOC89" s="21"/>
      <c r="DOD89" s="21"/>
      <c r="DOE89" s="21"/>
      <c r="DOF89" s="21"/>
      <c r="DOG89" s="21"/>
      <c r="DOH89" s="21"/>
      <c r="DOI89" s="21"/>
      <c r="DOJ89" s="21"/>
      <c r="DOK89" s="21"/>
      <c r="DOL89" s="21"/>
      <c r="DOM89" s="21"/>
      <c r="DON89" s="21"/>
      <c r="DOO89" s="21"/>
      <c r="DOP89" s="21"/>
      <c r="DOQ89" s="21"/>
      <c r="DOR89" s="21"/>
      <c r="DOS89" s="21"/>
      <c r="DOT89" s="21"/>
      <c r="DOU89" s="21"/>
      <c r="DOV89" s="21"/>
      <c r="DOW89" s="21"/>
      <c r="DOX89" s="21"/>
      <c r="DOY89" s="21"/>
      <c r="DOZ89" s="21"/>
      <c r="DPA89" s="21"/>
      <c r="DPB89" s="21"/>
      <c r="DPC89" s="21"/>
      <c r="DPD89" s="21"/>
      <c r="DPE89" s="21"/>
      <c r="DPF89" s="21"/>
      <c r="DPG89" s="21"/>
      <c r="DPH89" s="21"/>
      <c r="DPI89" s="21"/>
      <c r="DPJ89" s="21"/>
      <c r="DPK89" s="21"/>
      <c r="DPL89" s="21"/>
      <c r="DPM89" s="21"/>
      <c r="DPN89" s="21"/>
      <c r="DPO89" s="21"/>
      <c r="DPP89" s="21"/>
      <c r="DPQ89" s="21"/>
      <c r="DPR89" s="21"/>
      <c r="DPS89" s="21"/>
      <c r="DPT89" s="21"/>
      <c r="DPU89" s="21"/>
      <c r="DPV89" s="21"/>
      <c r="DPW89" s="21"/>
      <c r="DPX89" s="21"/>
      <c r="DPY89" s="21"/>
      <c r="DPZ89" s="21"/>
      <c r="DQA89" s="21"/>
      <c r="DQB89" s="21"/>
      <c r="DQC89" s="21"/>
      <c r="DQD89" s="21"/>
      <c r="DQE89" s="21"/>
      <c r="DQF89" s="21"/>
      <c r="DQG89" s="21"/>
      <c r="DQH89" s="21"/>
      <c r="DQI89" s="21"/>
      <c r="DQJ89" s="21"/>
      <c r="DQK89" s="21"/>
      <c r="DQL89" s="21"/>
      <c r="DQM89" s="21"/>
      <c r="DQN89" s="21"/>
      <c r="DQO89" s="21"/>
      <c r="DQP89" s="21"/>
      <c r="DQQ89" s="21"/>
      <c r="DQR89" s="21"/>
      <c r="DQS89" s="21"/>
      <c r="DQT89" s="21"/>
      <c r="DQU89" s="21"/>
      <c r="DQV89" s="21"/>
      <c r="DQW89" s="21"/>
      <c r="DQX89" s="21"/>
      <c r="DQY89" s="21"/>
      <c r="DQZ89" s="21"/>
      <c r="DRA89" s="21"/>
      <c r="DRB89" s="21"/>
      <c r="DRC89" s="21"/>
      <c r="DRD89" s="21"/>
      <c r="DRE89" s="21"/>
      <c r="DRF89" s="21"/>
      <c r="DRG89" s="21"/>
      <c r="DRH89" s="21"/>
      <c r="DRI89" s="21"/>
      <c r="DRJ89" s="21"/>
      <c r="DRK89" s="21"/>
      <c r="DRL89" s="21"/>
      <c r="DRM89" s="21"/>
      <c r="DRN89" s="21"/>
      <c r="DRO89" s="21"/>
      <c r="DRP89" s="21"/>
      <c r="DRQ89" s="21"/>
      <c r="DRR89" s="21"/>
      <c r="DRS89" s="21"/>
      <c r="DRT89" s="21"/>
      <c r="DRU89" s="21"/>
      <c r="DRV89" s="21"/>
      <c r="DRW89" s="21"/>
      <c r="DRX89" s="21"/>
      <c r="DRY89" s="21"/>
      <c r="DRZ89" s="21"/>
      <c r="DSA89" s="21"/>
      <c r="DSB89" s="21"/>
      <c r="DSC89" s="21"/>
      <c r="DSD89" s="21"/>
      <c r="DSE89" s="21"/>
      <c r="DSF89" s="21"/>
      <c r="DSG89" s="21"/>
      <c r="DSH89" s="21"/>
      <c r="DSI89" s="21"/>
      <c r="DSJ89" s="21"/>
      <c r="DSK89" s="21"/>
      <c r="DSL89" s="21"/>
      <c r="DSM89" s="21"/>
      <c r="DSN89" s="21"/>
      <c r="DSO89" s="21"/>
      <c r="DSP89" s="21"/>
      <c r="DSQ89" s="21"/>
      <c r="DSR89" s="21"/>
      <c r="DSS89" s="21"/>
      <c r="DST89" s="21"/>
      <c r="DSU89" s="21"/>
      <c r="DSV89" s="21"/>
      <c r="DSW89" s="21"/>
      <c r="DSX89" s="21"/>
      <c r="DSY89" s="21"/>
      <c r="DSZ89" s="21"/>
      <c r="DTA89" s="21"/>
      <c r="DTB89" s="21"/>
      <c r="DTC89" s="21"/>
      <c r="DTD89" s="21"/>
      <c r="DTE89" s="21"/>
      <c r="DTF89" s="21"/>
      <c r="DTG89" s="21"/>
      <c r="DTH89" s="21"/>
      <c r="DTI89" s="21"/>
      <c r="DTJ89" s="21"/>
      <c r="DTK89" s="21"/>
      <c r="DTL89" s="21"/>
      <c r="DTM89" s="21"/>
      <c r="DTN89" s="21"/>
      <c r="DTO89" s="21"/>
      <c r="DTP89" s="21"/>
      <c r="DTQ89" s="21"/>
      <c r="DTR89" s="21"/>
      <c r="DTS89" s="21"/>
      <c r="DTT89" s="21"/>
      <c r="DTU89" s="21"/>
      <c r="DTV89" s="21"/>
      <c r="DTW89" s="21"/>
      <c r="DTX89" s="21"/>
      <c r="DTY89" s="21"/>
      <c r="DTZ89" s="21"/>
      <c r="DUA89" s="21"/>
      <c r="DUB89" s="21"/>
      <c r="DUC89" s="21"/>
      <c r="DUD89" s="21"/>
      <c r="DUE89" s="21"/>
      <c r="DUF89" s="21"/>
      <c r="DUG89" s="21"/>
      <c r="DUH89" s="21"/>
      <c r="DUI89" s="21"/>
      <c r="DUJ89" s="21"/>
      <c r="DUK89" s="21"/>
      <c r="DUL89" s="21"/>
      <c r="DUM89" s="21"/>
      <c r="DUN89" s="21"/>
      <c r="DUO89" s="21"/>
      <c r="DUP89" s="21"/>
      <c r="DUQ89" s="21"/>
      <c r="DUR89" s="21"/>
      <c r="DUS89" s="21"/>
      <c r="DUT89" s="21"/>
      <c r="DUU89" s="21"/>
      <c r="DUV89" s="21"/>
      <c r="DUW89" s="21"/>
      <c r="DUX89" s="21"/>
      <c r="DUY89" s="21"/>
      <c r="DUZ89" s="21"/>
      <c r="DVA89" s="21"/>
      <c r="DVB89" s="21"/>
      <c r="DVC89" s="21"/>
      <c r="DVD89" s="21"/>
      <c r="DVE89" s="21"/>
      <c r="DVF89" s="21"/>
      <c r="DVG89" s="21"/>
      <c r="DVH89" s="21"/>
      <c r="DVI89" s="21"/>
      <c r="DVJ89" s="21"/>
      <c r="DVK89" s="21"/>
      <c r="DVL89" s="21"/>
      <c r="DVM89" s="21"/>
      <c r="DVN89" s="21"/>
      <c r="DVO89" s="21"/>
      <c r="DVP89" s="21"/>
      <c r="DVQ89" s="21"/>
      <c r="DVR89" s="21"/>
      <c r="DVS89" s="21"/>
      <c r="DVT89" s="21"/>
      <c r="DVU89" s="21"/>
      <c r="DVV89" s="21"/>
      <c r="DVW89" s="21"/>
      <c r="DVX89" s="21"/>
      <c r="DVY89" s="21"/>
      <c r="DVZ89" s="21"/>
      <c r="DWA89" s="21"/>
      <c r="DWB89" s="21"/>
      <c r="DWC89" s="21"/>
      <c r="DWD89" s="21"/>
      <c r="DWE89" s="21"/>
      <c r="DWF89" s="21"/>
      <c r="DWG89" s="21"/>
      <c r="DWH89" s="21"/>
      <c r="DWI89" s="21"/>
      <c r="DWJ89" s="21"/>
      <c r="DWK89" s="21"/>
      <c r="DWL89" s="21"/>
      <c r="DWM89" s="21"/>
      <c r="DWN89" s="21"/>
      <c r="DWO89" s="21"/>
      <c r="DWP89" s="21"/>
      <c r="DWQ89" s="21"/>
      <c r="DWR89" s="21"/>
      <c r="DWS89" s="21"/>
      <c r="DWT89" s="21"/>
      <c r="DWU89" s="21"/>
      <c r="DWV89" s="21"/>
      <c r="DWW89" s="21"/>
      <c r="DWX89" s="21"/>
      <c r="DWY89" s="21"/>
      <c r="DWZ89" s="21"/>
      <c r="DXA89" s="21"/>
      <c r="DXB89" s="21"/>
      <c r="DXC89" s="21"/>
      <c r="DXD89" s="21"/>
      <c r="DXE89" s="21"/>
      <c r="DXF89" s="21"/>
      <c r="DXG89" s="21"/>
      <c r="DXH89" s="21"/>
      <c r="DXI89" s="21"/>
      <c r="DXJ89" s="21"/>
      <c r="DXK89" s="21"/>
      <c r="DXL89" s="21"/>
      <c r="DXM89" s="21"/>
      <c r="DXN89" s="21"/>
      <c r="DXO89" s="21"/>
      <c r="DXP89" s="21"/>
      <c r="DXQ89" s="21"/>
      <c r="DXR89" s="21"/>
      <c r="DXS89" s="21"/>
      <c r="DXT89" s="21"/>
      <c r="DXU89" s="21"/>
      <c r="DXV89" s="21"/>
      <c r="DXW89" s="21"/>
      <c r="DXX89" s="21"/>
      <c r="DXY89" s="21"/>
      <c r="DXZ89" s="21"/>
      <c r="DYA89" s="21"/>
      <c r="DYB89" s="21"/>
      <c r="DYC89" s="21"/>
      <c r="DYD89" s="21"/>
      <c r="DYE89" s="21"/>
      <c r="DYF89" s="21"/>
      <c r="DYG89" s="21"/>
      <c r="DYH89" s="21"/>
      <c r="DYI89" s="21"/>
      <c r="DYJ89" s="21"/>
      <c r="DYK89" s="21"/>
      <c r="DYL89" s="21"/>
      <c r="DYM89" s="21"/>
      <c r="DYN89" s="21"/>
      <c r="DYO89" s="21"/>
      <c r="DYP89" s="21"/>
      <c r="DYQ89" s="21"/>
      <c r="DYR89" s="21"/>
      <c r="DYS89" s="21"/>
      <c r="DYT89" s="21"/>
      <c r="DYU89" s="21"/>
      <c r="DYV89" s="21"/>
      <c r="DYW89" s="21"/>
      <c r="DYX89" s="21"/>
      <c r="DYY89" s="21"/>
      <c r="DYZ89" s="21"/>
      <c r="DZA89" s="21"/>
      <c r="DZB89" s="21"/>
      <c r="DZC89" s="21"/>
      <c r="DZD89" s="21"/>
      <c r="DZE89" s="21"/>
      <c r="DZF89" s="21"/>
      <c r="DZG89" s="21"/>
      <c r="DZH89" s="21"/>
      <c r="DZI89" s="21"/>
      <c r="DZJ89" s="21"/>
      <c r="DZK89" s="21"/>
      <c r="DZL89" s="21"/>
      <c r="DZM89" s="21"/>
      <c r="DZN89" s="21"/>
      <c r="DZO89" s="21"/>
      <c r="DZP89" s="21"/>
      <c r="DZQ89" s="21"/>
      <c r="DZR89" s="21"/>
      <c r="DZS89" s="21"/>
      <c r="DZT89" s="21"/>
      <c r="DZU89" s="21"/>
      <c r="DZV89" s="21"/>
      <c r="DZW89" s="21"/>
      <c r="DZX89" s="21"/>
      <c r="DZY89" s="21"/>
      <c r="DZZ89" s="21"/>
      <c r="EAA89" s="21"/>
      <c r="EAB89" s="21"/>
      <c r="EAC89" s="21"/>
      <c r="EAD89" s="21"/>
      <c r="EAE89" s="21"/>
      <c r="EAF89" s="21"/>
      <c r="EAG89" s="21"/>
      <c r="EAH89" s="21"/>
      <c r="EAI89" s="21"/>
      <c r="EAJ89" s="21"/>
      <c r="EAK89" s="21"/>
      <c r="EAL89" s="21"/>
      <c r="EAM89" s="21"/>
      <c r="EAN89" s="21"/>
      <c r="EAO89" s="21"/>
      <c r="EAP89" s="21"/>
      <c r="EAQ89" s="21"/>
      <c r="EAR89" s="21"/>
      <c r="EAS89" s="21"/>
      <c r="EAT89" s="21"/>
      <c r="EAU89" s="21"/>
      <c r="EAV89" s="21"/>
      <c r="EAW89" s="21"/>
      <c r="EAX89" s="21"/>
      <c r="EAY89" s="21"/>
      <c r="EAZ89" s="21"/>
      <c r="EBA89" s="21"/>
      <c r="EBB89" s="21"/>
      <c r="EBC89" s="21"/>
      <c r="EBD89" s="21"/>
      <c r="EBE89" s="21"/>
      <c r="EBF89" s="21"/>
      <c r="EBG89" s="21"/>
      <c r="EBH89" s="21"/>
      <c r="EBI89" s="21"/>
      <c r="EBJ89" s="21"/>
      <c r="EBK89" s="21"/>
      <c r="EBL89" s="21"/>
      <c r="EBM89" s="21"/>
      <c r="EBN89" s="21"/>
      <c r="EBO89" s="21"/>
      <c r="EBP89" s="21"/>
      <c r="EBQ89" s="21"/>
      <c r="EBR89" s="21"/>
      <c r="EBS89" s="21"/>
      <c r="EBT89" s="21"/>
      <c r="EBU89" s="21"/>
      <c r="EBV89" s="21"/>
      <c r="EBW89" s="21"/>
      <c r="EBX89" s="21"/>
      <c r="EBY89" s="21"/>
      <c r="EBZ89" s="21"/>
      <c r="ECA89" s="21"/>
      <c r="ECB89" s="21"/>
      <c r="ECC89" s="21"/>
      <c r="ECD89" s="21"/>
      <c r="ECE89" s="21"/>
      <c r="ECF89" s="21"/>
      <c r="ECG89" s="21"/>
      <c r="ECH89" s="21"/>
      <c r="ECI89" s="21"/>
      <c r="ECJ89" s="21"/>
      <c r="ECK89" s="21"/>
      <c r="ECL89" s="21"/>
      <c r="ECM89" s="21"/>
      <c r="ECN89" s="21"/>
      <c r="ECO89" s="21"/>
      <c r="ECP89" s="21"/>
      <c r="ECQ89" s="21"/>
      <c r="ECR89" s="21"/>
      <c r="ECS89" s="21"/>
      <c r="ECT89" s="21"/>
      <c r="ECU89" s="21"/>
      <c r="ECV89" s="21"/>
      <c r="ECW89" s="21"/>
      <c r="ECX89" s="21"/>
      <c r="ECY89" s="21"/>
      <c r="ECZ89" s="21"/>
      <c r="EDA89" s="21"/>
      <c r="EDB89" s="21"/>
      <c r="EDC89" s="21"/>
      <c r="EDD89" s="21"/>
      <c r="EDE89" s="21"/>
      <c r="EDF89" s="21"/>
      <c r="EDG89" s="21"/>
      <c r="EDH89" s="21"/>
      <c r="EDI89" s="21"/>
      <c r="EDJ89" s="21"/>
      <c r="EDK89" s="21"/>
      <c r="EDL89" s="21"/>
      <c r="EDM89" s="21"/>
      <c r="EDN89" s="21"/>
      <c r="EDO89" s="21"/>
      <c r="EDP89" s="21"/>
      <c r="EDQ89" s="21"/>
      <c r="EDR89" s="21"/>
      <c r="EDS89" s="21"/>
      <c r="EDT89" s="21"/>
      <c r="EDU89" s="21"/>
      <c r="EDV89" s="21"/>
      <c r="EDW89" s="21"/>
      <c r="EDX89" s="21"/>
      <c r="EDY89" s="21"/>
      <c r="EDZ89" s="21"/>
      <c r="EEA89" s="21"/>
      <c r="EEB89" s="21"/>
      <c r="EEC89" s="21"/>
      <c r="EED89" s="21"/>
      <c r="EEE89" s="21"/>
      <c r="EEF89" s="21"/>
      <c r="EEG89" s="21"/>
      <c r="EEH89" s="21"/>
      <c r="EEI89" s="21"/>
      <c r="EEJ89" s="21"/>
      <c r="EEK89" s="21"/>
      <c r="EEL89" s="21"/>
      <c r="EEM89" s="21"/>
      <c r="EEN89" s="21"/>
      <c r="EEO89" s="21"/>
      <c r="EEP89" s="21"/>
      <c r="EEQ89" s="21"/>
      <c r="EER89" s="21"/>
      <c r="EES89" s="21"/>
      <c r="EET89" s="21"/>
      <c r="EEU89" s="21"/>
      <c r="EEV89" s="21"/>
      <c r="EEW89" s="21"/>
      <c r="EEX89" s="21"/>
      <c r="EEY89" s="21"/>
      <c r="EEZ89" s="21"/>
      <c r="EFA89" s="21"/>
      <c r="EFB89" s="21"/>
      <c r="EFC89" s="21"/>
      <c r="EFD89" s="21"/>
      <c r="EFE89" s="21"/>
      <c r="EFF89" s="21"/>
      <c r="EFG89" s="21"/>
      <c r="EFH89" s="21"/>
      <c r="EFI89" s="21"/>
      <c r="EFJ89" s="21"/>
      <c r="EFK89" s="21"/>
      <c r="EFL89" s="21"/>
      <c r="EFM89" s="21"/>
      <c r="EFN89" s="21"/>
      <c r="EFO89" s="21"/>
      <c r="EFP89" s="21"/>
      <c r="EFQ89" s="21"/>
      <c r="EFR89" s="21"/>
      <c r="EFS89" s="21"/>
      <c r="EFT89" s="21"/>
      <c r="EFU89" s="21"/>
      <c r="EFV89" s="21"/>
      <c r="EFW89" s="21"/>
      <c r="EFX89" s="21"/>
      <c r="EFY89" s="21"/>
      <c r="EFZ89" s="21"/>
      <c r="EGA89" s="21"/>
      <c r="EGB89" s="21"/>
      <c r="EGC89" s="21"/>
      <c r="EGD89" s="21"/>
      <c r="EGE89" s="21"/>
      <c r="EGF89" s="21"/>
      <c r="EGG89" s="21"/>
      <c r="EGH89" s="21"/>
      <c r="EGI89" s="21"/>
      <c r="EGJ89" s="21"/>
      <c r="EGK89" s="21"/>
      <c r="EGL89" s="21"/>
      <c r="EGM89" s="21"/>
      <c r="EGN89" s="21"/>
      <c r="EGO89" s="21"/>
      <c r="EGP89" s="21"/>
      <c r="EGQ89" s="21"/>
      <c r="EGR89" s="21"/>
      <c r="EGS89" s="21"/>
      <c r="EGT89" s="21"/>
      <c r="EGU89" s="21"/>
      <c r="EGV89" s="21"/>
      <c r="EGW89" s="21"/>
      <c r="EGX89" s="21"/>
      <c r="EGY89" s="21"/>
      <c r="EGZ89" s="21"/>
      <c r="EHA89" s="21"/>
      <c r="EHB89" s="21"/>
      <c r="EHC89" s="21"/>
      <c r="EHD89" s="21"/>
      <c r="EHE89" s="21"/>
      <c r="EHF89" s="21"/>
      <c r="EHG89" s="21"/>
      <c r="EHH89" s="21"/>
      <c r="EHI89" s="21"/>
      <c r="EHJ89" s="21"/>
      <c r="EHK89" s="21"/>
      <c r="EHL89" s="21"/>
      <c r="EHM89" s="21"/>
      <c r="EHN89" s="21"/>
      <c r="EHO89" s="21"/>
      <c r="EHP89" s="21"/>
      <c r="EHQ89" s="21"/>
      <c r="EHR89" s="21"/>
      <c r="EHS89" s="21"/>
      <c r="EHT89" s="21"/>
      <c r="EHU89" s="21"/>
      <c r="EHV89" s="21"/>
      <c r="EHW89" s="21"/>
      <c r="EHX89" s="21"/>
      <c r="EHY89" s="21"/>
      <c r="EHZ89" s="21"/>
      <c r="EIA89" s="21"/>
      <c r="EIB89" s="21"/>
      <c r="EIC89" s="21"/>
      <c r="EID89" s="21"/>
      <c r="EIE89" s="21"/>
      <c r="EIF89" s="21"/>
      <c r="EIG89" s="21"/>
      <c r="EIH89" s="21"/>
      <c r="EII89" s="21"/>
      <c r="EIJ89" s="21"/>
      <c r="EIK89" s="21"/>
      <c r="EIL89" s="21"/>
      <c r="EIM89" s="21"/>
      <c r="EIN89" s="21"/>
      <c r="EIO89" s="21"/>
      <c r="EIP89" s="21"/>
      <c r="EIQ89" s="21"/>
      <c r="EIR89" s="21"/>
      <c r="EIS89" s="21"/>
      <c r="EIT89" s="21"/>
      <c r="EIU89" s="21"/>
      <c r="EIV89" s="21"/>
      <c r="EIW89" s="21"/>
      <c r="EIX89" s="21"/>
      <c r="EIY89" s="21"/>
      <c r="EIZ89" s="21"/>
      <c r="EJA89" s="21"/>
      <c r="EJB89" s="21"/>
      <c r="EJC89" s="21"/>
      <c r="EJD89" s="21"/>
      <c r="EJE89" s="21"/>
      <c r="EJF89" s="21"/>
      <c r="EJG89" s="21"/>
      <c r="EJH89" s="21"/>
      <c r="EJI89" s="21"/>
      <c r="EJJ89" s="21"/>
      <c r="EJK89" s="21"/>
      <c r="EJL89" s="21"/>
      <c r="EJM89" s="21"/>
      <c r="EJN89" s="21"/>
      <c r="EJO89" s="21"/>
      <c r="EJP89" s="21"/>
      <c r="EJQ89" s="21"/>
      <c r="EJR89" s="21"/>
      <c r="EJS89" s="21"/>
      <c r="EJT89" s="21"/>
      <c r="EJU89" s="21"/>
      <c r="EJV89" s="21"/>
      <c r="EJW89" s="21"/>
      <c r="EJX89" s="21"/>
      <c r="EJY89" s="21"/>
      <c r="EJZ89" s="21"/>
      <c r="EKA89" s="21"/>
      <c r="EKB89" s="21"/>
      <c r="EKC89" s="21"/>
      <c r="EKD89" s="21"/>
      <c r="EKE89" s="21"/>
      <c r="EKF89" s="21"/>
      <c r="EKG89" s="21"/>
      <c r="EKH89" s="21"/>
      <c r="EKI89" s="21"/>
      <c r="EKJ89" s="21"/>
      <c r="EKK89" s="21"/>
      <c r="EKL89" s="21"/>
      <c r="EKM89" s="21"/>
      <c r="EKN89" s="21"/>
      <c r="EKO89" s="21"/>
      <c r="EKP89" s="21"/>
      <c r="EKQ89" s="21"/>
      <c r="EKR89" s="21"/>
      <c r="EKS89" s="21"/>
      <c r="EKT89" s="21"/>
      <c r="EKU89" s="21"/>
      <c r="EKV89" s="21"/>
      <c r="EKW89" s="21"/>
      <c r="EKX89" s="21"/>
      <c r="EKY89" s="21"/>
      <c r="EKZ89" s="21"/>
      <c r="ELA89" s="21"/>
      <c r="ELB89" s="21"/>
      <c r="ELC89" s="21"/>
      <c r="ELD89" s="21"/>
      <c r="ELE89" s="21"/>
      <c r="ELF89" s="21"/>
      <c r="ELG89" s="21"/>
      <c r="ELH89" s="21"/>
      <c r="ELI89" s="21"/>
      <c r="ELJ89" s="21"/>
      <c r="ELK89" s="21"/>
      <c r="ELL89" s="21"/>
      <c r="ELM89" s="21"/>
      <c r="ELN89" s="21"/>
      <c r="ELO89" s="21"/>
      <c r="ELP89" s="21"/>
      <c r="ELQ89" s="21"/>
      <c r="ELR89" s="21"/>
      <c r="ELS89" s="21"/>
      <c r="ELT89" s="21"/>
      <c r="ELU89" s="21"/>
      <c r="ELV89" s="21"/>
      <c r="ELW89" s="21"/>
      <c r="ELX89" s="21"/>
      <c r="ELY89" s="21"/>
      <c r="ELZ89" s="21"/>
      <c r="EMA89" s="21"/>
      <c r="EMB89" s="21"/>
      <c r="EMC89" s="21"/>
      <c r="EMD89" s="21"/>
      <c r="EME89" s="21"/>
      <c r="EMF89" s="21"/>
      <c r="EMG89" s="21"/>
      <c r="EMH89" s="21"/>
      <c r="EMI89" s="21"/>
      <c r="EMJ89" s="21"/>
      <c r="EMK89" s="21"/>
      <c r="EML89" s="21"/>
      <c r="EMM89" s="21"/>
      <c r="EMN89" s="21"/>
      <c r="EMO89" s="21"/>
      <c r="EMP89" s="21"/>
      <c r="EMQ89" s="21"/>
      <c r="EMR89" s="21"/>
      <c r="EMS89" s="21"/>
      <c r="EMT89" s="21"/>
      <c r="EMU89" s="21"/>
      <c r="EMV89" s="21"/>
      <c r="EMW89" s="21"/>
      <c r="EMX89" s="21"/>
      <c r="EMY89" s="21"/>
      <c r="EMZ89" s="21"/>
      <c r="ENA89" s="21"/>
      <c r="ENB89" s="21"/>
      <c r="ENC89" s="21"/>
      <c r="END89" s="21"/>
      <c r="ENE89" s="21"/>
      <c r="ENF89" s="21"/>
      <c r="ENG89" s="21"/>
      <c r="ENH89" s="21"/>
      <c r="ENI89" s="21"/>
      <c r="ENJ89" s="21"/>
      <c r="ENK89" s="21"/>
      <c r="ENL89" s="21"/>
      <c r="ENM89" s="21"/>
      <c r="ENN89" s="21"/>
      <c r="ENO89" s="21"/>
      <c r="ENP89" s="21"/>
      <c r="ENQ89" s="21"/>
      <c r="ENR89" s="21"/>
      <c r="ENS89" s="21"/>
      <c r="ENT89" s="21"/>
      <c r="ENU89" s="21"/>
      <c r="ENV89" s="21"/>
      <c r="ENW89" s="21"/>
      <c r="ENX89" s="21"/>
      <c r="ENY89" s="21"/>
      <c r="ENZ89" s="21"/>
      <c r="EOA89" s="21"/>
      <c r="EOB89" s="21"/>
      <c r="EOC89" s="21"/>
      <c r="EOD89" s="21"/>
      <c r="EOE89" s="21"/>
      <c r="EOF89" s="21"/>
      <c r="EOG89" s="21"/>
      <c r="EOH89" s="21"/>
      <c r="EOI89" s="21"/>
      <c r="EOJ89" s="21"/>
      <c r="EOK89" s="21"/>
      <c r="EOL89" s="21"/>
      <c r="EOM89" s="21"/>
      <c r="EON89" s="21"/>
      <c r="EOO89" s="21"/>
      <c r="EOP89" s="21"/>
      <c r="EOQ89" s="21"/>
      <c r="EOR89" s="21"/>
      <c r="EOS89" s="21"/>
      <c r="EOT89" s="21"/>
      <c r="EOU89" s="21"/>
      <c r="EOV89" s="21"/>
      <c r="EOW89" s="21"/>
      <c r="EOX89" s="21"/>
      <c r="EOY89" s="21"/>
      <c r="EOZ89" s="21"/>
      <c r="EPA89" s="21"/>
      <c r="EPB89" s="21"/>
      <c r="EPC89" s="21"/>
      <c r="EPD89" s="21"/>
      <c r="EPE89" s="21"/>
      <c r="EPF89" s="21"/>
      <c r="EPG89" s="21"/>
      <c r="EPH89" s="21"/>
      <c r="EPI89" s="21"/>
      <c r="EPJ89" s="21"/>
      <c r="EPK89" s="21"/>
      <c r="EPL89" s="21"/>
      <c r="EPM89" s="21"/>
      <c r="EPN89" s="21"/>
      <c r="EPO89" s="21"/>
      <c r="EPP89" s="21"/>
      <c r="EPQ89" s="21"/>
      <c r="EPR89" s="21"/>
      <c r="EPS89" s="21"/>
      <c r="EPT89" s="21"/>
      <c r="EPU89" s="21"/>
      <c r="EPV89" s="21"/>
      <c r="EPW89" s="21"/>
      <c r="EPX89" s="21"/>
      <c r="EPY89" s="21"/>
      <c r="EPZ89" s="21"/>
      <c r="EQA89" s="21"/>
      <c r="EQB89" s="21"/>
      <c r="EQC89" s="21"/>
      <c r="EQD89" s="21"/>
      <c r="EQE89" s="21"/>
      <c r="EQF89" s="21"/>
      <c r="EQG89" s="21"/>
      <c r="EQH89" s="21"/>
      <c r="EQI89" s="21"/>
      <c r="EQJ89" s="21"/>
      <c r="EQK89" s="21"/>
      <c r="EQL89" s="21"/>
      <c r="EQM89" s="21"/>
      <c r="EQN89" s="21"/>
      <c r="EQO89" s="21"/>
      <c r="EQP89" s="21"/>
      <c r="EQQ89" s="21"/>
      <c r="EQR89" s="21"/>
      <c r="EQS89" s="21"/>
      <c r="EQT89" s="21"/>
      <c r="EQU89" s="21"/>
      <c r="EQV89" s="21"/>
      <c r="EQW89" s="21"/>
      <c r="EQX89" s="21"/>
      <c r="EQY89" s="21"/>
      <c r="EQZ89" s="21"/>
      <c r="ERA89" s="21"/>
      <c r="ERB89" s="21"/>
      <c r="ERC89" s="21"/>
      <c r="ERD89" s="21"/>
      <c r="ERE89" s="21"/>
      <c r="ERF89" s="21"/>
      <c r="ERG89" s="21"/>
      <c r="ERH89" s="21"/>
      <c r="ERI89" s="21"/>
      <c r="ERJ89" s="21"/>
      <c r="ERK89" s="21"/>
      <c r="ERL89" s="21"/>
      <c r="ERM89" s="21"/>
      <c r="ERN89" s="21"/>
      <c r="ERO89" s="21"/>
      <c r="ERP89" s="21"/>
      <c r="ERQ89" s="21"/>
      <c r="ERR89" s="21"/>
      <c r="ERS89" s="21"/>
      <c r="ERT89" s="21"/>
      <c r="ERU89" s="21"/>
      <c r="ERV89" s="21"/>
      <c r="ERW89" s="21"/>
      <c r="ERX89" s="21"/>
      <c r="ERY89" s="21"/>
      <c r="ERZ89" s="21"/>
      <c r="ESA89" s="21"/>
      <c r="ESB89" s="21"/>
      <c r="ESC89" s="21"/>
      <c r="ESD89" s="21"/>
      <c r="ESE89" s="21"/>
      <c r="ESF89" s="21"/>
      <c r="ESG89" s="21"/>
      <c r="ESH89" s="21"/>
      <c r="ESI89" s="21"/>
      <c r="ESJ89" s="21"/>
      <c r="ESK89" s="21"/>
      <c r="ESL89" s="21"/>
      <c r="ESM89" s="21"/>
      <c r="ESN89" s="21"/>
      <c r="ESO89" s="21"/>
      <c r="ESP89" s="21"/>
      <c r="ESQ89" s="21"/>
      <c r="ESR89" s="21"/>
      <c r="ESS89" s="21"/>
      <c r="EST89" s="21"/>
      <c r="ESU89" s="21"/>
      <c r="ESV89" s="21"/>
      <c r="ESW89" s="21"/>
      <c r="ESX89" s="21"/>
      <c r="ESY89" s="21"/>
      <c r="ESZ89" s="21"/>
      <c r="ETA89" s="21"/>
      <c r="ETB89" s="21"/>
      <c r="ETC89" s="21"/>
      <c r="ETD89" s="21"/>
      <c r="ETE89" s="21"/>
      <c r="ETF89" s="21"/>
      <c r="ETG89" s="21"/>
      <c r="ETH89" s="21"/>
      <c r="ETI89" s="21"/>
      <c r="ETJ89" s="21"/>
      <c r="ETK89" s="21"/>
      <c r="ETL89" s="21"/>
      <c r="ETM89" s="21"/>
      <c r="ETN89" s="21"/>
      <c r="ETO89" s="21"/>
      <c r="ETP89" s="21"/>
      <c r="ETQ89" s="21"/>
      <c r="ETR89" s="21"/>
      <c r="ETS89" s="21"/>
      <c r="ETT89" s="21"/>
      <c r="ETU89" s="21"/>
      <c r="ETV89" s="21"/>
      <c r="ETW89" s="21"/>
      <c r="ETX89" s="21"/>
      <c r="ETY89" s="21"/>
      <c r="ETZ89" s="21"/>
      <c r="EUA89" s="21"/>
      <c r="EUB89" s="21"/>
      <c r="EUC89" s="21"/>
      <c r="EUD89" s="21"/>
      <c r="EUE89" s="21"/>
      <c r="EUF89" s="21"/>
      <c r="EUG89" s="21"/>
      <c r="EUH89" s="21"/>
      <c r="EUI89" s="21"/>
      <c r="EUJ89" s="21"/>
      <c r="EUK89" s="21"/>
      <c r="EUL89" s="21"/>
      <c r="EUM89" s="21"/>
      <c r="EUN89" s="21"/>
      <c r="EUO89" s="21"/>
      <c r="EUP89" s="21"/>
      <c r="EUQ89" s="21"/>
      <c r="EUR89" s="21"/>
      <c r="EUS89" s="21"/>
      <c r="EUT89" s="21"/>
      <c r="EUU89" s="21"/>
      <c r="EUV89" s="21"/>
      <c r="EUW89" s="21"/>
      <c r="EUX89" s="21"/>
      <c r="EUY89" s="21"/>
      <c r="EUZ89" s="21"/>
      <c r="EVA89" s="21"/>
      <c r="EVB89" s="21"/>
      <c r="EVC89" s="21"/>
      <c r="EVD89" s="21"/>
      <c r="EVE89" s="21"/>
      <c r="EVF89" s="21"/>
      <c r="EVG89" s="21"/>
      <c r="EVH89" s="21"/>
      <c r="EVI89" s="21"/>
      <c r="EVJ89" s="21"/>
      <c r="EVK89" s="21"/>
      <c r="EVL89" s="21"/>
      <c r="EVM89" s="21"/>
      <c r="EVN89" s="21"/>
      <c r="EVO89" s="21"/>
      <c r="EVP89" s="21"/>
      <c r="EVQ89" s="21"/>
      <c r="EVR89" s="21"/>
      <c r="EVS89" s="21"/>
      <c r="EVT89" s="21"/>
      <c r="EVU89" s="21"/>
      <c r="EVV89" s="21"/>
      <c r="EVW89" s="21"/>
      <c r="EVX89" s="21"/>
      <c r="EVY89" s="21"/>
      <c r="EVZ89" s="21"/>
      <c r="EWA89" s="21"/>
      <c r="EWB89" s="21"/>
      <c r="EWC89" s="21"/>
      <c r="EWD89" s="21"/>
      <c r="EWE89" s="21"/>
      <c r="EWF89" s="21"/>
      <c r="EWG89" s="21"/>
      <c r="EWH89" s="21"/>
      <c r="EWI89" s="21"/>
      <c r="EWJ89" s="21"/>
      <c r="EWK89" s="21"/>
      <c r="EWL89" s="21"/>
      <c r="EWM89" s="21"/>
      <c r="EWN89" s="21"/>
      <c r="EWO89" s="21"/>
      <c r="EWP89" s="21"/>
      <c r="EWQ89" s="21"/>
      <c r="EWR89" s="21"/>
      <c r="EWS89" s="21"/>
      <c r="EWT89" s="21"/>
      <c r="EWU89" s="21"/>
      <c r="EWV89" s="21"/>
      <c r="EWW89" s="21"/>
      <c r="EWX89" s="21"/>
      <c r="EWY89" s="21"/>
      <c r="EWZ89" s="21"/>
      <c r="EXA89" s="21"/>
      <c r="EXB89" s="21"/>
      <c r="EXC89" s="21"/>
      <c r="EXD89" s="21"/>
      <c r="EXE89" s="21"/>
      <c r="EXF89" s="21"/>
      <c r="EXG89" s="21"/>
      <c r="EXH89" s="21"/>
      <c r="EXI89" s="21"/>
      <c r="EXJ89" s="21"/>
      <c r="EXK89" s="21"/>
      <c r="EXL89" s="21"/>
      <c r="EXM89" s="21"/>
      <c r="EXN89" s="21"/>
      <c r="EXO89" s="21"/>
      <c r="EXP89" s="21"/>
      <c r="EXQ89" s="21"/>
      <c r="EXR89" s="21"/>
      <c r="EXS89" s="21"/>
      <c r="EXT89" s="21"/>
      <c r="EXU89" s="21"/>
      <c r="EXV89" s="21"/>
      <c r="EXW89" s="21"/>
      <c r="EXX89" s="21"/>
      <c r="EXY89" s="21"/>
      <c r="EXZ89" s="21"/>
      <c r="EYA89" s="21"/>
      <c r="EYB89" s="21"/>
      <c r="EYC89" s="21"/>
      <c r="EYD89" s="21"/>
      <c r="EYE89" s="21"/>
      <c r="EYF89" s="21"/>
      <c r="EYG89" s="21"/>
      <c r="EYH89" s="21"/>
      <c r="EYI89" s="21"/>
      <c r="EYJ89" s="21"/>
      <c r="EYK89" s="21"/>
      <c r="EYL89" s="21"/>
      <c r="EYM89" s="21"/>
      <c r="EYN89" s="21"/>
      <c r="EYO89" s="21"/>
      <c r="EYP89" s="21"/>
      <c r="EYQ89" s="21"/>
      <c r="EYR89" s="21"/>
      <c r="EYS89" s="21"/>
      <c r="EYT89" s="21"/>
      <c r="EYU89" s="21"/>
      <c r="EYV89" s="21"/>
      <c r="EYW89" s="21"/>
      <c r="EYX89" s="21"/>
      <c r="EYY89" s="21"/>
      <c r="EYZ89" s="21"/>
      <c r="EZA89" s="21"/>
      <c r="EZB89" s="21"/>
      <c r="EZC89" s="21"/>
      <c r="EZD89" s="21"/>
      <c r="EZE89" s="21"/>
      <c r="EZF89" s="21"/>
      <c r="EZG89" s="21"/>
      <c r="EZH89" s="21"/>
      <c r="EZI89" s="21"/>
      <c r="EZJ89" s="21"/>
      <c r="EZK89" s="21"/>
      <c r="EZL89" s="21"/>
      <c r="EZM89" s="21"/>
      <c r="EZN89" s="21"/>
      <c r="EZO89" s="21"/>
      <c r="EZP89" s="21"/>
      <c r="EZQ89" s="21"/>
      <c r="EZR89" s="21"/>
      <c r="EZS89" s="21"/>
      <c r="EZT89" s="21"/>
      <c r="EZU89" s="21"/>
      <c r="EZV89" s="21"/>
      <c r="EZW89" s="21"/>
      <c r="EZX89" s="21"/>
      <c r="EZY89" s="21"/>
      <c r="EZZ89" s="21"/>
      <c r="FAA89" s="21"/>
      <c r="FAB89" s="21"/>
      <c r="FAC89" s="21"/>
      <c r="FAD89" s="21"/>
      <c r="FAE89" s="21"/>
      <c r="FAF89" s="21"/>
      <c r="FAG89" s="21"/>
      <c r="FAH89" s="21"/>
      <c r="FAI89" s="21"/>
      <c r="FAJ89" s="21"/>
      <c r="FAK89" s="21"/>
      <c r="FAL89" s="21"/>
      <c r="FAM89" s="21"/>
      <c r="FAN89" s="21"/>
      <c r="FAO89" s="21"/>
      <c r="FAP89" s="21"/>
      <c r="FAQ89" s="21"/>
      <c r="FAR89" s="21"/>
      <c r="FAS89" s="21"/>
      <c r="FAT89" s="21"/>
      <c r="FAU89" s="21"/>
      <c r="FAV89" s="21"/>
      <c r="FAW89" s="21"/>
      <c r="FAX89" s="21"/>
      <c r="FAY89" s="21"/>
      <c r="FAZ89" s="21"/>
      <c r="FBA89" s="21"/>
      <c r="FBB89" s="21"/>
      <c r="FBC89" s="21"/>
      <c r="FBD89" s="21"/>
      <c r="FBE89" s="21"/>
      <c r="FBF89" s="21"/>
      <c r="FBG89" s="21"/>
      <c r="FBH89" s="21"/>
      <c r="FBI89" s="21"/>
      <c r="FBJ89" s="21"/>
      <c r="FBK89" s="21"/>
      <c r="FBL89" s="21"/>
      <c r="FBM89" s="21"/>
      <c r="FBN89" s="21"/>
      <c r="FBO89" s="21"/>
      <c r="FBP89" s="21"/>
      <c r="FBQ89" s="21"/>
      <c r="FBR89" s="21"/>
      <c r="FBS89" s="21"/>
      <c r="FBT89" s="21"/>
      <c r="FBU89" s="21"/>
      <c r="FBV89" s="21"/>
      <c r="FBW89" s="21"/>
      <c r="FBX89" s="21"/>
      <c r="FBY89" s="21"/>
      <c r="FBZ89" s="21"/>
      <c r="FCA89" s="21"/>
      <c r="FCB89" s="21"/>
      <c r="FCC89" s="21"/>
      <c r="FCD89" s="21"/>
      <c r="FCE89" s="21"/>
      <c r="FCF89" s="21"/>
      <c r="FCG89" s="21"/>
      <c r="FCH89" s="21"/>
      <c r="FCI89" s="21"/>
      <c r="FCJ89" s="21"/>
      <c r="FCK89" s="21"/>
      <c r="FCL89" s="21"/>
      <c r="FCM89" s="21"/>
      <c r="FCN89" s="21"/>
      <c r="FCO89" s="21"/>
      <c r="FCP89" s="21"/>
      <c r="FCQ89" s="21"/>
      <c r="FCR89" s="21"/>
      <c r="FCS89" s="21"/>
      <c r="FCT89" s="21"/>
      <c r="FCU89" s="21"/>
      <c r="FCV89" s="21"/>
      <c r="FCW89" s="21"/>
      <c r="FCX89" s="21"/>
      <c r="FCY89" s="21"/>
      <c r="FCZ89" s="21"/>
      <c r="FDA89" s="21"/>
      <c r="FDB89" s="21"/>
      <c r="FDC89" s="21"/>
      <c r="FDD89" s="21"/>
      <c r="FDE89" s="21"/>
      <c r="FDF89" s="21"/>
      <c r="FDG89" s="21"/>
      <c r="FDH89" s="21"/>
      <c r="FDI89" s="21"/>
      <c r="FDJ89" s="21"/>
      <c r="FDK89" s="21"/>
      <c r="FDL89" s="21"/>
      <c r="FDM89" s="21"/>
      <c r="FDN89" s="21"/>
      <c r="FDO89" s="21"/>
      <c r="FDP89" s="21"/>
      <c r="FDQ89" s="21"/>
      <c r="FDR89" s="21"/>
      <c r="FDS89" s="21"/>
      <c r="FDT89" s="21"/>
      <c r="FDU89" s="21"/>
      <c r="FDV89" s="21"/>
      <c r="FDW89" s="21"/>
      <c r="FDX89" s="21"/>
      <c r="FDY89" s="21"/>
      <c r="FDZ89" s="21"/>
      <c r="FEA89" s="21"/>
      <c r="FEB89" s="21"/>
      <c r="FEC89" s="21"/>
      <c r="FED89" s="21"/>
      <c r="FEE89" s="21"/>
      <c r="FEF89" s="21"/>
      <c r="FEG89" s="21"/>
      <c r="FEH89" s="21"/>
      <c r="FEI89" s="21"/>
      <c r="FEJ89" s="21"/>
      <c r="FEK89" s="21"/>
      <c r="FEL89" s="21"/>
      <c r="FEM89" s="21"/>
      <c r="FEN89" s="21"/>
      <c r="FEO89" s="21"/>
      <c r="FEP89" s="21"/>
      <c r="FEQ89" s="21"/>
      <c r="FER89" s="21"/>
      <c r="FES89" s="21"/>
      <c r="FET89" s="21"/>
      <c r="FEU89" s="21"/>
      <c r="FEV89" s="21"/>
      <c r="FEW89" s="21"/>
      <c r="FEX89" s="21"/>
      <c r="FEY89" s="21"/>
      <c r="FEZ89" s="21"/>
      <c r="FFA89" s="21"/>
      <c r="FFB89" s="21"/>
      <c r="FFC89" s="21"/>
      <c r="FFD89" s="21"/>
      <c r="FFE89" s="21"/>
      <c r="FFF89" s="21"/>
      <c r="FFG89" s="21"/>
      <c r="FFH89" s="21"/>
      <c r="FFI89" s="21"/>
      <c r="FFJ89" s="21"/>
      <c r="FFK89" s="21"/>
      <c r="FFL89" s="21"/>
      <c r="FFM89" s="21"/>
      <c r="FFN89" s="21"/>
      <c r="FFO89" s="21"/>
      <c r="FFP89" s="21"/>
      <c r="FFQ89" s="21"/>
      <c r="FFR89" s="21"/>
      <c r="FFS89" s="21"/>
      <c r="FFT89" s="21"/>
      <c r="FFU89" s="21"/>
      <c r="FFV89" s="21"/>
      <c r="FFW89" s="21"/>
      <c r="FFX89" s="21"/>
      <c r="FFY89" s="21"/>
      <c r="FFZ89" s="21"/>
      <c r="FGA89" s="21"/>
      <c r="FGB89" s="21"/>
      <c r="FGC89" s="21"/>
      <c r="FGD89" s="21"/>
      <c r="FGE89" s="21"/>
      <c r="FGF89" s="21"/>
      <c r="FGG89" s="21"/>
      <c r="FGH89" s="21"/>
      <c r="FGI89" s="21"/>
      <c r="FGJ89" s="21"/>
      <c r="FGK89" s="21"/>
      <c r="FGL89" s="21"/>
      <c r="FGM89" s="21"/>
      <c r="FGN89" s="21"/>
      <c r="FGO89" s="21"/>
      <c r="FGP89" s="21"/>
      <c r="FGQ89" s="21"/>
      <c r="FGR89" s="21"/>
      <c r="FGS89" s="21"/>
      <c r="FGT89" s="21"/>
      <c r="FGU89" s="21"/>
      <c r="FGV89" s="21"/>
      <c r="FGW89" s="21"/>
      <c r="FGX89" s="21"/>
      <c r="FGY89" s="21"/>
      <c r="FGZ89" s="21"/>
      <c r="FHA89" s="21"/>
      <c r="FHB89" s="21"/>
      <c r="FHC89" s="21"/>
      <c r="FHD89" s="21"/>
      <c r="FHE89" s="21"/>
      <c r="FHF89" s="21"/>
      <c r="FHG89" s="21"/>
      <c r="FHH89" s="21"/>
      <c r="FHI89" s="21"/>
      <c r="FHJ89" s="21"/>
      <c r="FHK89" s="21"/>
      <c r="FHL89" s="21"/>
      <c r="FHM89" s="21"/>
      <c r="FHN89" s="21"/>
      <c r="FHO89" s="21"/>
      <c r="FHP89" s="21"/>
      <c r="FHQ89" s="21"/>
      <c r="FHR89" s="21"/>
      <c r="FHS89" s="21"/>
      <c r="FHT89" s="21"/>
      <c r="FHU89" s="21"/>
      <c r="FHV89" s="21"/>
      <c r="FHW89" s="21"/>
      <c r="FHX89" s="21"/>
      <c r="FHY89" s="21"/>
      <c r="FHZ89" s="21"/>
      <c r="FIA89" s="21"/>
      <c r="FIB89" s="21"/>
      <c r="FIC89" s="21"/>
      <c r="FID89" s="21"/>
      <c r="FIE89" s="21"/>
      <c r="FIF89" s="21"/>
      <c r="FIG89" s="21"/>
      <c r="FIH89" s="21"/>
      <c r="FII89" s="21"/>
      <c r="FIJ89" s="21"/>
      <c r="FIK89" s="21"/>
      <c r="FIL89" s="21"/>
      <c r="FIM89" s="21"/>
      <c r="FIN89" s="21"/>
      <c r="FIO89" s="21"/>
      <c r="FIP89" s="21"/>
      <c r="FIQ89" s="21"/>
      <c r="FIR89" s="21"/>
      <c r="FIS89" s="21"/>
      <c r="FIT89" s="21"/>
      <c r="FIU89" s="21"/>
      <c r="FIV89" s="21"/>
      <c r="FIW89" s="21"/>
      <c r="FIX89" s="21"/>
      <c r="FIY89" s="21"/>
      <c r="FIZ89" s="21"/>
      <c r="FJA89" s="21"/>
      <c r="FJB89" s="21"/>
      <c r="FJC89" s="21"/>
      <c r="FJD89" s="21"/>
      <c r="FJE89" s="21"/>
      <c r="FJF89" s="21"/>
      <c r="FJG89" s="21"/>
      <c r="FJH89" s="21"/>
      <c r="FJI89" s="21"/>
      <c r="FJJ89" s="21"/>
      <c r="FJK89" s="21"/>
      <c r="FJL89" s="21"/>
      <c r="FJM89" s="21"/>
      <c r="FJN89" s="21"/>
      <c r="FJO89" s="21"/>
      <c r="FJP89" s="21"/>
      <c r="FJQ89" s="21"/>
      <c r="FJR89" s="21"/>
      <c r="FJS89" s="21"/>
      <c r="FJT89" s="21"/>
      <c r="FJU89" s="21"/>
      <c r="FJV89" s="21"/>
      <c r="FJW89" s="21"/>
      <c r="FJX89" s="21"/>
      <c r="FJY89" s="21"/>
      <c r="FJZ89" s="21"/>
      <c r="FKA89" s="21"/>
      <c r="FKB89" s="21"/>
      <c r="FKC89" s="21"/>
      <c r="FKD89" s="21"/>
      <c r="FKE89" s="21"/>
      <c r="FKF89" s="21"/>
      <c r="FKG89" s="21"/>
      <c r="FKH89" s="21"/>
      <c r="FKI89" s="21"/>
      <c r="FKJ89" s="21"/>
      <c r="FKK89" s="21"/>
      <c r="FKL89" s="21"/>
      <c r="FKM89" s="21"/>
      <c r="FKN89" s="21"/>
      <c r="FKO89" s="21"/>
      <c r="FKP89" s="21"/>
      <c r="FKQ89" s="21"/>
      <c r="FKR89" s="21"/>
      <c r="FKS89" s="21"/>
      <c r="FKT89" s="21"/>
      <c r="FKU89" s="21"/>
      <c r="FKV89" s="21"/>
      <c r="FKW89" s="21"/>
      <c r="FKX89" s="21"/>
      <c r="FKY89" s="21"/>
      <c r="FKZ89" s="21"/>
      <c r="FLA89" s="21"/>
      <c r="FLB89" s="21"/>
      <c r="FLC89" s="21"/>
      <c r="FLD89" s="21"/>
      <c r="FLE89" s="21"/>
      <c r="FLF89" s="21"/>
      <c r="FLG89" s="21"/>
      <c r="FLH89" s="21"/>
      <c r="FLI89" s="21"/>
      <c r="FLJ89" s="21"/>
      <c r="FLK89" s="21"/>
      <c r="FLL89" s="21"/>
      <c r="FLM89" s="21"/>
      <c r="FLN89" s="21"/>
      <c r="FLO89" s="21"/>
      <c r="FLP89" s="21"/>
      <c r="FLQ89" s="21"/>
      <c r="FLR89" s="21"/>
      <c r="FLS89" s="21"/>
      <c r="FLT89" s="21"/>
      <c r="FLU89" s="21"/>
      <c r="FLV89" s="21"/>
      <c r="FLW89" s="21"/>
      <c r="FLX89" s="21"/>
      <c r="FLY89" s="21"/>
      <c r="FLZ89" s="21"/>
      <c r="FMA89" s="21"/>
      <c r="FMB89" s="21"/>
      <c r="FMC89" s="21"/>
      <c r="FMD89" s="21"/>
      <c r="FME89" s="21"/>
      <c r="FMF89" s="21"/>
      <c r="FMG89" s="21"/>
      <c r="FMH89" s="21"/>
      <c r="FMI89" s="21"/>
      <c r="FMJ89" s="21"/>
      <c r="FMK89" s="21"/>
      <c r="FML89" s="21"/>
      <c r="FMM89" s="21"/>
      <c r="FMN89" s="21"/>
      <c r="FMO89" s="21"/>
      <c r="FMP89" s="21"/>
      <c r="FMQ89" s="21"/>
      <c r="FMR89" s="21"/>
      <c r="FMS89" s="21"/>
      <c r="FMT89" s="21"/>
      <c r="FMU89" s="21"/>
      <c r="FMV89" s="21"/>
      <c r="FMW89" s="21"/>
      <c r="FMX89" s="21"/>
      <c r="FMY89" s="21"/>
      <c r="FMZ89" s="21"/>
      <c r="FNA89" s="21"/>
      <c r="FNB89" s="21"/>
      <c r="FNC89" s="21"/>
      <c r="FND89" s="21"/>
      <c r="FNE89" s="21"/>
      <c r="FNF89" s="21"/>
      <c r="FNG89" s="21"/>
      <c r="FNH89" s="21"/>
      <c r="FNI89" s="21"/>
      <c r="FNJ89" s="21"/>
      <c r="FNK89" s="21"/>
      <c r="FNL89" s="21"/>
      <c r="FNM89" s="21"/>
      <c r="FNN89" s="21"/>
      <c r="FNO89" s="21"/>
      <c r="FNP89" s="21"/>
      <c r="FNQ89" s="21"/>
      <c r="FNR89" s="21"/>
      <c r="FNS89" s="21"/>
      <c r="FNT89" s="21"/>
      <c r="FNU89" s="21"/>
      <c r="FNV89" s="21"/>
      <c r="FNW89" s="21"/>
      <c r="FNX89" s="21"/>
      <c r="FNY89" s="21"/>
      <c r="FNZ89" s="21"/>
      <c r="FOA89" s="21"/>
      <c r="FOB89" s="21"/>
      <c r="FOC89" s="21"/>
      <c r="FOD89" s="21"/>
      <c r="FOE89" s="21"/>
      <c r="FOF89" s="21"/>
      <c r="FOG89" s="21"/>
      <c r="FOH89" s="21"/>
      <c r="FOI89" s="21"/>
      <c r="FOJ89" s="21"/>
      <c r="FOK89" s="21"/>
      <c r="FOL89" s="21"/>
      <c r="FOM89" s="21"/>
      <c r="FON89" s="21"/>
      <c r="FOO89" s="21"/>
      <c r="FOP89" s="21"/>
      <c r="FOQ89" s="21"/>
      <c r="FOR89" s="21"/>
      <c r="FOS89" s="21"/>
      <c r="FOT89" s="21"/>
      <c r="FOU89" s="21"/>
      <c r="FOV89" s="21"/>
      <c r="FOW89" s="21"/>
      <c r="FOX89" s="21"/>
      <c r="FOY89" s="21"/>
      <c r="FOZ89" s="21"/>
      <c r="FPA89" s="21"/>
      <c r="FPB89" s="21"/>
      <c r="FPC89" s="21"/>
      <c r="FPD89" s="21"/>
      <c r="FPE89" s="21"/>
      <c r="FPF89" s="21"/>
      <c r="FPG89" s="21"/>
      <c r="FPH89" s="21"/>
      <c r="FPI89" s="21"/>
      <c r="FPJ89" s="21"/>
      <c r="FPK89" s="21"/>
      <c r="FPL89" s="21"/>
      <c r="FPM89" s="21"/>
      <c r="FPN89" s="21"/>
      <c r="FPO89" s="21"/>
      <c r="FPP89" s="21"/>
      <c r="FPQ89" s="21"/>
      <c r="FPR89" s="21"/>
      <c r="FPS89" s="21"/>
      <c r="FPT89" s="21"/>
      <c r="FPU89" s="21"/>
      <c r="FPV89" s="21"/>
      <c r="FPW89" s="21"/>
      <c r="FPX89" s="21"/>
      <c r="FPY89" s="21"/>
      <c r="FPZ89" s="21"/>
      <c r="FQA89" s="21"/>
      <c r="FQB89" s="21"/>
      <c r="FQC89" s="21"/>
      <c r="FQD89" s="21"/>
      <c r="FQE89" s="21"/>
      <c r="FQF89" s="21"/>
      <c r="FQG89" s="21"/>
      <c r="FQH89" s="21"/>
      <c r="FQI89" s="21"/>
      <c r="FQJ89" s="21"/>
      <c r="FQK89" s="21"/>
      <c r="FQL89" s="21"/>
      <c r="FQM89" s="21"/>
      <c r="FQN89" s="21"/>
      <c r="FQO89" s="21"/>
      <c r="FQP89" s="21"/>
      <c r="FQQ89" s="21"/>
      <c r="FQR89" s="21"/>
      <c r="FQS89" s="21"/>
      <c r="FQT89" s="21"/>
      <c r="FQU89" s="21"/>
      <c r="FQV89" s="21"/>
      <c r="FQW89" s="21"/>
      <c r="FQX89" s="21"/>
      <c r="FQY89" s="21"/>
      <c r="FQZ89" s="21"/>
      <c r="FRA89" s="21"/>
      <c r="FRB89" s="21"/>
      <c r="FRC89" s="21"/>
      <c r="FRD89" s="21"/>
      <c r="FRE89" s="21"/>
      <c r="FRF89" s="21"/>
      <c r="FRG89" s="21"/>
      <c r="FRH89" s="21"/>
      <c r="FRI89" s="21"/>
      <c r="FRJ89" s="21"/>
      <c r="FRK89" s="21"/>
      <c r="FRL89" s="21"/>
      <c r="FRM89" s="21"/>
      <c r="FRN89" s="21"/>
      <c r="FRO89" s="21"/>
      <c r="FRP89" s="21"/>
      <c r="FRQ89" s="21"/>
      <c r="FRR89" s="21"/>
      <c r="FRS89" s="21"/>
      <c r="FRT89" s="21"/>
      <c r="FRU89" s="21"/>
      <c r="FRV89" s="21"/>
      <c r="FRW89" s="21"/>
      <c r="FRX89" s="21"/>
      <c r="FRY89" s="21"/>
      <c r="FRZ89" s="21"/>
      <c r="FSA89" s="21"/>
      <c r="FSB89" s="21"/>
      <c r="FSC89" s="21"/>
      <c r="FSD89" s="21"/>
      <c r="FSE89" s="21"/>
      <c r="FSF89" s="21"/>
      <c r="FSG89" s="21"/>
      <c r="FSH89" s="21"/>
      <c r="FSI89" s="21"/>
      <c r="FSJ89" s="21"/>
      <c r="FSK89" s="21"/>
      <c r="FSL89" s="21"/>
      <c r="FSM89" s="21"/>
      <c r="FSN89" s="21"/>
      <c r="FSO89" s="21"/>
      <c r="FSP89" s="21"/>
      <c r="FSQ89" s="21"/>
      <c r="FSR89" s="21"/>
      <c r="FSS89" s="21"/>
      <c r="FST89" s="21"/>
      <c r="FSU89" s="21"/>
      <c r="FSV89" s="21"/>
      <c r="FSW89" s="21"/>
      <c r="FSX89" s="21"/>
      <c r="FSY89" s="21"/>
      <c r="FSZ89" s="21"/>
      <c r="FTA89" s="21"/>
      <c r="FTB89" s="21"/>
      <c r="FTC89" s="21"/>
      <c r="FTD89" s="21"/>
      <c r="FTE89" s="21"/>
      <c r="FTF89" s="21"/>
      <c r="FTG89" s="21"/>
      <c r="FTH89" s="21"/>
      <c r="FTI89" s="21"/>
      <c r="FTJ89" s="21"/>
      <c r="FTK89" s="21"/>
      <c r="FTL89" s="21"/>
      <c r="FTM89" s="21"/>
      <c r="FTN89" s="21"/>
      <c r="FTO89" s="21"/>
      <c r="FTP89" s="21"/>
      <c r="FTQ89" s="21"/>
      <c r="FTR89" s="21"/>
      <c r="FTS89" s="21"/>
      <c r="FTT89" s="21"/>
      <c r="FTU89" s="21"/>
      <c r="FTV89" s="21"/>
      <c r="FTW89" s="21"/>
      <c r="FTX89" s="21"/>
      <c r="FTY89" s="21"/>
      <c r="FTZ89" s="21"/>
      <c r="FUA89" s="21"/>
      <c r="FUB89" s="21"/>
      <c r="FUC89" s="21"/>
      <c r="FUD89" s="21"/>
      <c r="FUE89" s="21"/>
      <c r="FUF89" s="21"/>
      <c r="FUG89" s="21"/>
      <c r="FUH89" s="21"/>
      <c r="FUI89" s="21"/>
      <c r="FUJ89" s="21"/>
      <c r="FUK89" s="21"/>
      <c r="FUL89" s="21"/>
      <c r="FUM89" s="21"/>
      <c r="FUN89" s="21"/>
      <c r="FUO89" s="21"/>
      <c r="FUP89" s="21"/>
      <c r="FUQ89" s="21"/>
      <c r="FUR89" s="21"/>
      <c r="FUS89" s="21"/>
      <c r="FUT89" s="21"/>
      <c r="FUU89" s="21"/>
      <c r="FUV89" s="21"/>
      <c r="FUW89" s="21"/>
      <c r="FUX89" s="21"/>
      <c r="FUY89" s="21"/>
      <c r="FUZ89" s="21"/>
      <c r="FVA89" s="21"/>
      <c r="FVB89" s="21"/>
      <c r="FVC89" s="21"/>
      <c r="FVD89" s="21"/>
      <c r="FVE89" s="21"/>
      <c r="FVF89" s="21"/>
      <c r="FVG89" s="21"/>
      <c r="FVH89" s="21"/>
      <c r="FVI89" s="21"/>
      <c r="FVJ89" s="21"/>
      <c r="FVK89" s="21"/>
      <c r="FVL89" s="21"/>
      <c r="FVM89" s="21"/>
      <c r="FVN89" s="21"/>
      <c r="FVO89" s="21"/>
      <c r="FVP89" s="21"/>
      <c r="FVQ89" s="21"/>
      <c r="FVR89" s="21"/>
      <c r="FVS89" s="21"/>
      <c r="FVT89" s="21"/>
      <c r="FVU89" s="21"/>
      <c r="FVV89" s="21"/>
      <c r="FVW89" s="21"/>
      <c r="FVX89" s="21"/>
      <c r="FVY89" s="21"/>
      <c r="FVZ89" s="21"/>
      <c r="FWA89" s="21"/>
      <c r="FWB89" s="21"/>
      <c r="FWC89" s="21"/>
      <c r="FWD89" s="21"/>
      <c r="FWE89" s="21"/>
      <c r="FWF89" s="21"/>
      <c r="FWG89" s="21"/>
      <c r="FWH89" s="21"/>
      <c r="FWI89" s="21"/>
      <c r="FWJ89" s="21"/>
      <c r="FWK89" s="21"/>
      <c r="FWL89" s="21"/>
      <c r="FWM89" s="21"/>
      <c r="FWN89" s="21"/>
      <c r="FWO89" s="21"/>
      <c r="FWP89" s="21"/>
      <c r="FWQ89" s="21"/>
      <c r="FWR89" s="21"/>
      <c r="FWS89" s="21"/>
      <c r="FWT89" s="21"/>
      <c r="FWU89" s="21"/>
      <c r="FWV89" s="21"/>
      <c r="FWW89" s="21"/>
      <c r="FWX89" s="21"/>
      <c r="FWY89" s="21"/>
      <c r="FWZ89" s="21"/>
      <c r="FXA89" s="21"/>
      <c r="FXB89" s="21"/>
      <c r="FXC89" s="21"/>
      <c r="FXD89" s="21"/>
      <c r="FXE89" s="21"/>
      <c r="FXF89" s="21"/>
      <c r="FXG89" s="21"/>
      <c r="FXH89" s="21"/>
      <c r="FXI89" s="21"/>
      <c r="FXJ89" s="21"/>
      <c r="FXK89" s="21"/>
      <c r="FXL89" s="21"/>
      <c r="FXM89" s="21"/>
      <c r="FXN89" s="21"/>
      <c r="FXO89" s="21"/>
      <c r="FXP89" s="21"/>
      <c r="FXQ89" s="21"/>
      <c r="FXR89" s="21"/>
      <c r="FXS89" s="21"/>
      <c r="FXT89" s="21"/>
      <c r="FXU89" s="21"/>
      <c r="FXV89" s="21"/>
      <c r="FXW89" s="21"/>
      <c r="FXX89" s="21"/>
      <c r="FXY89" s="21"/>
      <c r="FXZ89" s="21"/>
      <c r="FYA89" s="21"/>
      <c r="FYB89" s="21"/>
      <c r="FYC89" s="21"/>
      <c r="FYD89" s="21"/>
      <c r="FYE89" s="21"/>
      <c r="FYF89" s="21"/>
      <c r="FYG89" s="21"/>
      <c r="FYH89" s="21"/>
      <c r="FYI89" s="21"/>
      <c r="FYJ89" s="21"/>
      <c r="FYK89" s="21"/>
      <c r="FYL89" s="21"/>
      <c r="FYM89" s="21"/>
      <c r="FYN89" s="21"/>
      <c r="FYO89" s="21"/>
      <c r="FYP89" s="21"/>
      <c r="FYQ89" s="21"/>
      <c r="FYR89" s="21"/>
      <c r="FYS89" s="21"/>
      <c r="FYT89" s="21"/>
      <c r="FYU89" s="21"/>
      <c r="FYV89" s="21"/>
      <c r="FYW89" s="21"/>
      <c r="FYX89" s="21"/>
      <c r="FYY89" s="21"/>
      <c r="FYZ89" s="21"/>
      <c r="FZA89" s="21"/>
      <c r="FZB89" s="21"/>
      <c r="FZC89" s="21"/>
      <c r="FZD89" s="21"/>
      <c r="FZE89" s="21"/>
      <c r="FZF89" s="21"/>
      <c r="FZG89" s="21"/>
      <c r="FZH89" s="21"/>
      <c r="FZI89" s="21"/>
      <c r="FZJ89" s="21"/>
      <c r="FZK89" s="21"/>
      <c r="FZL89" s="21"/>
      <c r="FZM89" s="21"/>
      <c r="FZN89" s="21"/>
      <c r="FZO89" s="21"/>
      <c r="FZP89" s="21"/>
      <c r="FZQ89" s="21"/>
      <c r="FZR89" s="21"/>
      <c r="FZS89" s="21"/>
      <c r="FZT89" s="21"/>
      <c r="FZU89" s="21"/>
      <c r="FZV89" s="21"/>
      <c r="FZW89" s="21"/>
      <c r="FZX89" s="21"/>
      <c r="FZY89" s="21"/>
      <c r="FZZ89" s="21"/>
      <c r="GAA89" s="21"/>
      <c r="GAB89" s="21"/>
      <c r="GAC89" s="21"/>
      <c r="GAD89" s="21"/>
      <c r="GAE89" s="21"/>
      <c r="GAF89" s="21"/>
      <c r="GAG89" s="21"/>
      <c r="GAH89" s="21"/>
      <c r="GAI89" s="21"/>
      <c r="GAJ89" s="21"/>
      <c r="GAK89" s="21"/>
      <c r="GAL89" s="21"/>
      <c r="GAM89" s="21"/>
      <c r="GAN89" s="21"/>
      <c r="GAO89" s="21"/>
      <c r="GAP89" s="21"/>
      <c r="GAQ89" s="21"/>
      <c r="GAR89" s="21"/>
      <c r="GAS89" s="21"/>
      <c r="GAT89" s="21"/>
      <c r="GAU89" s="21"/>
      <c r="GAV89" s="21"/>
      <c r="GAW89" s="21"/>
      <c r="GAX89" s="21"/>
      <c r="GAY89" s="21"/>
      <c r="GAZ89" s="21"/>
      <c r="GBA89" s="21"/>
      <c r="GBB89" s="21"/>
      <c r="GBC89" s="21"/>
      <c r="GBD89" s="21"/>
      <c r="GBE89" s="21"/>
      <c r="GBF89" s="21"/>
      <c r="GBG89" s="21"/>
      <c r="GBH89" s="21"/>
      <c r="GBI89" s="21"/>
      <c r="GBJ89" s="21"/>
      <c r="GBK89" s="21"/>
      <c r="GBL89" s="21"/>
      <c r="GBM89" s="21"/>
      <c r="GBN89" s="21"/>
      <c r="GBO89" s="21"/>
      <c r="GBP89" s="21"/>
      <c r="GBQ89" s="21"/>
      <c r="GBR89" s="21"/>
      <c r="GBS89" s="21"/>
      <c r="GBT89" s="21"/>
      <c r="GBU89" s="21"/>
      <c r="GBV89" s="21"/>
      <c r="GBW89" s="21"/>
      <c r="GBX89" s="21"/>
      <c r="GBY89" s="21"/>
      <c r="GBZ89" s="21"/>
      <c r="GCA89" s="21"/>
      <c r="GCB89" s="21"/>
      <c r="GCC89" s="21"/>
      <c r="GCD89" s="21"/>
      <c r="GCE89" s="21"/>
      <c r="GCF89" s="21"/>
      <c r="GCG89" s="21"/>
      <c r="GCH89" s="21"/>
      <c r="GCI89" s="21"/>
      <c r="GCJ89" s="21"/>
      <c r="GCK89" s="21"/>
      <c r="GCL89" s="21"/>
      <c r="GCM89" s="21"/>
      <c r="GCN89" s="21"/>
      <c r="GCO89" s="21"/>
      <c r="GCP89" s="21"/>
      <c r="GCQ89" s="21"/>
      <c r="GCR89" s="21"/>
      <c r="GCS89" s="21"/>
      <c r="GCT89" s="21"/>
      <c r="GCU89" s="21"/>
      <c r="GCV89" s="21"/>
      <c r="GCW89" s="21"/>
      <c r="GCX89" s="21"/>
      <c r="GCY89" s="21"/>
      <c r="GCZ89" s="21"/>
      <c r="GDA89" s="21"/>
      <c r="GDB89" s="21"/>
      <c r="GDC89" s="21"/>
      <c r="GDD89" s="21"/>
      <c r="GDE89" s="21"/>
      <c r="GDF89" s="21"/>
      <c r="GDG89" s="21"/>
      <c r="GDH89" s="21"/>
      <c r="GDI89" s="21"/>
      <c r="GDJ89" s="21"/>
      <c r="GDK89" s="21"/>
      <c r="GDL89" s="21"/>
      <c r="GDM89" s="21"/>
      <c r="GDN89" s="21"/>
      <c r="GDO89" s="21"/>
      <c r="GDP89" s="21"/>
      <c r="GDQ89" s="21"/>
      <c r="GDR89" s="21"/>
      <c r="GDS89" s="21"/>
      <c r="GDT89" s="21"/>
      <c r="GDU89" s="21"/>
      <c r="GDV89" s="21"/>
      <c r="GDW89" s="21"/>
      <c r="GDX89" s="21"/>
      <c r="GDY89" s="21"/>
      <c r="GDZ89" s="21"/>
      <c r="GEA89" s="21"/>
      <c r="GEB89" s="21"/>
      <c r="GEC89" s="21"/>
      <c r="GED89" s="21"/>
      <c r="GEE89" s="21"/>
      <c r="GEF89" s="21"/>
      <c r="GEG89" s="21"/>
      <c r="GEH89" s="21"/>
      <c r="GEI89" s="21"/>
      <c r="GEJ89" s="21"/>
      <c r="GEK89" s="21"/>
      <c r="GEL89" s="21"/>
      <c r="GEM89" s="21"/>
      <c r="GEN89" s="21"/>
      <c r="GEO89" s="21"/>
      <c r="GEP89" s="21"/>
      <c r="GEQ89" s="21"/>
      <c r="GER89" s="21"/>
      <c r="GES89" s="21"/>
      <c r="GET89" s="21"/>
      <c r="GEU89" s="21"/>
      <c r="GEV89" s="21"/>
      <c r="GEW89" s="21"/>
      <c r="GEX89" s="21"/>
      <c r="GEY89" s="21"/>
      <c r="GEZ89" s="21"/>
      <c r="GFA89" s="21"/>
      <c r="GFB89" s="21"/>
      <c r="GFC89" s="21"/>
      <c r="GFD89" s="21"/>
      <c r="GFE89" s="21"/>
      <c r="GFF89" s="21"/>
      <c r="GFG89" s="21"/>
      <c r="GFH89" s="21"/>
      <c r="GFI89" s="21"/>
      <c r="GFJ89" s="21"/>
      <c r="GFK89" s="21"/>
      <c r="GFL89" s="21"/>
      <c r="GFM89" s="21"/>
      <c r="GFN89" s="21"/>
      <c r="GFO89" s="21"/>
      <c r="GFP89" s="21"/>
      <c r="GFQ89" s="21"/>
      <c r="GFR89" s="21"/>
      <c r="GFS89" s="21"/>
      <c r="GFT89" s="21"/>
      <c r="GFU89" s="21"/>
      <c r="GFV89" s="21"/>
      <c r="GFW89" s="21"/>
      <c r="GFX89" s="21"/>
      <c r="GFY89" s="21"/>
      <c r="GFZ89" s="21"/>
      <c r="GGA89" s="21"/>
      <c r="GGB89" s="21"/>
      <c r="GGC89" s="21"/>
      <c r="GGD89" s="21"/>
      <c r="GGE89" s="21"/>
      <c r="GGF89" s="21"/>
      <c r="GGG89" s="21"/>
      <c r="GGH89" s="21"/>
      <c r="GGI89" s="21"/>
      <c r="GGJ89" s="21"/>
      <c r="GGK89" s="21"/>
      <c r="GGL89" s="21"/>
      <c r="GGM89" s="21"/>
      <c r="GGN89" s="21"/>
      <c r="GGO89" s="21"/>
      <c r="GGP89" s="21"/>
      <c r="GGQ89" s="21"/>
      <c r="GGR89" s="21"/>
      <c r="GGS89" s="21"/>
      <c r="GGT89" s="21"/>
      <c r="GGU89" s="21"/>
      <c r="GGV89" s="21"/>
      <c r="GGW89" s="21"/>
      <c r="GGX89" s="21"/>
      <c r="GGY89" s="21"/>
      <c r="GGZ89" s="21"/>
      <c r="GHA89" s="21"/>
      <c r="GHB89" s="21"/>
      <c r="GHC89" s="21"/>
      <c r="GHD89" s="21"/>
      <c r="GHE89" s="21"/>
      <c r="GHF89" s="21"/>
      <c r="GHG89" s="21"/>
      <c r="GHH89" s="21"/>
      <c r="GHI89" s="21"/>
      <c r="GHJ89" s="21"/>
      <c r="GHK89" s="21"/>
      <c r="GHL89" s="21"/>
      <c r="GHM89" s="21"/>
      <c r="GHN89" s="21"/>
      <c r="GHO89" s="21"/>
      <c r="GHP89" s="21"/>
      <c r="GHQ89" s="21"/>
      <c r="GHR89" s="21"/>
      <c r="GHS89" s="21"/>
      <c r="GHT89" s="21"/>
      <c r="GHU89" s="21"/>
      <c r="GHV89" s="21"/>
      <c r="GHW89" s="21"/>
      <c r="GHX89" s="21"/>
      <c r="GHY89" s="21"/>
      <c r="GHZ89" s="21"/>
      <c r="GIA89" s="21"/>
      <c r="GIB89" s="21"/>
      <c r="GIC89" s="21"/>
      <c r="GID89" s="21"/>
      <c r="GIE89" s="21"/>
      <c r="GIF89" s="21"/>
      <c r="GIG89" s="21"/>
      <c r="GIH89" s="21"/>
      <c r="GII89" s="21"/>
      <c r="GIJ89" s="21"/>
      <c r="GIK89" s="21"/>
      <c r="GIL89" s="21"/>
      <c r="GIM89" s="21"/>
      <c r="GIN89" s="21"/>
      <c r="GIO89" s="21"/>
      <c r="GIP89" s="21"/>
      <c r="GIQ89" s="21"/>
      <c r="GIR89" s="21"/>
      <c r="GIS89" s="21"/>
      <c r="GIT89" s="21"/>
      <c r="GIU89" s="21"/>
      <c r="GIV89" s="21"/>
      <c r="GIW89" s="21"/>
      <c r="GIX89" s="21"/>
      <c r="GIY89" s="21"/>
      <c r="GIZ89" s="21"/>
      <c r="GJA89" s="21"/>
      <c r="GJB89" s="21"/>
      <c r="GJC89" s="21"/>
      <c r="GJD89" s="21"/>
      <c r="GJE89" s="21"/>
      <c r="GJF89" s="21"/>
      <c r="GJG89" s="21"/>
      <c r="GJH89" s="21"/>
      <c r="GJI89" s="21"/>
      <c r="GJJ89" s="21"/>
      <c r="GJK89" s="21"/>
      <c r="GJL89" s="21"/>
      <c r="GJM89" s="21"/>
      <c r="GJN89" s="21"/>
      <c r="GJO89" s="21"/>
      <c r="GJP89" s="21"/>
      <c r="GJQ89" s="21"/>
      <c r="GJR89" s="21"/>
      <c r="GJS89" s="21"/>
      <c r="GJT89" s="21"/>
      <c r="GJU89" s="21"/>
      <c r="GJV89" s="21"/>
      <c r="GJW89" s="21"/>
      <c r="GJX89" s="21"/>
      <c r="GJY89" s="21"/>
      <c r="GJZ89" s="21"/>
      <c r="GKA89" s="21"/>
      <c r="GKB89" s="21"/>
      <c r="GKC89" s="21"/>
      <c r="GKD89" s="21"/>
      <c r="GKE89" s="21"/>
      <c r="GKF89" s="21"/>
      <c r="GKG89" s="21"/>
      <c r="GKH89" s="21"/>
      <c r="GKI89" s="21"/>
      <c r="GKJ89" s="21"/>
      <c r="GKK89" s="21"/>
      <c r="GKL89" s="21"/>
      <c r="GKM89" s="21"/>
      <c r="GKN89" s="21"/>
      <c r="GKO89" s="21"/>
      <c r="GKP89" s="21"/>
      <c r="GKQ89" s="21"/>
      <c r="GKR89" s="21"/>
      <c r="GKS89" s="21"/>
      <c r="GKT89" s="21"/>
      <c r="GKU89" s="21"/>
      <c r="GKV89" s="21"/>
      <c r="GKW89" s="21"/>
      <c r="GKX89" s="21"/>
      <c r="GKY89" s="21"/>
      <c r="GKZ89" s="21"/>
      <c r="GLA89" s="21"/>
      <c r="GLB89" s="21"/>
      <c r="GLC89" s="21"/>
      <c r="GLD89" s="21"/>
      <c r="GLE89" s="21"/>
      <c r="GLF89" s="21"/>
      <c r="GLG89" s="21"/>
      <c r="GLH89" s="21"/>
      <c r="GLI89" s="21"/>
      <c r="GLJ89" s="21"/>
      <c r="GLK89" s="21"/>
      <c r="GLL89" s="21"/>
      <c r="GLM89" s="21"/>
      <c r="GLN89" s="21"/>
      <c r="GLO89" s="21"/>
      <c r="GLP89" s="21"/>
      <c r="GLQ89" s="21"/>
      <c r="GLR89" s="21"/>
      <c r="GLS89" s="21"/>
      <c r="GLT89" s="21"/>
      <c r="GLU89" s="21"/>
      <c r="GLV89" s="21"/>
      <c r="GLW89" s="21"/>
      <c r="GLX89" s="21"/>
      <c r="GLY89" s="21"/>
      <c r="GLZ89" s="21"/>
      <c r="GMA89" s="21"/>
      <c r="GMB89" s="21"/>
      <c r="GMC89" s="21"/>
      <c r="GMD89" s="21"/>
      <c r="GME89" s="21"/>
      <c r="GMF89" s="21"/>
      <c r="GMG89" s="21"/>
      <c r="GMH89" s="21"/>
      <c r="GMI89" s="21"/>
      <c r="GMJ89" s="21"/>
      <c r="GMK89" s="21"/>
      <c r="GML89" s="21"/>
      <c r="GMM89" s="21"/>
      <c r="GMN89" s="21"/>
      <c r="GMO89" s="21"/>
      <c r="GMP89" s="21"/>
      <c r="GMQ89" s="21"/>
      <c r="GMR89" s="21"/>
      <c r="GMS89" s="21"/>
      <c r="GMT89" s="21"/>
      <c r="GMU89" s="21"/>
      <c r="GMV89" s="21"/>
      <c r="GMW89" s="21"/>
      <c r="GMX89" s="21"/>
      <c r="GMY89" s="21"/>
      <c r="GMZ89" s="21"/>
      <c r="GNA89" s="21"/>
      <c r="GNB89" s="21"/>
      <c r="GNC89" s="21"/>
      <c r="GND89" s="21"/>
      <c r="GNE89" s="21"/>
      <c r="GNF89" s="21"/>
      <c r="GNG89" s="21"/>
      <c r="GNH89" s="21"/>
      <c r="GNI89" s="21"/>
      <c r="GNJ89" s="21"/>
      <c r="GNK89" s="21"/>
      <c r="GNL89" s="21"/>
      <c r="GNM89" s="21"/>
      <c r="GNN89" s="21"/>
      <c r="GNO89" s="21"/>
      <c r="GNP89" s="21"/>
      <c r="GNQ89" s="21"/>
      <c r="GNR89" s="21"/>
      <c r="GNS89" s="21"/>
      <c r="GNT89" s="21"/>
      <c r="GNU89" s="21"/>
      <c r="GNV89" s="21"/>
      <c r="GNW89" s="21"/>
      <c r="GNX89" s="21"/>
      <c r="GNY89" s="21"/>
      <c r="GNZ89" s="21"/>
      <c r="GOA89" s="21"/>
      <c r="GOB89" s="21"/>
      <c r="GOC89" s="21"/>
      <c r="GOD89" s="21"/>
      <c r="GOE89" s="21"/>
      <c r="GOF89" s="21"/>
      <c r="GOG89" s="21"/>
      <c r="GOH89" s="21"/>
      <c r="GOI89" s="21"/>
      <c r="GOJ89" s="21"/>
      <c r="GOK89" s="21"/>
      <c r="GOL89" s="21"/>
      <c r="GOM89" s="21"/>
      <c r="GON89" s="21"/>
      <c r="GOO89" s="21"/>
      <c r="GOP89" s="21"/>
      <c r="GOQ89" s="21"/>
      <c r="GOR89" s="21"/>
      <c r="GOS89" s="21"/>
      <c r="GOT89" s="21"/>
      <c r="GOU89" s="21"/>
      <c r="GOV89" s="21"/>
      <c r="GOW89" s="21"/>
      <c r="GOX89" s="21"/>
      <c r="GOY89" s="21"/>
      <c r="GOZ89" s="21"/>
      <c r="GPA89" s="21"/>
      <c r="GPB89" s="21"/>
      <c r="GPC89" s="21"/>
      <c r="GPD89" s="21"/>
      <c r="GPE89" s="21"/>
      <c r="GPF89" s="21"/>
      <c r="GPG89" s="21"/>
      <c r="GPH89" s="21"/>
      <c r="GPI89" s="21"/>
      <c r="GPJ89" s="21"/>
      <c r="GPK89" s="21"/>
      <c r="GPL89" s="21"/>
      <c r="GPM89" s="21"/>
      <c r="GPN89" s="21"/>
      <c r="GPO89" s="21"/>
      <c r="GPP89" s="21"/>
      <c r="GPQ89" s="21"/>
      <c r="GPR89" s="21"/>
      <c r="GPS89" s="21"/>
      <c r="GPT89" s="21"/>
      <c r="GPU89" s="21"/>
      <c r="GPV89" s="21"/>
      <c r="GPW89" s="21"/>
      <c r="GPX89" s="21"/>
      <c r="GPY89" s="21"/>
      <c r="GPZ89" s="21"/>
      <c r="GQA89" s="21"/>
      <c r="GQB89" s="21"/>
      <c r="GQC89" s="21"/>
      <c r="GQD89" s="21"/>
      <c r="GQE89" s="21"/>
      <c r="GQF89" s="21"/>
      <c r="GQG89" s="21"/>
      <c r="GQH89" s="21"/>
      <c r="GQI89" s="21"/>
      <c r="GQJ89" s="21"/>
      <c r="GQK89" s="21"/>
      <c r="GQL89" s="21"/>
      <c r="GQM89" s="21"/>
      <c r="GQN89" s="21"/>
      <c r="GQO89" s="21"/>
      <c r="GQP89" s="21"/>
      <c r="GQQ89" s="21"/>
      <c r="GQR89" s="21"/>
      <c r="GQS89" s="21"/>
      <c r="GQT89" s="21"/>
      <c r="GQU89" s="21"/>
      <c r="GQV89" s="21"/>
      <c r="GQW89" s="21"/>
      <c r="GQX89" s="21"/>
      <c r="GQY89" s="21"/>
      <c r="GQZ89" s="21"/>
      <c r="GRA89" s="21"/>
      <c r="GRB89" s="21"/>
      <c r="GRC89" s="21"/>
      <c r="GRD89" s="21"/>
      <c r="GRE89" s="21"/>
      <c r="GRF89" s="21"/>
      <c r="GRG89" s="21"/>
      <c r="GRH89" s="21"/>
      <c r="GRI89" s="21"/>
      <c r="GRJ89" s="21"/>
      <c r="GRK89" s="21"/>
      <c r="GRL89" s="21"/>
      <c r="GRM89" s="21"/>
      <c r="GRN89" s="21"/>
      <c r="GRO89" s="21"/>
      <c r="GRP89" s="21"/>
      <c r="GRQ89" s="21"/>
      <c r="GRR89" s="21"/>
      <c r="GRS89" s="21"/>
      <c r="GRT89" s="21"/>
      <c r="GRU89" s="21"/>
      <c r="GRV89" s="21"/>
      <c r="GRW89" s="21"/>
      <c r="GRX89" s="21"/>
      <c r="GRY89" s="21"/>
      <c r="GRZ89" s="21"/>
      <c r="GSA89" s="21"/>
      <c r="GSB89" s="21"/>
      <c r="GSC89" s="21"/>
      <c r="GSD89" s="21"/>
      <c r="GSE89" s="21"/>
      <c r="GSF89" s="21"/>
      <c r="GSG89" s="21"/>
      <c r="GSH89" s="21"/>
      <c r="GSI89" s="21"/>
      <c r="GSJ89" s="21"/>
      <c r="GSK89" s="21"/>
      <c r="GSL89" s="21"/>
      <c r="GSM89" s="21"/>
      <c r="GSN89" s="21"/>
      <c r="GSO89" s="21"/>
      <c r="GSP89" s="21"/>
      <c r="GSQ89" s="21"/>
      <c r="GSR89" s="21"/>
      <c r="GSS89" s="21"/>
      <c r="GST89" s="21"/>
      <c r="GSU89" s="21"/>
      <c r="GSV89" s="21"/>
      <c r="GSW89" s="21"/>
      <c r="GSX89" s="21"/>
      <c r="GSY89" s="21"/>
      <c r="GSZ89" s="21"/>
      <c r="GTA89" s="21"/>
      <c r="GTB89" s="21"/>
      <c r="GTC89" s="21"/>
      <c r="GTD89" s="21"/>
      <c r="GTE89" s="21"/>
      <c r="GTF89" s="21"/>
      <c r="GTG89" s="21"/>
      <c r="GTH89" s="21"/>
      <c r="GTI89" s="21"/>
      <c r="GTJ89" s="21"/>
      <c r="GTK89" s="21"/>
      <c r="GTL89" s="21"/>
      <c r="GTM89" s="21"/>
      <c r="GTN89" s="21"/>
      <c r="GTO89" s="21"/>
      <c r="GTP89" s="21"/>
      <c r="GTQ89" s="21"/>
      <c r="GTR89" s="21"/>
      <c r="GTS89" s="21"/>
      <c r="GTT89" s="21"/>
      <c r="GTU89" s="21"/>
      <c r="GTV89" s="21"/>
      <c r="GTW89" s="21"/>
      <c r="GTX89" s="21"/>
      <c r="GTY89" s="21"/>
      <c r="GTZ89" s="21"/>
      <c r="GUA89" s="21"/>
      <c r="GUB89" s="21"/>
      <c r="GUC89" s="21"/>
      <c r="GUD89" s="21"/>
      <c r="GUE89" s="21"/>
      <c r="GUF89" s="21"/>
      <c r="GUG89" s="21"/>
      <c r="GUH89" s="21"/>
      <c r="GUI89" s="21"/>
      <c r="GUJ89" s="21"/>
      <c r="GUK89" s="21"/>
      <c r="GUL89" s="21"/>
      <c r="GUM89" s="21"/>
      <c r="GUN89" s="21"/>
      <c r="GUO89" s="21"/>
      <c r="GUP89" s="21"/>
      <c r="GUQ89" s="21"/>
      <c r="GUR89" s="21"/>
      <c r="GUS89" s="21"/>
      <c r="GUT89" s="21"/>
      <c r="GUU89" s="21"/>
      <c r="GUV89" s="21"/>
      <c r="GUW89" s="21"/>
      <c r="GUX89" s="21"/>
      <c r="GUY89" s="21"/>
      <c r="GUZ89" s="21"/>
      <c r="GVA89" s="21"/>
      <c r="GVB89" s="21"/>
      <c r="GVC89" s="21"/>
      <c r="GVD89" s="21"/>
      <c r="GVE89" s="21"/>
      <c r="GVF89" s="21"/>
      <c r="GVG89" s="21"/>
      <c r="GVH89" s="21"/>
      <c r="GVI89" s="21"/>
      <c r="GVJ89" s="21"/>
      <c r="GVK89" s="21"/>
      <c r="GVL89" s="21"/>
      <c r="GVM89" s="21"/>
      <c r="GVN89" s="21"/>
      <c r="GVO89" s="21"/>
      <c r="GVP89" s="21"/>
      <c r="GVQ89" s="21"/>
      <c r="GVR89" s="21"/>
      <c r="GVS89" s="21"/>
      <c r="GVT89" s="21"/>
      <c r="GVU89" s="21"/>
      <c r="GVV89" s="21"/>
      <c r="GVW89" s="21"/>
      <c r="GVX89" s="21"/>
      <c r="GVY89" s="21"/>
      <c r="GVZ89" s="21"/>
      <c r="GWA89" s="21"/>
      <c r="GWB89" s="21"/>
      <c r="GWC89" s="21"/>
      <c r="GWD89" s="21"/>
      <c r="GWE89" s="21"/>
      <c r="GWF89" s="21"/>
      <c r="GWG89" s="21"/>
      <c r="GWH89" s="21"/>
      <c r="GWI89" s="21"/>
      <c r="GWJ89" s="21"/>
      <c r="GWK89" s="21"/>
      <c r="GWL89" s="21"/>
      <c r="GWM89" s="21"/>
      <c r="GWN89" s="21"/>
      <c r="GWO89" s="21"/>
      <c r="GWP89" s="21"/>
      <c r="GWQ89" s="21"/>
      <c r="GWR89" s="21"/>
      <c r="GWS89" s="21"/>
      <c r="GWT89" s="21"/>
      <c r="GWU89" s="21"/>
      <c r="GWV89" s="21"/>
      <c r="GWW89" s="21"/>
      <c r="GWX89" s="21"/>
      <c r="GWY89" s="21"/>
      <c r="GWZ89" s="21"/>
      <c r="GXA89" s="21"/>
      <c r="GXB89" s="21"/>
      <c r="GXC89" s="21"/>
      <c r="GXD89" s="21"/>
      <c r="GXE89" s="21"/>
      <c r="GXF89" s="21"/>
      <c r="GXG89" s="21"/>
      <c r="GXH89" s="21"/>
      <c r="GXI89" s="21"/>
      <c r="GXJ89" s="21"/>
      <c r="GXK89" s="21"/>
      <c r="GXL89" s="21"/>
      <c r="GXM89" s="21"/>
      <c r="GXN89" s="21"/>
      <c r="GXO89" s="21"/>
      <c r="GXP89" s="21"/>
      <c r="GXQ89" s="21"/>
      <c r="GXR89" s="21"/>
      <c r="GXS89" s="21"/>
      <c r="GXT89" s="21"/>
      <c r="GXU89" s="21"/>
      <c r="GXV89" s="21"/>
      <c r="GXW89" s="21"/>
      <c r="GXX89" s="21"/>
      <c r="GXY89" s="21"/>
      <c r="GXZ89" s="21"/>
      <c r="GYA89" s="21"/>
      <c r="GYB89" s="21"/>
      <c r="GYC89" s="21"/>
      <c r="GYD89" s="21"/>
      <c r="GYE89" s="21"/>
      <c r="GYF89" s="21"/>
      <c r="GYG89" s="21"/>
      <c r="GYH89" s="21"/>
      <c r="GYI89" s="21"/>
      <c r="GYJ89" s="21"/>
      <c r="GYK89" s="21"/>
      <c r="GYL89" s="21"/>
      <c r="GYM89" s="21"/>
      <c r="GYN89" s="21"/>
      <c r="GYO89" s="21"/>
      <c r="GYP89" s="21"/>
      <c r="GYQ89" s="21"/>
      <c r="GYR89" s="21"/>
      <c r="GYS89" s="21"/>
      <c r="GYT89" s="21"/>
      <c r="GYU89" s="21"/>
      <c r="GYV89" s="21"/>
      <c r="GYW89" s="21"/>
      <c r="GYX89" s="21"/>
      <c r="GYY89" s="21"/>
      <c r="GYZ89" s="21"/>
      <c r="GZA89" s="21"/>
      <c r="GZB89" s="21"/>
      <c r="GZC89" s="21"/>
      <c r="GZD89" s="21"/>
      <c r="GZE89" s="21"/>
      <c r="GZF89" s="21"/>
      <c r="GZG89" s="21"/>
      <c r="GZH89" s="21"/>
      <c r="GZI89" s="21"/>
      <c r="GZJ89" s="21"/>
      <c r="GZK89" s="21"/>
      <c r="GZL89" s="21"/>
      <c r="GZM89" s="21"/>
      <c r="GZN89" s="21"/>
      <c r="GZO89" s="21"/>
      <c r="GZP89" s="21"/>
      <c r="GZQ89" s="21"/>
      <c r="GZR89" s="21"/>
      <c r="GZS89" s="21"/>
      <c r="GZT89" s="21"/>
      <c r="GZU89" s="21"/>
      <c r="GZV89" s="21"/>
      <c r="GZW89" s="21"/>
      <c r="GZX89" s="21"/>
      <c r="GZY89" s="21"/>
      <c r="GZZ89" s="21"/>
      <c r="HAA89" s="21"/>
      <c r="HAB89" s="21"/>
      <c r="HAC89" s="21"/>
      <c r="HAD89" s="21"/>
      <c r="HAE89" s="21"/>
      <c r="HAF89" s="21"/>
      <c r="HAG89" s="21"/>
      <c r="HAH89" s="21"/>
      <c r="HAI89" s="21"/>
      <c r="HAJ89" s="21"/>
      <c r="HAK89" s="21"/>
      <c r="HAL89" s="21"/>
      <c r="HAM89" s="21"/>
      <c r="HAN89" s="21"/>
      <c r="HAO89" s="21"/>
      <c r="HAP89" s="21"/>
      <c r="HAQ89" s="21"/>
      <c r="HAR89" s="21"/>
      <c r="HAS89" s="21"/>
      <c r="HAT89" s="21"/>
      <c r="HAU89" s="21"/>
      <c r="HAV89" s="21"/>
      <c r="HAW89" s="21"/>
      <c r="HAX89" s="21"/>
      <c r="HAY89" s="21"/>
      <c r="HAZ89" s="21"/>
      <c r="HBA89" s="21"/>
      <c r="HBB89" s="21"/>
      <c r="HBC89" s="21"/>
      <c r="HBD89" s="21"/>
      <c r="HBE89" s="21"/>
      <c r="HBF89" s="21"/>
      <c r="HBG89" s="21"/>
      <c r="HBH89" s="21"/>
      <c r="HBI89" s="21"/>
      <c r="HBJ89" s="21"/>
      <c r="HBK89" s="21"/>
      <c r="HBL89" s="21"/>
      <c r="HBM89" s="21"/>
      <c r="HBN89" s="21"/>
      <c r="HBO89" s="21"/>
      <c r="HBP89" s="21"/>
      <c r="HBQ89" s="21"/>
      <c r="HBR89" s="21"/>
      <c r="HBS89" s="21"/>
      <c r="HBT89" s="21"/>
      <c r="HBU89" s="21"/>
      <c r="HBV89" s="21"/>
      <c r="HBW89" s="21"/>
      <c r="HBX89" s="21"/>
      <c r="HBY89" s="21"/>
      <c r="HBZ89" s="21"/>
      <c r="HCA89" s="21"/>
      <c r="HCB89" s="21"/>
      <c r="HCC89" s="21"/>
      <c r="HCD89" s="21"/>
      <c r="HCE89" s="21"/>
      <c r="HCF89" s="21"/>
      <c r="HCG89" s="21"/>
      <c r="HCH89" s="21"/>
      <c r="HCI89" s="21"/>
      <c r="HCJ89" s="21"/>
      <c r="HCK89" s="21"/>
      <c r="HCL89" s="21"/>
      <c r="HCM89" s="21"/>
      <c r="HCN89" s="21"/>
      <c r="HCO89" s="21"/>
      <c r="HCP89" s="21"/>
      <c r="HCQ89" s="21"/>
      <c r="HCR89" s="21"/>
      <c r="HCS89" s="21"/>
      <c r="HCT89" s="21"/>
      <c r="HCU89" s="21"/>
      <c r="HCV89" s="21"/>
      <c r="HCW89" s="21"/>
      <c r="HCX89" s="21"/>
      <c r="HCY89" s="21"/>
      <c r="HCZ89" s="21"/>
      <c r="HDA89" s="21"/>
      <c r="HDB89" s="21"/>
      <c r="HDC89" s="21"/>
      <c r="HDD89" s="21"/>
      <c r="HDE89" s="21"/>
      <c r="HDF89" s="21"/>
      <c r="HDG89" s="21"/>
      <c r="HDH89" s="21"/>
      <c r="HDI89" s="21"/>
      <c r="HDJ89" s="21"/>
      <c r="HDK89" s="21"/>
      <c r="HDL89" s="21"/>
      <c r="HDM89" s="21"/>
      <c r="HDN89" s="21"/>
      <c r="HDO89" s="21"/>
      <c r="HDP89" s="21"/>
      <c r="HDQ89" s="21"/>
      <c r="HDR89" s="21"/>
      <c r="HDS89" s="21"/>
      <c r="HDT89" s="21"/>
      <c r="HDU89" s="21"/>
      <c r="HDV89" s="21"/>
      <c r="HDW89" s="21"/>
      <c r="HDX89" s="21"/>
      <c r="HDY89" s="21"/>
      <c r="HDZ89" s="21"/>
      <c r="HEA89" s="21"/>
      <c r="HEB89" s="21"/>
      <c r="HEC89" s="21"/>
      <c r="HED89" s="21"/>
      <c r="HEE89" s="21"/>
      <c r="HEF89" s="21"/>
      <c r="HEG89" s="21"/>
      <c r="HEH89" s="21"/>
      <c r="HEI89" s="21"/>
      <c r="HEJ89" s="21"/>
      <c r="HEK89" s="21"/>
      <c r="HEL89" s="21"/>
      <c r="HEM89" s="21"/>
      <c r="HEN89" s="21"/>
      <c r="HEO89" s="21"/>
      <c r="HEP89" s="21"/>
      <c r="HEQ89" s="21"/>
      <c r="HER89" s="21"/>
      <c r="HES89" s="21"/>
      <c r="HET89" s="21"/>
      <c r="HEU89" s="21"/>
      <c r="HEV89" s="21"/>
      <c r="HEW89" s="21"/>
      <c r="HEX89" s="21"/>
      <c r="HEY89" s="21"/>
      <c r="HEZ89" s="21"/>
      <c r="HFA89" s="21"/>
      <c r="HFB89" s="21"/>
      <c r="HFC89" s="21"/>
      <c r="HFD89" s="21"/>
      <c r="HFE89" s="21"/>
      <c r="HFF89" s="21"/>
      <c r="HFG89" s="21"/>
      <c r="HFH89" s="21"/>
      <c r="HFI89" s="21"/>
      <c r="HFJ89" s="21"/>
      <c r="HFK89" s="21"/>
      <c r="HFL89" s="21"/>
      <c r="HFM89" s="21"/>
      <c r="HFN89" s="21"/>
      <c r="HFO89" s="21"/>
      <c r="HFP89" s="21"/>
      <c r="HFQ89" s="21"/>
      <c r="HFR89" s="21"/>
      <c r="HFS89" s="21"/>
      <c r="HFT89" s="21"/>
      <c r="HFU89" s="21"/>
      <c r="HFV89" s="21"/>
      <c r="HFW89" s="21"/>
      <c r="HFX89" s="21"/>
      <c r="HFY89" s="21"/>
      <c r="HFZ89" s="21"/>
      <c r="HGA89" s="21"/>
      <c r="HGB89" s="21"/>
      <c r="HGC89" s="21"/>
      <c r="HGD89" s="21"/>
      <c r="HGE89" s="21"/>
      <c r="HGF89" s="21"/>
      <c r="HGG89" s="21"/>
      <c r="HGH89" s="21"/>
      <c r="HGI89" s="21"/>
      <c r="HGJ89" s="21"/>
      <c r="HGK89" s="21"/>
      <c r="HGL89" s="21"/>
      <c r="HGM89" s="21"/>
      <c r="HGN89" s="21"/>
      <c r="HGO89" s="21"/>
      <c r="HGP89" s="21"/>
      <c r="HGQ89" s="21"/>
      <c r="HGR89" s="21"/>
      <c r="HGS89" s="21"/>
      <c r="HGT89" s="21"/>
      <c r="HGU89" s="21"/>
      <c r="HGV89" s="21"/>
      <c r="HGW89" s="21"/>
      <c r="HGX89" s="21"/>
      <c r="HGY89" s="21"/>
      <c r="HGZ89" s="21"/>
      <c r="HHA89" s="21"/>
      <c r="HHB89" s="21"/>
      <c r="HHC89" s="21"/>
      <c r="HHD89" s="21"/>
      <c r="HHE89" s="21"/>
      <c r="HHF89" s="21"/>
      <c r="HHG89" s="21"/>
      <c r="HHH89" s="21"/>
      <c r="HHI89" s="21"/>
      <c r="HHJ89" s="21"/>
      <c r="HHK89" s="21"/>
      <c r="HHL89" s="21"/>
      <c r="HHM89" s="21"/>
      <c r="HHN89" s="21"/>
      <c r="HHO89" s="21"/>
      <c r="HHP89" s="21"/>
      <c r="HHQ89" s="21"/>
      <c r="HHR89" s="21"/>
      <c r="HHS89" s="21"/>
      <c r="HHT89" s="21"/>
      <c r="HHU89" s="21"/>
      <c r="HHV89" s="21"/>
      <c r="HHW89" s="21"/>
      <c r="HHX89" s="21"/>
      <c r="HHY89" s="21"/>
      <c r="HHZ89" s="21"/>
      <c r="HIA89" s="21"/>
      <c r="HIB89" s="21"/>
      <c r="HIC89" s="21"/>
      <c r="HID89" s="21"/>
      <c r="HIE89" s="21"/>
      <c r="HIF89" s="21"/>
      <c r="HIG89" s="21"/>
      <c r="HIH89" s="21"/>
      <c r="HII89" s="21"/>
      <c r="HIJ89" s="21"/>
      <c r="HIK89" s="21"/>
      <c r="HIL89" s="21"/>
      <c r="HIM89" s="21"/>
      <c r="HIN89" s="21"/>
      <c r="HIO89" s="21"/>
      <c r="HIP89" s="21"/>
      <c r="HIQ89" s="21"/>
      <c r="HIR89" s="21"/>
      <c r="HIS89" s="21"/>
      <c r="HIT89" s="21"/>
      <c r="HIU89" s="21"/>
      <c r="HIV89" s="21"/>
      <c r="HIW89" s="21"/>
      <c r="HIX89" s="21"/>
      <c r="HIY89" s="21"/>
      <c r="HIZ89" s="21"/>
      <c r="HJA89" s="21"/>
      <c r="HJB89" s="21"/>
      <c r="HJC89" s="21"/>
      <c r="HJD89" s="21"/>
      <c r="HJE89" s="21"/>
      <c r="HJF89" s="21"/>
      <c r="HJG89" s="21"/>
      <c r="HJH89" s="21"/>
      <c r="HJI89" s="21"/>
      <c r="HJJ89" s="21"/>
      <c r="HJK89" s="21"/>
      <c r="HJL89" s="21"/>
      <c r="HJM89" s="21"/>
      <c r="HJN89" s="21"/>
      <c r="HJO89" s="21"/>
      <c r="HJP89" s="21"/>
      <c r="HJQ89" s="21"/>
      <c r="HJR89" s="21"/>
      <c r="HJS89" s="21"/>
      <c r="HJT89" s="21"/>
      <c r="HJU89" s="21"/>
      <c r="HJV89" s="21"/>
      <c r="HJW89" s="21"/>
      <c r="HJX89" s="21"/>
      <c r="HJY89" s="21"/>
      <c r="HJZ89" s="21"/>
      <c r="HKA89" s="21"/>
      <c r="HKB89" s="21"/>
      <c r="HKC89" s="21"/>
      <c r="HKD89" s="21"/>
      <c r="HKE89" s="21"/>
      <c r="HKF89" s="21"/>
      <c r="HKG89" s="21"/>
      <c r="HKH89" s="21"/>
      <c r="HKI89" s="21"/>
      <c r="HKJ89" s="21"/>
      <c r="HKK89" s="21"/>
      <c r="HKL89" s="21"/>
      <c r="HKM89" s="21"/>
      <c r="HKN89" s="21"/>
      <c r="HKO89" s="21"/>
      <c r="HKP89" s="21"/>
      <c r="HKQ89" s="21"/>
      <c r="HKR89" s="21"/>
      <c r="HKS89" s="21"/>
      <c r="HKT89" s="21"/>
      <c r="HKU89" s="21"/>
      <c r="HKV89" s="21"/>
      <c r="HKW89" s="21"/>
      <c r="HKX89" s="21"/>
      <c r="HKY89" s="21"/>
      <c r="HKZ89" s="21"/>
      <c r="HLA89" s="21"/>
      <c r="HLB89" s="21"/>
      <c r="HLC89" s="21"/>
      <c r="HLD89" s="21"/>
      <c r="HLE89" s="21"/>
      <c r="HLF89" s="21"/>
      <c r="HLG89" s="21"/>
      <c r="HLH89" s="21"/>
      <c r="HLI89" s="21"/>
      <c r="HLJ89" s="21"/>
      <c r="HLK89" s="21"/>
      <c r="HLL89" s="21"/>
      <c r="HLM89" s="21"/>
      <c r="HLN89" s="21"/>
      <c r="HLO89" s="21"/>
      <c r="HLP89" s="21"/>
      <c r="HLQ89" s="21"/>
      <c r="HLR89" s="21"/>
      <c r="HLS89" s="21"/>
      <c r="HLT89" s="21"/>
      <c r="HLU89" s="21"/>
      <c r="HLV89" s="21"/>
      <c r="HLW89" s="21"/>
      <c r="HLX89" s="21"/>
      <c r="HLY89" s="21"/>
      <c r="HLZ89" s="21"/>
      <c r="HMA89" s="21"/>
      <c r="HMB89" s="21"/>
      <c r="HMC89" s="21"/>
      <c r="HMD89" s="21"/>
      <c r="HME89" s="21"/>
      <c r="HMF89" s="21"/>
      <c r="HMG89" s="21"/>
      <c r="HMH89" s="21"/>
      <c r="HMI89" s="21"/>
      <c r="HMJ89" s="21"/>
      <c r="HMK89" s="21"/>
      <c r="HML89" s="21"/>
      <c r="HMM89" s="21"/>
      <c r="HMN89" s="21"/>
      <c r="HMO89" s="21"/>
      <c r="HMP89" s="21"/>
      <c r="HMQ89" s="21"/>
      <c r="HMR89" s="21"/>
      <c r="HMS89" s="21"/>
      <c r="HMT89" s="21"/>
      <c r="HMU89" s="21"/>
      <c r="HMV89" s="21"/>
      <c r="HMW89" s="21"/>
      <c r="HMX89" s="21"/>
      <c r="HMY89" s="21"/>
      <c r="HMZ89" s="21"/>
      <c r="HNA89" s="21"/>
      <c r="HNB89" s="21"/>
      <c r="HNC89" s="21"/>
      <c r="HND89" s="21"/>
      <c r="HNE89" s="21"/>
      <c r="HNF89" s="21"/>
      <c r="HNG89" s="21"/>
      <c r="HNH89" s="21"/>
      <c r="HNI89" s="21"/>
      <c r="HNJ89" s="21"/>
      <c r="HNK89" s="21"/>
      <c r="HNL89" s="21"/>
      <c r="HNM89" s="21"/>
      <c r="HNN89" s="21"/>
      <c r="HNO89" s="21"/>
      <c r="HNP89" s="21"/>
      <c r="HNQ89" s="21"/>
      <c r="HNR89" s="21"/>
      <c r="HNS89" s="21"/>
      <c r="HNT89" s="21"/>
      <c r="HNU89" s="21"/>
      <c r="HNV89" s="21"/>
      <c r="HNW89" s="21"/>
      <c r="HNX89" s="21"/>
      <c r="HNY89" s="21"/>
      <c r="HNZ89" s="21"/>
      <c r="HOA89" s="21"/>
      <c r="HOB89" s="21"/>
      <c r="HOC89" s="21"/>
      <c r="HOD89" s="21"/>
      <c r="HOE89" s="21"/>
      <c r="HOF89" s="21"/>
      <c r="HOG89" s="21"/>
      <c r="HOH89" s="21"/>
      <c r="HOI89" s="21"/>
      <c r="HOJ89" s="21"/>
      <c r="HOK89" s="21"/>
      <c r="HOL89" s="21"/>
      <c r="HOM89" s="21"/>
      <c r="HON89" s="21"/>
      <c r="HOO89" s="21"/>
      <c r="HOP89" s="21"/>
      <c r="HOQ89" s="21"/>
      <c r="HOR89" s="21"/>
      <c r="HOS89" s="21"/>
      <c r="HOT89" s="21"/>
      <c r="HOU89" s="21"/>
      <c r="HOV89" s="21"/>
      <c r="HOW89" s="21"/>
      <c r="HOX89" s="21"/>
      <c r="HOY89" s="21"/>
      <c r="HOZ89" s="21"/>
      <c r="HPA89" s="21"/>
      <c r="HPB89" s="21"/>
      <c r="HPC89" s="21"/>
      <c r="HPD89" s="21"/>
      <c r="HPE89" s="21"/>
      <c r="HPF89" s="21"/>
      <c r="HPG89" s="21"/>
      <c r="HPH89" s="21"/>
      <c r="HPI89" s="21"/>
      <c r="HPJ89" s="21"/>
      <c r="HPK89" s="21"/>
      <c r="HPL89" s="21"/>
      <c r="HPM89" s="21"/>
      <c r="HPN89" s="21"/>
      <c r="HPO89" s="21"/>
      <c r="HPP89" s="21"/>
      <c r="HPQ89" s="21"/>
      <c r="HPR89" s="21"/>
      <c r="HPS89" s="21"/>
      <c r="HPT89" s="21"/>
      <c r="HPU89" s="21"/>
      <c r="HPV89" s="21"/>
      <c r="HPW89" s="21"/>
      <c r="HPX89" s="21"/>
      <c r="HPY89" s="21"/>
      <c r="HPZ89" s="21"/>
      <c r="HQA89" s="21"/>
      <c r="HQB89" s="21"/>
      <c r="HQC89" s="21"/>
      <c r="HQD89" s="21"/>
      <c r="HQE89" s="21"/>
      <c r="HQF89" s="21"/>
      <c r="HQG89" s="21"/>
      <c r="HQH89" s="21"/>
      <c r="HQI89" s="21"/>
      <c r="HQJ89" s="21"/>
      <c r="HQK89" s="21"/>
      <c r="HQL89" s="21"/>
      <c r="HQM89" s="21"/>
      <c r="HQN89" s="21"/>
      <c r="HQO89" s="21"/>
      <c r="HQP89" s="21"/>
      <c r="HQQ89" s="21"/>
      <c r="HQR89" s="21"/>
      <c r="HQS89" s="21"/>
      <c r="HQT89" s="21"/>
      <c r="HQU89" s="21"/>
      <c r="HQV89" s="21"/>
      <c r="HQW89" s="21"/>
      <c r="HQX89" s="21"/>
      <c r="HQY89" s="21"/>
      <c r="HQZ89" s="21"/>
      <c r="HRA89" s="21"/>
      <c r="HRB89" s="21"/>
      <c r="HRC89" s="21"/>
      <c r="HRD89" s="21"/>
      <c r="HRE89" s="21"/>
      <c r="HRF89" s="21"/>
      <c r="HRG89" s="21"/>
      <c r="HRH89" s="21"/>
      <c r="HRI89" s="21"/>
      <c r="HRJ89" s="21"/>
      <c r="HRK89" s="21"/>
      <c r="HRL89" s="21"/>
      <c r="HRM89" s="21"/>
      <c r="HRN89" s="21"/>
      <c r="HRO89" s="21"/>
      <c r="HRP89" s="21"/>
      <c r="HRQ89" s="21"/>
      <c r="HRR89" s="21"/>
      <c r="HRS89" s="21"/>
      <c r="HRT89" s="21"/>
      <c r="HRU89" s="21"/>
      <c r="HRV89" s="21"/>
      <c r="HRW89" s="21"/>
      <c r="HRX89" s="21"/>
      <c r="HRY89" s="21"/>
      <c r="HRZ89" s="21"/>
      <c r="HSA89" s="21"/>
      <c r="HSB89" s="21"/>
      <c r="HSC89" s="21"/>
      <c r="HSD89" s="21"/>
      <c r="HSE89" s="21"/>
      <c r="HSF89" s="21"/>
      <c r="HSG89" s="21"/>
      <c r="HSH89" s="21"/>
      <c r="HSI89" s="21"/>
      <c r="HSJ89" s="21"/>
      <c r="HSK89" s="21"/>
      <c r="HSL89" s="21"/>
      <c r="HSM89" s="21"/>
      <c r="HSN89" s="21"/>
      <c r="HSO89" s="21"/>
      <c r="HSP89" s="21"/>
      <c r="HSQ89" s="21"/>
      <c r="HSR89" s="21"/>
      <c r="HSS89" s="21"/>
      <c r="HST89" s="21"/>
      <c r="HSU89" s="21"/>
      <c r="HSV89" s="21"/>
      <c r="HSW89" s="21"/>
      <c r="HSX89" s="21"/>
      <c r="HSY89" s="21"/>
      <c r="HSZ89" s="21"/>
      <c r="HTA89" s="21"/>
      <c r="HTB89" s="21"/>
      <c r="HTC89" s="21"/>
      <c r="HTD89" s="21"/>
      <c r="HTE89" s="21"/>
      <c r="HTF89" s="21"/>
      <c r="HTG89" s="21"/>
      <c r="HTH89" s="21"/>
      <c r="HTI89" s="21"/>
      <c r="HTJ89" s="21"/>
      <c r="HTK89" s="21"/>
      <c r="HTL89" s="21"/>
      <c r="HTM89" s="21"/>
      <c r="HTN89" s="21"/>
      <c r="HTO89" s="21"/>
      <c r="HTP89" s="21"/>
      <c r="HTQ89" s="21"/>
      <c r="HTR89" s="21"/>
      <c r="HTS89" s="21"/>
      <c r="HTT89" s="21"/>
      <c r="HTU89" s="21"/>
      <c r="HTV89" s="21"/>
      <c r="HTW89" s="21"/>
      <c r="HTX89" s="21"/>
      <c r="HTY89" s="21"/>
      <c r="HTZ89" s="21"/>
      <c r="HUA89" s="21"/>
      <c r="HUB89" s="21"/>
      <c r="HUC89" s="21"/>
      <c r="HUD89" s="21"/>
      <c r="HUE89" s="21"/>
      <c r="HUF89" s="21"/>
      <c r="HUG89" s="21"/>
      <c r="HUH89" s="21"/>
      <c r="HUI89" s="21"/>
      <c r="HUJ89" s="21"/>
      <c r="HUK89" s="21"/>
      <c r="HUL89" s="21"/>
      <c r="HUM89" s="21"/>
      <c r="HUN89" s="21"/>
      <c r="HUO89" s="21"/>
      <c r="HUP89" s="21"/>
      <c r="HUQ89" s="21"/>
      <c r="HUR89" s="21"/>
      <c r="HUS89" s="21"/>
      <c r="HUT89" s="21"/>
      <c r="HUU89" s="21"/>
      <c r="HUV89" s="21"/>
      <c r="HUW89" s="21"/>
      <c r="HUX89" s="21"/>
      <c r="HUY89" s="21"/>
      <c r="HUZ89" s="21"/>
      <c r="HVA89" s="21"/>
      <c r="HVB89" s="21"/>
      <c r="HVC89" s="21"/>
      <c r="HVD89" s="21"/>
      <c r="HVE89" s="21"/>
      <c r="HVF89" s="21"/>
      <c r="HVG89" s="21"/>
      <c r="HVH89" s="21"/>
      <c r="HVI89" s="21"/>
      <c r="HVJ89" s="21"/>
      <c r="HVK89" s="21"/>
      <c r="HVL89" s="21"/>
      <c r="HVM89" s="21"/>
      <c r="HVN89" s="21"/>
      <c r="HVO89" s="21"/>
      <c r="HVP89" s="21"/>
      <c r="HVQ89" s="21"/>
      <c r="HVR89" s="21"/>
      <c r="HVS89" s="21"/>
      <c r="HVT89" s="21"/>
      <c r="HVU89" s="21"/>
      <c r="HVV89" s="21"/>
      <c r="HVW89" s="21"/>
      <c r="HVX89" s="21"/>
      <c r="HVY89" s="21"/>
      <c r="HVZ89" s="21"/>
      <c r="HWA89" s="21"/>
      <c r="HWB89" s="21"/>
      <c r="HWC89" s="21"/>
      <c r="HWD89" s="21"/>
      <c r="HWE89" s="21"/>
      <c r="HWF89" s="21"/>
      <c r="HWG89" s="21"/>
      <c r="HWH89" s="21"/>
      <c r="HWI89" s="21"/>
      <c r="HWJ89" s="21"/>
      <c r="HWK89" s="21"/>
      <c r="HWL89" s="21"/>
      <c r="HWM89" s="21"/>
      <c r="HWN89" s="21"/>
      <c r="HWO89" s="21"/>
      <c r="HWP89" s="21"/>
      <c r="HWQ89" s="21"/>
      <c r="HWR89" s="21"/>
      <c r="HWS89" s="21"/>
      <c r="HWT89" s="21"/>
      <c r="HWU89" s="21"/>
      <c r="HWV89" s="21"/>
      <c r="HWW89" s="21"/>
      <c r="HWX89" s="21"/>
      <c r="HWY89" s="21"/>
      <c r="HWZ89" s="21"/>
      <c r="HXA89" s="21"/>
      <c r="HXB89" s="21"/>
      <c r="HXC89" s="21"/>
      <c r="HXD89" s="21"/>
      <c r="HXE89" s="21"/>
      <c r="HXF89" s="21"/>
      <c r="HXG89" s="21"/>
      <c r="HXH89" s="21"/>
      <c r="HXI89" s="21"/>
      <c r="HXJ89" s="21"/>
      <c r="HXK89" s="21"/>
      <c r="HXL89" s="21"/>
      <c r="HXM89" s="21"/>
      <c r="HXN89" s="21"/>
      <c r="HXO89" s="21"/>
      <c r="HXP89" s="21"/>
      <c r="HXQ89" s="21"/>
      <c r="HXR89" s="21"/>
      <c r="HXS89" s="21"/>
      <c r="HXT89" s="21"/>
      <c r="HXU89" s="21"/>
      <c r="HXV89" s="21"/>
      <c r="HXW89" s="21"/>
      <c r="HXX89" s="21"/>
      <c r="HXY89" s="21"/>
      <c r="HXZ89" s="21"/>
      <c r="HYA89" s="21"/>
      <c r="HYB89" s="21"/>
      <c r="HYC89" s="21"/>
      <c r="HYD89" s="21"/>
      <c r="HYE89" s="21"/>
      <c r="HYF89" s="21"/>
      <c r="HYG89" s="21"/>
      <c r="HYH89" s="21"/>
      <c r="HYI89" s="21"/>
      <c r="HYJ89" s="21"/>
      <c r="HYK89" s="21"/>
      <c r="HYL89" s="21"/>
      <c r="HYM89" s="21"/>
      <c r="HYN89" s="21"/>
      <c r="HYO89" s="21"/>
      <c r="HYP89" s="21"/>
      <c r="HYQ89" s="21"/>
      <c r="HYR89" s="21"/>
      <c r="HYS89" s="21"/>
      <c r="HYT89" s="21"/>
      <c r="HYU89" s="21"/>
      <c r="HYV89" s="21"/>
      <c r="HYW89" s="21"/>
      <c r="HYX89" s="21"/>
      <c r="HYY89" s="21"/>
      <c r="HYZ89" s="21"/>
      <c r="HZA89" s="21"/>
      <c r="HZB89" s="21"/>
      <c r="HZC89" s="21"/>
      <c r="HZD89" s="21"/>
      <c r="HZE89" s="21"/>
      <c r="HZF89" s="21"/>
      <c r="HZG89" s="21"/>
      <c r="HZH89" s="21"/>
      <c r="HZI89" s="21"/>
      <c r="HZJ89" s="21"/>
      <c r="HZK89" s="21"/>
      <c r="HZL89" s="21"/>
      <c r="HZM89" s="21"/>
      <c r="HZN89" s="21"/>
      <c r="HZO89" s="21"/>
      <c r="HZP89" s="21"/>
      <c r="HZQ89" s="21"/>
      <c r="HZR89" s="21"/>
      <c r="HZS89" s="21"/>
      <c r="HZT89" s="21"/>
      <c r="HZU89" s="21"/>
      <c r="HZV89" s="21"/>
      <c r="HZW89" s="21"/>
      <c r="HZX89" s="21"/>
      <c r="HZY89" s="21"/>
      <c r="HZZ89" s="21"/>
      <c r="IAA89" s="21"/>
      <c r="IAB89" s="21"/>
      <c r="IAC89" s="21"/>
      <c r="IAD89" s="21"/>
      <c r="IAE89" s="21"/>
      <c r="IAF89" s="21"/>
      <c r="IAG89" s="21"/>
      <c r="IAH89" s="21"/>
      <c r="IAI89" s="21"/>
      <c r="IAJ89" s="21"/>
      <c r="IAK89" s="21"/>
      <c r="IAL89" s="21"/>
      <c r="IAM89" s="21"/>
      <c r="IAN89" s="21"/>
      <c r="IAO89" s="21"/>
      <c r="IAP89" s="21"/>
      <c r="IAQ89" s="21"/>
      <c r="IAR89" s="21"/>
      <c r="IAS89" s="21"/>
      <c r="IAT89" s="21"/>
      <c r="IAU89" s="21"/>
      <c r="IAV89" s="21"/>
      <c r="IAW89" s="21"/>
      <c r="IAX89" s="21"/>
      <c r="IAY89" s="21"/>
      <c r="IAZ89" s="21"/>
      <c r="IBA89" s="21"/>
      <c r="IBB89" s="21"/>
      <c r="IBC89" s="21"/>
      <c r="IBD89" s="21"/>
      <c r="IBE89" s="21"/>
      <c r="IBF89" s="21"/>
      <c r="IBG89" s="21"/>
      <c r="IBH89" s="21"/>
      <c r="IBI89" s="21"/>
      <c r="IBJ89" s="21"/>
      <c r="IBK89" s="21"/>
      <c r="IBL89" s="21"/>
      <c r="IBM89" s="21"/>
      <c r="IBN89" s="21"/>
      <c r="IBO89" s="21"/>
      <c r="IBP89" s="21"/>
      <c r="IBQ89" s="21"/>
      <c r="IBR89" s="21"/>
      <c r="IBS89" s="21"/>
      <c r="IBT89" s="21"/>
      <c r="IBU89" s="21"/>
      <c r="IBV89" s="21"/>
      <c r="IBW89" s="21"/>
      <c r="IBX89" s="21"/>
      <c r="IBY89" s="21"/>
      <c r="IBZ89" s="21"/>
      <c r="ICA89" s="21"/>
      <c r="ICB89" s="21"/>
      <c r="ICC89" s="21"/>
      <c r="ICD89" s="21"/>
      <c r="ICE89" s="21"/>
      <c r="ICF89" s="21"/>
      <c r="ICG89" s="21"/>
      <c r="ICH89" s="21"/>
      <c r="ICI89" s="21"/>
      <c r="ICJ89" s="21"/>
      <c r="ICK89" s="21"/>
      <c r="ICL89" s="21"/>
      <c r="ICM89" s="21"/>
      <c r="ICN89" s="21"/>
      <c r="ICO89" s="21"/>
      <c r="ICP89" s="21"/>
      <c r="ICQ89" s="21"/>
      <c r="ICR89" s="21"/>
      <c r="ICS89" s="21"/>
      <c r="ICT89" s="21"/>
      <c r="ICU89" s="21"/>
      <c r="ICV89" s="21"/>
      <c r="ICW89" s="21"/>
      <c r="ICX89" s="21"/>
      <c r="ICY89" s="21"/>
      <c r="ICZ89" s="21"/>
      <c r="IDA89" s="21"/>
      <c r="IDB89" s="21"/>
      <c r="IDC89" s="21"/>
      <c r="IDD89" s="21"/>
      <c r="IDE89" s="21"/>
      <c r="IDF89" s="21"/>
      <c r="IDG89" s="21"/>
      <c r="IDH89" s="21"/>
      <c r="IDI89" s="21"/>
      <c r="IDJ89" s="21"/>
      <c r="IDK89" s="21"/>
      <c r="IDL89" s="21"/>
      <c r="IDM89" s="21"/>
      <c r="IDN89" s="21"/>
      <c r="IDO89" s="21"/>
      <c r="IDP89" s="21"/>
      <c r="IDQ89" s="21"/>
      <c r="IDR89" s="21"/>
      <c r="IDS89" s="21"/>
      <c r="IDT89" s="21"/>
      <c r="IDU89" s="21"/>
      <c r="IDV89" s="21"/>
      <c r="IDW89" s="21"/>
      <c r="IDX89" s="21"/>
      <c r="IDY89" s="21"/>
      <c r="IDZ89" s="21"/>
      <c r="IEA89" s="21"/>
      <c r="IEB89" s="21"/>
      <c r="IEC89" s="21"/>
      <c r="IED89" s="21"/>
      <c r="IEE89" s="21"/>
      <c r="IEF89" s="21"/>
      <c r="IEG89" s="21"/>
      <c r="IEH89" s="21"/>
      <c r="IEI89" s="21"/>
      <c r="IEJ89" s="21"/>
      <c r="IEK89" s="21"/>
      <c r="IEL89" s="21"/>
      <c r="IEM89" s="21"/>
      <c r="IEN89" s="21"/>
      <c r="IEO89" s="21"/>
      <c r="IEP89" s="21"/>
      <c r="IEQ89" s="21"/>
      <c r="IER89" s="21"/>
      <c r="IES89" s="21"/>
      <c r="IET89" s="21"/>
      <c r="IEU89" s="21"/>
      <c r="IEV89" s="21"/>
      <c r="IEW89" s="21"/>
      <c r="IEX89" s="21"/>
      <c r="IEY89" s="21"/>
      <c r="IEZ89" s="21"/>
      <c r="IFA89" s="21"/>
      <c r="IFB89" s="21"/>
      <c r="IFC89" s="21"/>
      <c r="IFD89" s="21"/>
      <c r="IFE89" s="21"/>
      <c r="IFF89" s="21"/>
      <c r="IFG89" s="21"/>
      <c r="IFH89" s="21"/>
      <c r="IFI89" s="21"/>
      <c r="IFJ89" s="21"/>
      <c r="IFK89" s="21"/>
      <c r="IFL89" s="21"/>
      <c r="IFM89" s="21"/>
      <c r="IFN89" s="21"/>
      <c r="IFO89" s="21"/>
      <c r="IFP89" s="21"/>
      <c r="IFQ89" s="21"/>
      <c r="IFR89" s="21"/>
      <c r="IFS89" s="21"/>
      <c r="IFT89" s="21"/>
      <c r="IFU89" s="21"/>
      <c r="IFV89" s="21"/>
      <c r="IFW89" s="21"/>
      <c r="IFX89" s="21"/>
      <c r="IFY89" s="21"/>
      <c r="IFZ89" s="21"/>
      <c r="IGA89" s="21"/>
      <c r="IGB89" s="21"/>
      <c r="IGC89" s="21"/>
      <c r="IGD89" s="21"/>
      <c r="IGE89" s="21"/>
      <c r="IGF89" s="21"/>
      <c r="IGG89" s="21"/>
      <c r="IGH89" s="21"/>
      <c r="IGI89" s="21"/>
      <c r="IGJ89" s="21"/>
      <c r="IGK89" s="21"/>
      <c r="IGL89" s="21"/>
      <c r="IGM89" s="21"/>
      <c r="IGN89" s="21"/>
      <c r="IGO89" s="21"/>
      <c r="IGP89" s="21"/>
      <c r="IGQ89" s="21"/>
      <c r="IGR89" s="21"/>
      <c r="IGS89" s="21"/>
      <c r="IGT89" s="21"/>
      <c r="IGU89" s="21"/>
      <c r="IGV89" s="21"/>
      <c r="IGW89" s="21"/>
      <c r="IGX89" s="21"/>
      <c r="IGY89" s="21"/>
      <c r="IGZ89" s="21"/>
      <c r="IHA89" s="21"/>
      <c r="IHB89" s="21"/>
      <c r="IHC89" s="21"/>
      <c r="IHD89" s="21"/>
      <c r="IHE89" s="21"/>
      <c r="IHF89" s="21"/>
      <c r="IHG89" s="21"/>
      <c r="IHH89" s="21"/>
      <c r="IHI89" s="21"/>
      <c r="IHJ89" s="21"/>
      <c r="IHK89" s="21"/>
      <c r="IHL89" s="21"/>
      <c r="IHM89" s="21"/>
      <c r="IHN89" s="21"/>
      <c r="IHO89" s="21"/>
      <c r="IHP89" s="21"/>
      <c r="IHQ89" s="21"/>
      <c r="IHR89" s="21"/>
      <c r="IHS89" s="21"/>
      <c r="IHT89" s="21"/>
      <c r="IHU89" s="21"/>
      <c r="IHV89" s="21"/>
      <c r="IHW89" s="21"/>
      <c r="IHX89" s="21"/>
      <c r="IHY89" s="21"/>
      <c r="IHZ89" s="21"/>
      <c r="IIA89" s="21"/>
      <c r="IIB89" s="21"/>
      <c r="IIC89" s="21"/>
      <c r="IID89" s="21"/>
      <c r="IIE89" s="21"/>
      <c r="IIF89" s="21"/>
      <c r="IIG89" s="21"/>
      <c r="IIH89" s="21"/>
      <c r="III89" s="21"/>
      <c r="IIJ89" s="21"/>
      <c r="IIK89" s="21"/>
      <c r="IIL89" s="21"/>
      <c r="IIM89" s="21"/>
      <c r="IIN89" s="21"/>
      <c r="IIO89" s="21"/>
      <c r="IIP89" s="21"/>
      <c r="IIQ89" s="21"/>
      <c r="IIR89" s="21"/>
      <c r="IIS89" s="21"/>
      <c r="IIT89" s="21"/>
      <c r="IIU89" s="21"/>
      <c r="IIV89" s="21"/>
      <c r="IIW89" s="21"/>
      <c r="IIX89" s="21"/>
      <c r="IIY89" s="21"/>
      <c r="IIZ89" s="21"/>
      <c r="IJA89" s="21"/>
      <c r="IJB89" s="21"/>
      <c r="IJC89" s="21"/>
      <c r="IJD89" s="21"/>
      <c r="IJE89" s="21"/>
      <c r="IJF89" s="21"/>
      <c r="IJG89" s="21"/>
      <c r="IJH89" s="21"/>
      <c r="IJI89" s="21"/>
      <c r="IJJ89" s="21"/>
      <c r="IJK89" s="21"/>
      <c r="IJL89" s="21"/>
      <c r="IJM89" s="21"/>
      <c r="IJN89" s="21"/>
      <c r="IJO89" s="21"/>
      <c r="IJP89" s="21"/>
      <c r="IJQ89" s="21"/>
      <c r="IJR89" s="21"/>
      <c r="IJS89" s="21"/>
      <c r="IJT89" s="21"/>
      <c r="IJU89" s="21"/>
      <c r="IJV89" s="21"/>
      <c r="IJW89" s="21"/>
      <c r="IJX89" s="21"/>
      <c r="IJY89" s="21"/>
      <c r="IJZ89" s="21"/>
      <c r="IKA89" s="21"/>
      <c r="IKB89" s="21"/>
      <c r="IKC89" s="21"/>
      <c r="IKD89" s="21"/>
      <c r="IKE89" s="21"/>
      <c r="IKF89" s="21"/>
      <c r="IKG89" s="21"/>
      <c r="IKH89" s="21"/>
      <c r="IKI89" s="21"/>
      <c r="IKJ89" s="21"/>
      <c r="IKK89" s="21"/>
      <c r="IKL89" s="21"/>
      <c r="IKM89" s="21"/>
      <c r="IKN89" s="21"/>
      <c r="IKO89" s="21"/>
      <c r="IKP89" s="21"/>
      <c r="IKQ89" s="21"/>
      <c r="IKR89" s="21"/>
      <c r="IKS89" s="21"/>
      <c r="IKT89" s="21"/>
      <c r="IKU89" s="21"/>
      <c r="IKV89" s="21"/>
      <c r="IKW89" s="21"/>
      <c r="IKX89" s="21"/>
      <c r="IKY89" s="21"/>
      <c r="IKZ89" s="21"/>
      <c r="ILA89" s="21"/>
      <c r="ILB89" s="21"/>
      <c r="ILC89" s="21"/>
      <c r="ILD89" s="21"/>
      <c r="ILE89" s="21"/>
      <c r="ILF89" s="21"/>
      <c r="ILG89" s="21"/>
      <c r="ILH89" s="21"/>
      <c r="ILI89" s="21"/>
      <c r="ILJ89" s="21"/>
      <c r="ILK89" s="21"/>
      <c r="ILL89" s="21"/>
      <c r="ILM89" s="21"/>
      <c r="ILN89" s="21"/>
      <c r="ILO89" s="21"/>
      <c r="ILP89" s="21"/>
      <c r="ILQ89" s="21"/>
      <c r="ILR89" s="21"/>
      <c r="ILS89" s="21"/>
      <c r="ILT89" s="21"/>
      <c r="ILU89" s="21"/>
      <c r="ILV89" s="21"/>
      <c r="ILW89" s="21"/>
      <c r="ILX89" s="21"/>
      <c r="ILY89" s="21"/>
      <c r="ILZ89" s="21"/>
      <c r="IMA89" s="21"/>
      <c r="IMB89" s="21"/>
      <c r="IMC89" s="21"/>
      <c r="IMD89" s="21"/>
      <c r="IME89" s="21"/>
      <c r="IMF89" s="21"/>
      <c r="IMG89" s="21"/>
      <c r="IMH89" s="21"/>
      <c r="IMI89" s="21"/>
      <c r="IMJ89" s="21"/>
      <c r="IMK89" s="21"/>
      <c r="IML89" s="21"/>
      <c r="IMM89" s="21"/>
      <c r="IMN89" s="21"/>
      <c r="IMO89" s="21"/>
      <c r="IMP89" s="21"/>
      <c r="IMQ89" s="21"/>
      <c r="IMR89" s="21"/>
      <c r="IMS89" s="21"/>
      <c r="IMT89" s="21"/>
      <c r="IMU89" s="21"/>
      <c r="IMV89" s="21"/>
      <c r="IMW89" s="21"/>
      <c r="IMX89" s="21"/>
      <c r="IMY89" s="21"/>
      <c r="IMZ89" s="21"/>
      <c r="INA89" s="21"/>
      <c r="INB89" s="21"/>
      <c r="INC89" s="21"/>
      <c r="IND89" s="21"/>
      <c r="INE89" s="21"/>
      <c r="INF89" s="21"/>
      <c r="ING89" s="21"/>
      <c r="INH89" s="21"/>
      <c r="INI89" s="21"/>
      <c r="INJ89" s="21"/>
      <c r="INK89" s="21"/>
      <c r="INL89" s="21"/>
      <c r="INM89" s="21"/>
      <c r="INN89" s="21"/>
      <c r="INO89" s="21"/>
      <c r="INP89" s="21"/>
      <c r="INQ89" s="21"/>
      <c r="INR89" s="21"/>
      <c r="INS89" s="21"/>
      <c r="INT89" s="21"/>
      <c r="INU89" s="21"/>
      <c r="INV89" s="21"/>
      <c r="INW89" s="21"/>
      <c r="INX89" s="21"/>
      <c r="INY89" s="21"/>
      <c r="INZ89" s="21"/>
      <c r="IOA89" s="21"/>
      <c r="IOB89" s="21"/>
      <c r="IOC89" s="21"/>
      <c r="IOD89" s="21"/>
      <c r="IOE89" s="21"/>
      <c r="IOF89" s="21"/>
      <c r="IOG89" s="21"/>
      <c r="IOH89" s="21"/>
      <c r="IOI89" s="21"/>
      <c r="IOJ89" s="21"/>
      <c r="IOK89" s="21"/>
      <c r="IOL89" s="21"/>
      <c r="IOM89" s="21"/>
      <c r="ION89" s="21"/>
      <c r="IOO89" s="21"/>
      <c r="IOP89" s="21"/>
      <c r="IOQ89" s="21"/>
      <c r="IOR89" s="21"/>
      <c r="IOS89" s="21"/>
      <c r="IOT89" s="21"/>
      <c r="IOU89" s="21"/>
      <c r="IOV89" s="21"/>
      <c r="IOW89" s="21"/>
      <c r="IOX89" s="21"/>
      <c r="IOY89" s="21"/>
      <c r="IOZ89" s="21"/>
      <c r="IPA89" s="21"/>
      <c r="IPB89" s="21"/>
      <c r="IPC89" s="21"/>
      <c r="IPD89" s="21"/>
      <c r="IPE89" s="21"/>
      <c r="IPF89" s="21"/>
      <c r="IPG89" s="21"/>
      <c r="IPH89" s="21"/>
      <c r="IPI89" s="21"/>
      <c r="IPJ89" s="21"/>
      <c r="IPK89" s="21"/>
      <c r="IPL89" s="21"/>
      <c r="IPM89" s="21"/>
      <c r="IPN89" s="21"/>
      <c r="IPO89" s="21"/>
      <c r="IPP89" s="21"/>
      <c r="IPQ89" s="21"/>
      <c r="IPR89" s="21"/>
      <c r="IPS89" s="21"/>
      <c r="IPT89" s="21"/>
      <c r="IPU89" s="21"/>
      <c r="IPV89" s="21"/>
      <c r="IPW89" s="21"/>
      <c r="IPX89" s="21"/>
      <c r="IPY89" s="21"/>
      <c r="IPZ89" s="21"/>
      <c r="IQA89" s="21"/>
      <c r="IQB89" s="21"/>
      <c r="IQC89" s="21"/>
      <c r="IQD89" s="21"/>
      <c r="IQE89" s="21"/>
      <c r="IQF89" s="21"/>
      <c r="IQG89" s="21"/>
      <c r="IQH89" s="21"/>
      <c r="IQI89" s="21"/>
      <c r="IQJ89" s="21"/>
      <c r="IQK89" s="21"/>
      <c r="IQL89" s="21"/>
      <c r="IQM89" s="21"/>
      <c r="IQN89" s="21"/>
      <c r="IQO89" s="21"/>
      <c r="IQP89" s="21"/>
      <c r="IQQ89" s="21"/>
      <c r="IQR89" s="21"/>
      <c r="IQS89" s="21"/>
      <c r="IQT89" s="21"/>
      <c r="IQU89" s="21"/>
      <c r="IQV89" s="21"/>
      <c r="IQW89" s="21"/>
      <c r="IQX89" s="21"/>
      <c r="IQY89" s="21"/>
      <c r="IQZ89" s="21"/>
      <c r="IRA89" s="21"/>
      <c r="IRB89" s="21"/>
      <c r="IRC89" s="21"/>
      <c r="IRD89" s="21"/>
      <c r="IRE89" s="21"/>
      <c r="IRF89" s="21"/>
      <c r="IRG89" s="21"/>
      <c r="IRH89" s="21"/>
      <c r="IRI89" s="21"/>
      <c r="IRJ89" s="21"/>
      <c r="IRK89" s="21"/>
      <c r="IRL89" s="21"/>
      <c r="IRM89" s="21"/>
      <c r="IRN89" s="21"/>
      <c r="IRO89" s="21"/>
      <c r="IRP89" s="21"/>
      <c r="IRQ89" s="21"/>
      <c r="IRR89" s="21"/>
      <c r="IRS89" s="21"/>
      <c r="IRT89" s="21"/>
      <c r="IRU89" s="21"/>
      <c r="IRV89" s="21"/>
      <c r="IRW89" s="21"/>
      <c r="IRX89" s="21"/>
      <c r="IRY89" s="21"/>
      <c r="IRZ89" s="21"/>
      <c r="ISA89" s="21"/>
      <c r="ISB89" s="21"/>
      <c r="ISC89" s="21"/>
      <c r="ISD89" s="21"/>
      <c r="ISE89" s="21"/>
      <c r="ISF89" s="21"/>
      <c r="ISG89" s="21"/>
      <c r="ISH89" s="21"/>
      <c r="ISI89" s="21"/>
      <c r="ISJ89" s="21"/>
      <c r="ISK89" s="21"/>
      <c r="ISL89" s="21"/>
      <c r="ISM89" s="21"/>
      <c r="ISN89" s="21"/>
      <c r="ISO89" s="21"/>
      <c r="ISP89" s="21"/>
      <c r="ISQ89" s="21"/>
      <c r="ISR89" s="21"/>
      <c r="ISS89" s="21"/>
      <c r="IST89" s="21"/>
      <c r="ISU89" s="21"/>
      <c r="ISV89" s="21"/>
      <c r="ISW89" s="21"/>
      <c r="ISX89" s="21"/>
      <c r="ISY89" s="21"/>
      <c r="ISZ89" s="21"/>
      <c r="ITA89" s="21"/>
      <c r="ITB89" s="21"/>
      <c r="ITC89" s="21"/>
      <c r="ITD89" s="21"/>
      <c r="ITE89" s="21"/>
      <c r="ITF89" s="21"/>
      <c r="ITG89" s="21"/>
      <c r="ITH89" s="21"/>
      <c r="ITI89" s="21"/>
      <c r="ITJ89" s="21"/>
      <c r="ITK89" s="21"/>
      <c r="ITL89" s="21"/>
      <c r="ITM89" s="21"/>
      <c r="ITN89" s="21"/>
      <c r="ITO89" s="21"/>
      <c r="ITP89" s="21"/>
      <c r="ITQ89" s="21"/>
      <c r="ITR89" s="21"/>
      <c r="ITS89" s="21"/>
      <c r="ITT89" s="21"/>
      <c r="ITU89" s="21"/>
      <c r="ITV89" s="21"/>
      <c r="ITW89" s="21"/>
      <c r="ITX89" s="21"/>
      <c r="ITY89" s="21"/>
      <c r="ITZ89" s="21"/>
      <c r="IUA89" s="21"/>
      <c r="IUB89" s="21"/>
      <c r="IUC89" s="21"/>
      <c r="IUD89" s="21"/>
      <c r="IUE89" s="21"/>
      <c r="IUF89" s="21"/>
      <c r="IUG89" s="21"/>
      <c r="IUH89" s="21"/>
      <c r="IUI89" s="21"/>
      <c r="IUJ89" s="21"/>
      <c r="IUK89" s="21"/>
      <c r="IUL89" s="21"/>
      <c r="IUM89" s="21"/>
      <c r="IUN89" s="21"/>
      <c r="IUO89" s="21"/>
      <c r="IUP89" s="21"/>
      <c r="IUQ89" s="21"/>
      <c r="IUR89" s="21"/>
      <c r="IUS89" s="21"/>
      <c r="IUT89" s="21"/>
      <c r="IUU89" s="21"/>
      <c r="IUV89" s="21"/>
      <c r="IUW89" s="21"/>
      <c r="IUX89" s="21"/>
      <c r="IUY89" s="21"/>
      <c r="IUZ89" s="21"/>
      <c r="IVA89" s="21"/>
      <c r="IVB89" s="21"/>
      <c r="IVC89" s="21"/>
      <c r="IVD89" s="21"/>
      <c r="IVE89" s="21"/>
      <c r="IVF89" s="21"/>
      <c r="IVG89" s="21"/>
      <c r="IVH89" s="21"/>
      <c r="IVI89" s="21"/>
      <c r="IVJ89" s="21"/>
      <c r="IVK89" s="21"/>
      <c r="IVL89" s="21"/>
      <c r="IVM89" s="21"/>
      <c r="IVN89" s="21"/>
      <c r="IVO89" s="21"/>
      <c r="IVP89" s="21"/>
      <c r="IVQ89" s="21"/>
      <c r="IVR89" s="21"/>
      <c r="IVS89" s="21"/>
      <c r="IVT89" s="21"/>
      <c r="IVU89" s="21"/>
      <c r="IVV89" s="21"/>
      <c r="IVW89" s="21"/>
      <c r="IVX89" s="21"/>
      <c r="IVY89" s="21"/>
      <c r="IVZ89" s="21"/>
      <c r="IWA89" s="21"/>
      <c r="IWB89" s="21"/>
      <c r="IWC89" s="21"/>
      <c r="IWD89" s="21"/>
      <c r="IWE89" s="21"/>
      <c r="IWF89" s="21"/>
      <c r="IWG89" s="21"/>
      <c r="IWH89" s="21"/>
      <c r="IWI89" s="21"/>
      <c r="IWJ89" s="21"/>
      <c r="IWK89" s="21"/>
      <c r="IWL89" s="21"/>
      <c r="IWM89" s="21"/>
      <c r="IWN89" s="21"/>
      <c r="IWO89" s="21"/>
      <c r="IWP89" s="21"/>
      <c r="IWQ89" s="21"/>
      <c r="IWR89" s="21"/>
      <c r="IWS89" s="21"/>
      <c r="IWT89" s="21"/>
      <c r="IWU89" s="21"/>
      <c r="IWV89" s="21"/>
      <c r="IWW89" s="21"/>
      <c r="IWX89" s="21"/>
      <c r="IWY89" s="21"/>
      <c r="IWZ89" s="21"/>
      <c r="IXA89" s="21"/>
      <c r="IXB89" s="21"/>
      <c r="IXC89" s="21"/>
      <c r="IXD89" s="21"/>
      <c r="IXE89" s="21"/>
      <c r="IXF89" s="21"/>
      <c r="IXG89" s="21"/>
      <c r="IXH89" s="21"/>
      <c r="IXI89" s="21"/>
      <c r="IXJ89" s="21"/>
      <c r="IXK89" s="21"/>
      <c r="IXL89" s="21"/>
      <c r="IXM89" s="21"/>
      <c r="IXN89" s="21"/>
      <c r="IXO89" s="21"/>
      <c r="IXP89" s="21"/>
      <c r="IXQ89" s="21"/>
      <c r="IXR89" s="21"/>
      <c r="IXS89" s="21"/>
      <c r="IXT89" s="21"/>
      <c r="IXU89" s="21"/>
      <c r="IXV89" s="21"/>
      <c r="IXW89" s="21"/>
      <c r="IXX89" s="21"/>
      <c r="IXY89" s="21"/>
      <c r="IXZ89" s="21"/>
      <c r="IYA89" s="21"/>
      <c r="IYB89" s="21"/>
      <c r="IYC89" s="21"/>
      <c r="IYD89" s="21"/>
      <c r="IYE89" s="21"/>
      <c r="IYF89" s="21"/>
      <c r="IYG89" s="21"/>
      <c r="IYH89" s="21"/>
      <c r="IYI89" s="21"/>
      <c r="IYJ89" s="21"/>
      <c r="IYK89" s="21"/>
      <c r="IYL89" s="21"/>
      <c r="IYM89" s="21"/>
      <c r="IYN89" s="21"/>
      <c r="IYO89" s="21"/>
      <c r="IYP89" s="21"/>
      <c r="IYQ89" s="21"/>
      <c r="IYR89" s="21"/>
      <c r="IYS89" s="21"/>
      <c r="IYT89" s="21"/>
      <c r="IYU89" s="21"/>
      <c r="IYV89" s="21"/>
      <c r="IYW89" s="21"/>
      <c r="IYX89" s="21"/>
      <c r="IYY89" s="21"/>
      <c r="IYZ89" s="21"/>
      <c r="IZA89" s="21"/>
      <c r="IZB89" s="21"/>
      <c r="IZC89" s="21"/>
      <c r="IZD89" s="21"/>
      <c r="IZE89" s="21"/>
      <c r="IZF89" s="21"/>
      <c r="IZG89" s="21"/>
      <c r="IZH89" s="21"/>
      <c r="IZI89" s="21"/>
      <c r="IZJ89" s="21"/>
      <c r="IZK89" s="21"/>
      <c r="IZL89" s="21"/>
      <c r="IZM89" s="21"/>
      <c r="IZN89" s="21"/>
      <c r="IZO89" s="21"/>
      <c r="IZP89" s="21"/>
      <c r="IZQ89" s="21"/>
      <c r="IZR89" s="21"/>
      <c r="IZS89" s="21"/>
      <c r="IZT89" s="21"/>
      <c r="IZU89" s="21"/>
      <c r="IZV89" s="21"/>
      <c r="IZW89" s="21"/>
      <c r="IZX89" s="21"/>
      <c r="IZY89" s="21"/>
      <c r="IZZ89" s="21"/>
      <c r="JAA89" s="21"/>
      <c r="JAB89" s="21"/>
      <c r="JAC89" s="21"/>
      <c r="JAD89" s="21"/>
      <c r="JAE89" s="21"/>
      <c r="JAF89" s="21"/>
      <c r="JAG89" s="21"/>
      <c r="JAH89" s="21"/>
      <c r="JAI89" s="21"/>
      <c r="JAJ89" s="21"/>
      <c r="JAK89" s="21"/>
      <c r="JAL89" s="21"/>
      <c r="JAM89" s="21"/>
      <c r="JAN89" s="21"/>
      <c r="JAO89" s="21"/>
      <c r="JAP89" s="21"/>
      <c r="JAQ89" s="21"/>
      <c r="JAR89" s="21"/>
      <c r="JAS89" s="21"/>
      <c r="JAT89" s="21"/>
      <c r="JAU89" s="21"/>
      <c r="JAV89" s="21"/>
      <c r="JAW89" s="21"/>
      <c r="JAX89" s="21"/>
      <c r="JAY89" s="21"/>
      <c r="JAZ89" s="21"/>
      <c r="JBA89" s="21"/>
      <c r="JBB89" s="21"/>
      <c r="JBC89" s="21"/>
      <c r="JBD89" s="21"/>
      <c r="JBE89" s="21"/>
      <c r="JBF89" s="21"/>
      <c r="JBG89" s="21"/>
      <c r="JBH89" s="21"/>
      <c r="JBI89" s="21"/>
      <c r="JBJ89" s="21"/>
      <c r="JBK89" s="21"/>
      <c r="JBL89" s="21"/>
      <c r="JBM89" s="21"/>
      <c r="JBN89" s="21"/>
      <c r="JBO89" s="21"/>
      <c r="JBP89" s="21"/>
      <c r="JBQ89" s="21"/>
      <c r="JBR89" s="21"/>
      <c r="JBS89" s="21"/>
      <c r="JBT89" s="21"/>
      <c r="JBU89" s="21"/>
      <c r="JBV89" s="21"/>
      <c r="JBW89" s="21"/>
      <c r="JBX89" s="21"/>
      <c r="JBY89" s="21"/>
      <c r="JBZ89" s="21"/>
      <c r="JCA89" s="21"/>
      <c r="JCB89" s="21"/>
      <c r="JCC89" s="21"/>
      <c r="JCD89" s="21"/>
      <c r="JCE89" s="21"/>
      <c r="JCF89" s="21"/>
      <c r="JCG89" s="21"/>
      <c r="JCH89" s="21"/>
      <c r="JCI89" s="21"/>
      <c r="JCJ89" s="21"/>
      <c r="JCK89" s="21"/>
      <c r="JCL89" s="21"/>
      <c r="JCM89" s="21"/>
      <c r="JCN89" s="21"/>
      <c r="JCO89" s="21"/>
      <c r="JCP89" s="21"/>
      <c r="JCQ89" s="21"/>
      <c r="JCR89" s="21"/>
      <c r="JCS89" s="21"/>
      <c r="JCT89" s="21"/>
      <c r="JCU89" s="21"/>
      <c r="JCV89" s="21"/>
      <c r="JCW89" s="21"/>
      <c r="JCX89" s="21"/>
      <c r="JCY89" s="21"/>
      <c r="JCZ89" s="21"/>
      <c r="JDA89" s="21"/>
      <c r="JDB89" s="21"/>
      <c r="JDC89" s="21"/>
      <c r="JDD89" s="21"/>
      <c r="JDE89" s="21"/>
      <c r="JDF89" s="21"/>
      <c r="JDG89" s="21"/>
      <c r="JDH89" s="21"/>
      <c r="JDI89" s="21"/>
      <c r="JDJ89" s="21"/>
      <c r="JDK89" s="21"/>
      <c r="JDL89" s="21"/>
      <c r="JDM89" s="21"/>
      <c r="JDN89" s="21"/>
      <c r="JDO89" s="21"/>
      <c r="JDP89" s="21"/>
      <c r="JDQ89" s="21"/>
      <c r="JDR89" s="21"/>
      <c r="JDS89" s="21"/>
      <c r="JDT89" s="21"/>
      <c r="JDU89" s="21"/>
      <c r="JDV89" s="21"/>
      <c r="JDW89" s="21"/>
      <c r="JDX89" s="21"/>
      <c r="JDY89" s="21"/>
      <c r="JDZ89" s="21"/>
      <c r="JEA89" s="21"/>
      <c r="JEB89" s="21"/>
      <c r="JEC89" s="21"/>
      <c r="JED89" s="21"/>
      <c r="JEE89" s="21"/>
      <c r="JEF89" s="21"/>
      <c r="JEG89" s="21"/>
      <c r="JEH89" s="21"/>
      <c r="JEI89" s="21"/>
      <c r="JEJ89" s="21"/>
      <c r="JEK89" s="21"/>
      <c r="JEL89" s="21"/>
      <c r="JEM89" s="21"/>
      <c r="JEN89" s="21"/>
      <c r="JEO89" s="21"/>
      <c r="JEP89" s="21"/>
      <c r="JEQ89" s="21"/>
      <c r="JER89" s="21"/>
      <c r="JES89" s="21"/>
      <c r="JET89" s="21"/>
      <c r="JEU89" s="21"/>
      <c r="JEV89" s="21"/>
      <c r="JEW89" s="21"/>
      <c r="JEX89" s="21"/>
      <c r="JEY89" s="21"/>
      <c r="JEZ89" s="21"/>
      <c r="JFA89" s="21"/>
      <c r="JFB89" s="21"/>
      <c r="JFC89" s="21"/>
      <c r="JFD89" s="21"/>
      <c r="JFE89" s="21"/>
      <c r="JFF89" s="21"/>
      <c r="JFG89" s="21"/>
      <c r="JFH89" s="21"/>
      <c r="JFI89" s="21"/>
      <c r="JFJ89" s="21"/>
      <c r="JFK89" s="21"/>
      <c r="JFL89" s="21"/>
      <c r="JFM89" s="21"/>
      <c r="JFN89" s="21"/>
      <c r="JFO89" s="21"/>
      <c r="JFP89" s="21"/>
      <c r="JFQ89" s="21"/>
      <c r="JFR89" s="21"/>
      <c r="JFS89" s="21"/>
      <c r="JFT89" s="21"/>
      <c r="JFU89" s="21"/>
      <c r="JFV89" s="21"/>
      <c r="JFW89" s="21"/>
      <c r="JFX89" s="21"/>
      <c r="JFY89" s="21"/>
      <c r="JFZ89" s="21"/>
      <c r="JGA89" s="21"/>
      <c r="JGB89" s="21"/>
      <c r="JGC89" s="21"/>
      <c r="JGD89" s="21"/>
      <c r="JGE89" s="21"/>
      <c r="JGF89" s="21"/>
      <c r="JGG89" s="21"/>
      <c r="JGH89" s="21"/>
      <c r="JGI89" s="21"/>
      <c r="JGJ89" s="21"/>
      <c r="JGK89" s="21"/>
      <c r="JGL89" s="21"/>
      <c r="JGM89" s="21"/>
      <c r="JGN89" s="21"/>
      <c r="JGO89" s="21"/>
      <c r="JGP89" s="21"/>
      <c r="JGQ89" s="21"/>
      <c r="JGR89" s="21"/>
      <c r="JGS89" s="21"/>
      <c r="JGT89" s="21"/>
      <c r="JGU89" s="21"/>
      <c r="JGV89" s="21"/>
      <c r="JGW89" s="21"/>
      <c r="JGX89" s="21"/>
      <c r="JGY89" s="21"/>
      <c r="JGZ89" s="21"/>
      <c r="JHA89" s="21"/>
      <c r="JHB89" s="21"/>
      <c r="JHC89" s="21"/>
      <c r="JHD89" s="21"/>
      <c r="JHE89" s="21"/>
      <c r="JHF89" s="21"/>
      <c r="JHG89" s="21"/>
      <c r="JHH89" s="21"/>
      <c r="JHI89" s="21"/>
      <c r="JHJ89" s="21"/>
      <c r="JHK89" s="21"/>
      <c r="JHL89" s="21"/>
      <c r="JHM89" s="21"/>
      <c r="JHN89" s="21"/>
      <c r="JHO89" s="21"/>
      <c r="JHP89" s="21"/>
      <c r="JHQ89" s="21"/>
      <c r="JHR89" s="21"/>
      <c r="JHS89" s="21"/>
      <c r="JHT89" s="21"/>
      <c r="JHU89" s="21"/>
      <c r="JHV89" s="21"/>
      <c r="JHW89" s="21"/>
      <c r="JHX89" s="21"/>
      <c r="JHY89" s="21"/>
      <c r="JHZ89" s="21"/>
      <c r="JIA89" s="21"/>
      <c r="JIB89" s="21"/>
      <c r="JIC89" s="21"/>
      <c r="JID89" s="21"/>
      <c r="JIE89" s="21"/>
      <c r="JIF89" s="21"/>
      <c r="JIG89" s="21"/>
      <c r="JIH89" s="21"/>
      <c r="JII89" s="21"/>
      <c r="JIJ89" s="21"/>
      <c r="JIK89" s="21"/>
      <c r="JIL89" s="21"/>
      <c r="JIM89" s="21"/>
      <c r="JIN89" s="21"/>
      <c r="JIO89" s="21"/>
      <c r="JIP89" s="21"/>
      <c r="JIQ89" s="21"/>
      <c r="JIR89" s="21"/>
      <c r="JIS89" s="21"/>
      <c r="JIT89" s="21"/>
      <c r="JIU89" s="21"/>
      <c r="JIV89" s="21"/>
      <c r="JIW89" s="21"/>
      <c r="JIX89" s="21"/>
      <c r="JIY89" s="21"/>
      <c r="JIZ89" s="21"/>
      <c r="JJA89" s="21"/>
      <c r="JJB89" s="21"/>
      <c r="JJC89" s="21"/>
      <c r="JJD89" s="21"/>
      <c r="JJE89" s="21"/>
      <c r="JJF89" s="21"/>
      <c r="JJG89" s="21"/>
      <c r="JJH89" s="21"/>
      <c r="JJI89" s="21"/>
      <c r="JJJ89" s="21"/>
      <c r="JJK89" s="21"/>
      <c r="JJL89" s="21"/>
      <c r="JJM89" s="21"/>
      <c r="JJN89" s="21"/>
      <c r="JJO89" s="21"/>
      <c r="JJP89" s="21"/>
      <c r="JJQ89" s="21"/>
      <c r="JJR89" s="21"/>
      <c r="JJS89" s="21"/>
      <c r="JJT89" s="21"/>
      <c r="JJU89" s="21"/>
      <c r="JJV89" s="21"/>
      <c r="JJW89" s="21"/>
      <c r="JJX89" s="21"/>
      <c r="JJY89" s="21"/>
      <c r="JJZ89" s="21"/>
      <c r="JKA89" s="21"/>
      <c r="JKB89" s="21"/>
      <c r="JKC89" s="21"/>
      <c r="JKD89" s="21"/>
      <c r="JKE89" s="21"/>
      <c r="JKF89" s="21"/>
      <c r="JKG89" s="21"/>
      <c r="JKH89" s="21"/>
      <c r="JKI89" s="21"/>
      <c r="JKJ89" s="21"/>
      <c r="JKK89" s="21"/>
      <c r="JKL89" s="21"/>
      <c r="JKM89" s="21"/>
      <c r="JKN89" s="21"/>
      <c r="JKO89" s="21"/>
      <c r="JKP89" s="21"/>
      <c r="JKQ89" s="21"/>
      <c r="JKR89" s="21"/>
      <c r="JKS89" s="21"/>
      <c r="JKT89" s="21"/>
      <c r="JKU89" s="21"/>
      <c r="JKV89" s="21"/>
      <c r="JKW89" s="21"/>
      <c r="JKX89" s="21"/>
      <c r="JKY89" s="21"/>
      <c r="JKZ89" s="21"/>
      <c r="JLA89" s="21"/>
      <c r="JLB89" s="21"/>
      <c r="JLC89" s="21"/>
      <c r="JLD89" s="21"/>
      <c r="JLE89" s="21"/>
      <c r="JLF89" s="21"/>
      <c r="JLG89" s="21"/>
      <c r="JLH89" s="21"/>
      <c r="JLI89" s="21"/>
      <c r="JLJ89" s="21"/>
      <c r="JLK89" s="21"/>
      <c r="JLL89" s="21"/>
      <c r="JLM89" s="21"/>
      <c r="JLN89" s="21"/>
      <c r="JLO89" s="21"/>
      <c r="JLP89" s="21"/>
      <c r="JLQ89" s="21"/>
      <c r="JLR89" s="21"/>
      <c r="JLS89" s="21"/>
      <c r="JLT89" s="21"/>
      <c r="JLU89" s="21"/>
      <c r="JLV89" s="21"/>
      <c r="JLW89" s="21"/>
      <c r="JLX89" s="21"/>
      <c r="JLY89" s="21"/>
      <c r="JLZ89" s="21"/>
      <c r="JMA89" s="21"/>
      <c r="JMB89" s="21"/>
      <c r="JMC89" s="21"/>
      <c r="JMD89" s="21"/>
      <c r="JME89" s="21"/>
      <c r="JMF89" s="21"/>
      <c r="JMG89" s="21"/>
      <c r="JMH89" s="21"/>
      <c r="JMI89" s="21"/>
      <c r="JMJ89" s="21"/>
      <c r="JMK89" s="21"/>
      <c r="JML89" s="21"/>
      <c r="JMM89" s="21"/>
      <c r="JMN89" s="21"/>
      <c r="JMO89" s="21"/>
      <c r="JMP89" s="21"/>
      <c r="JMQ89" s="21"/>
      <c r="JMR89" s="21"/>
      <c r="JMS89" s="21"/>
      <c r="JMT89" s="21"/>
      <c r="JMU89" s="21"/>
      <c r="JMV89" s="21"/>
      <c r="JMW89" s="21"/>
      <c r="JMX89" s="21"/>
      <c r="JMY89" s="21"/>
      <c r="JMZ89" s="21"/>
      <c r="JNA89" s="21"/>
      <c r="JNB89" s="21"/>
      <c r="JNC89" s="21"/>
      <c r="JND89" s="21"/>
      <c r="JNE89" s="21"/>
      <c r="JNF89" s="21"/>
      <c r="JNG89" s="21"/>
      <c r="JNH89" s="21"/>
      <c r="JNI89" s="21"/>
      <c r="JNJ89" s="21"/>
      <c r="JNK89" s="21"/>
      <c r="JNL89" s="21"/>
      <c r="JNM89" s="21"/>
      <c r="JNN89" s="21"/>
      <c r="JNO89" s="21"/>
      <c r="JNP89" s="21"/>
      <c r="JNQ89" s="21"/>
      <c r="JNR89" s="21"/>
      <c r="JNS89" s="21"/>
      <c r="JNT89" s="21"/>
      <c r="JNU89" s="21"/>
      <c r="JNV89" s="21"/>
      <c r="JNW89" s="21"/>
      <c r="JNX89" s="21"/>
      <c r="JNY89" s="21"/>
      <c r="JNZ89" s="21"/>
      <c r="JOA89" s="21"/>
      <c r="JOB89" s="21"/>
      <c r="JOC89" s="21"/>
      <c r="JOD89" s="21"/>
      <c r="JOE89" s="21"/>
      <c r="JOF89" s="21"/>
      <c r="JOG89" s="21"/>
      <c r="JOH89" s="21"/>
      <c r="JOI89" s="21"/>
      <c r="JOJ89" s="21"/>
      <c r="JOK89" s="21"/>
      <c r="JOL89" s="21"/>
      <c r="JOM89" s="21"/>
      <c r="JON89" s="21"/>
      <c r="JOO89" s="21"/>
      <c r="JOP89" s="21"/>
      <c r="JOQ89" s="21"/>
      <c r="JOR89" s="21"/>
      <c r="JOS89" s="21"/>
      <c r="JOT89" s="21"/>
      <c r="JOU89" s="21"/>
      <c r="JOV89" s="21"/>
      <c r="JOW89" s="21"/>
      <c r="JOX89" s="21"/>
      <c r="JOY89" s="21"/>
      <c r="JOZ89" s="21"/>
      <c r="JPA89" s="21"/>
      <c r="JPB89" s="21"/>
      <c r="JPC89" s="21"/>
      <c r="JPD89" s="21"/>
      <c r="JPE89" s="21"/>
      <c r="JPF89" s="21"/>
      <c r="JPG89" s="21"/>
      <c r="JPH89" s="21"/>
      <c r="JPI89" s="21"/>
      <c r="JPJ89" s="21"/>
      <c r="JPK89" s="21"/>
      <c r="JPL89" s="21"/>
      <c r="JPM89" s="21"/>
      <c r="JPN89" s="21"/>
      <c r="JPO89" s="21"/>
      <c r="JPP89" s="21"/>
      <c r="JPQ89" s="21"/>
      <c r="JPR89" s="21"/>
      <c r="JPS89" s="21"/>
      <c r="JPT89" s="21"/>
      <c r="JPU89" s="21"/>
      <c r="JPV89" s="21"/>
      <c r="JPW89" s="21"/>
      <c r="JPX89" s="21"/>
      <c r="JPY89" s="21"/>
      <c r="JPZ89" s="21"/>
      <c r="JQA89" s="21"/>
      <c r="JQB89" s="21"/>
      <c r="JQC89" s="21"/>
      <c r="JQD89" s="21"/>
      <c r="JQE89" s="21"/>
      <c r="JQF89" s="21"/>
      <c r="JQG89" s="21"/>
      <c r="JQH89" s="21"/>
      <c r="JQI89" s="21"/>
      <c r="JQJ89" s="21"/>
      <c r="JQK89" s="21"/>
      <c r="JQL89" s="21"/>
      <c r="JQM89" s="21"/>
      <c r="JQN89" s="21"/>
      <c r="JQO89" s="21"/>
      <c r="JQP89" s="21"/>
      <c r="JQQ89" s="21"/>
      <c r="JQR89" s="21"/>
      <c r="JQS89" s="21"/>
      <c r="JQT89" s="21"/>
      <c r="JQU89" s="21"/>
      <c r="JQV89" s="21"/>
      <c r="JQW89" s="21"/>
      <c r="JQX89" s="21"/>
      <c r="JQY89" s="21"/>
      <c r="JQZ89" s="21"/>
      <c r="JRA89" s="21"/>
      <c r="JRB89" s="21"/>
      <c r="JRC89" s="21"/>
      <c r="JRD89" s="21"/>
      <c r="JRE89" s="21"/>
      <c r="JRF89" s="21"/>
      <c r="JRG89" s="21"/>
      <c r="JRH89" s="21"/>
      <c r="JRI89" s="21"/>
      <c r="JRJ89" s="21"/>
      <c r="JRK89" s="21"/>
      <c r="JRL89" s="21"/>
      <c r="JRM89" s="21"/>
      <c r="JRN89" s="21"/>
      <c r="JRO89" s="21"/>
      <c r="JRP89" s="21"/>
      <c r="JRQ89" s="21"/>
      <c r="JRR89" s="21"/>
      <c r="JRS89" s="21"/>
      <c r="JRT89" s="21"/>
      <c r="JRU89" s="21"/>
      <c r="JRV89" s="21"/>
      <c r="JRW89" s="21"/>
      <c r="JRX89" s="21"/>
      <c r="JRY89" s="21"/>
      <c r="JRZ89" s="21"/>
      <c r="JSA89" s="21"/>
      <c r="JSB89" s="21"/>
      <c r="JSC89" s="21"/>
      <c r="JSD89" s="21"/>
      <c r="JSE89" s="21"/>
      <c r="JSF89" s="21"/>
      <c r="JSG89" s="21"/>
      <c r="JSH89" s="21"/>
      <c r="JSI89" s="21"/>
      <c r="JSJ89" s="21"/>
      <c r="JSK89" s="21"/>
      <c r="JSL89" s="21"/>
      <c r="JSM89" s="21"/>
      <c r="JSN89" s="21"/>
      <c r="JSO89" s="21"/>
      <c r="JSP89" s="21"/>
      <c r="JSQ89" s="21"/>
      <c r="JSR89" s="21"/>
      <c r="JSS89" s="21"/>
      <c r="JST89" s="21"/>
      <c r="JSU89" s="21"/>
      <c r="JSV89" s="21"/>
      <c r="JSW89" s="21"/>
      <c r="JSX89" s="21"/>
      <c r="JSY89" s="21"/>
      <c r="JSZ89" s="21"/>
      <c r="JTA89" s="21"/>
      <c r="JTB89" s="21"/>
      <c r="JTC89" s="21"/>
      <c r="JTD89" s="21"/>
      <c r="JTE89" s="21"/>
      <c r="JTF89" s="21"/>
      <c r="JTG89" s="21"/>
      <c r="JTH89" s="21"/>
      <c r="JTI89" s="21"/>
      <c r="JTJ89" s="21"/>
      <c r="JTK89" s="21"/>
      <c r="JTL89" s="21"/>
      <c r="JTM89" s="21"/>
      <c r="JTN89" s="21"/>
      <c r="JTO89" s="21"/>
      <c r="JTP89" s="21"/>
      <c r="JTQ89" s="21"/>
      <c r="JTR89" s="21"/>
      <c r="JTS89" s="21"/>
      <c r="JTT89" s="21"/>
      <c r="JTU89" s="21"/>
      <c r="JTV89" s="21"/>
      <c r="JTW89" s="21"/>
      <c r="JTX89" s="21"/>
      <c r="JTY89" s="21"/>
      <c r="JTZ89" s="21"/>
      <c r="JUA89" s="21"/>
      <c r="JUB89" s="21"/>
      <c r="JUC89" s="21"/>
      <c r="JUD89" s="21"/>
      <c r="JUE89" s="21"/>
      <c r="JUF89" s="21"/>
      <c r="JUG89" s="21"/>
      <c r="JUH89" s="21"/>
      <c r="JUI89" s="21"/>
      <c r="JUJ89" s="21"/>
      <c r="JUK89" s="21"/>
      <c r="JUL89" s="21"/>
      <c r="JUM89" s="21"/>
      <c r="JUN89" s="21"/>
      <c r="JUO89" s="21"/>
      <c r="JUP89" s="21"/>
      <c r="JUQ89" s="21"/>
      <c r="JUR89" s="21"/>
      <c r="JUS89" s="21"/>
      <c r="JUT89" s="21"/>
      <c r="JUU89" s="21"/>
      <c r="JUV89" s="21"/>
      <c r="JUW89" s="21"/>
      <c r="JUX89" s="21"/>
      <c r="JUY89" s="21"/>
      <c r="JUZ89" s="21"/>
      <c r="JVA89" s="21"/>
      <c r="JVB89" s="21"/>
      <c r="JVC89" s="21"/>
      <c r="JVD89" s="21"/>
      <c r="JVE89" s="21"/>
      <c r="JVF89" s="21"/>
      <c r="JVG89" s="21"/>
      <c r="JVH89" s="21"/>
      <c r="JVI89" s="21"/>
      <c r="JVJ89" s="21"/>
      <c r="JVK89" s="21"/>
      <c r="JVL89" s="21"/>
      <c r="JVM89" s="21"/>
      <c r="JVN89" s="21"/>
      <c r="JVO89" s="21"/>
      <c r="JVP89" s="21"/>
      <c r="JVQ89" s="21"/>
      <c r="JVR89" s="21"/>
      <c r="JVS89" s="21"/>
      <c r="JVT89" s="21"/>
      <c r="JVU89" s="21"/>
      <c r="JVV89" s="21"/>
      <c r="JVW89" s="21"/>
      <c r="JVX89" s="21"/>
      <c r="JVY89" s="21"/>
      <c r="JVZ89" s="21"/>
      <c r="JWA89" s="21"/>
      <c r="JWB89" s="21"/>
      <c r="JWC89" s="21"/>
      <c r="JWD89" s="21"/>
      <c r="JWE89" s="21"/>
      <c r="JWF89" s="21"/>
      <c r="JWG89" s="21"/>
      <c r="JWH89" s="21"/>
      <c r="JWI89" s="21"/>
      <c r="JWJ89" s="21"/>
      <c r="JWK89" s="21"/>
      <c r="JWL89" s="21"/>
      <c r="JWM89" s="21"/>
      <c r="JWN89" s="21"/>
      <c r="JWO89" s="21"/>
      <c r="JWP89" s="21"/>
      <c r="JWQ89" s="21"/>
      <c r="JWR89" s="21"/>
      <c r="JWS89" s="21"/>
      <c r="JWT89" s="21"/>
      <c r="JWU89" s="21"/>
      <c r="JWV89" s="21"/>
      <c r="JWW89" s="21"/>
      <c r="JWX89" s="21"/>
      <c r="JWY89" s="21"/>
      <c r="JWZ89" s="21"/>
      <c r="JXA89" s="21"/>
      <c r="JXB89" s="21"/>
      <c r="JXC89" s="21"/>
      <c r="JXD89" s="21"/>
      <c r="JXE89" s="21"/>
      <c r="JXF89" s="21"/>
      <c r="JXG89" s="21"/>
      <c r="JXH89" s="21"/>
      <c r="JXI89" s="21"/>
      <c r="JXJ89" s="21"/>
      <c r="JXK89" s="21"/>
      <c r="JXL89" s="21"/>
      <c r="JXM89" s="21"/>
      <c r="JXN89" s="21"/>
      <c r="JXO89" s="21"/>
      <c r="JXP89" s="21"/>
      <c r="JXQ89" s="21"/>
      <c r="JXR89" s="21"/>
      <c r="JXS89" s="21"/>
      <c r="JXT89" s="21"/>
      <c r="JXU89" s="21"/>
      <c r="JXV89" s="21"/>
      <c r="JXW89" s="21"/>
      <c r="JXX89" s="21"/>
      <c r="JXY89" s="21"/>
      <c r="JXZ89" s="21"/>
      <c r="JYA89" s="21"/>
      <c r="JYB89" s="21"/>
      <c r="JYC89" s="21"/>
      <c r="JYD89" s="21"/>
      <c r="JYE89" s="21"/>
      <c r="JYF89" s="21"/>
      <c r="JYG89" s="21"/>
      <c r="JYH89" s="21"/>
      <c r="JYI89" s="21"/>
      <c r="JYJ89" s="21"/>
      <c r="JYK89" s="21"/>
      <c r="JYL89" s="21"/>
      <c r="JYM89" s="21"/>
      <c r="JYN89" s="21"/>
      <c r="JYO89" s="21"/>
      <c r="JYP89" s="21"/>
      <c r="JYQ89" s="21"/>
      <c r="JYR89" s="21"/>
      <c r="JYS89" s="21"/>
      <c r="JYT89" s="21"/>
      <c r="JYU89" s="21"/>
      <c r="JYV89" s="21"/>
      <c r="JYW89" s="21"/>
      <c r="JYX89" s="21"/>
      <c r="JYY89" s="21"/>
      <c r="JYZ89" s="21"/>
      <c r="JZA89" s="21"/>
      <c r="JZB89" s="21"/>
      <c r="JZC89" s="21"/>
      <c r="JZD89" s="21"/>
      <c r="JZE89" s="21"/>
      <c r="JZF89" s="21"/>
      <c r="JZG89" s="21"/>
      <c r="JZH89" s="21"/>
      <c r="JZI89" s="21"/>
      <c r="JZJ89" s="21"/>
      <c r="JZK89" s="21"/>
      <c r="JZL89" s="21"/>
      <c r="JZM89" s="21"/>
      <c r="JZN89" s="21"/>
      <c r="JZO89" s="21"/>
      <c r="JZP89" s="21"/>
      <c r="JZQ89" s="21"/>
      <c r="JZR89" s="21"/>
      <c r="JZS89" s="21"/>
      <c r="JZT89" s="21"/>
      <c r="JZU89" s="21"/>
      <c r="JZV89" s="21"/>
      <c r="JZW89" s="21"/>
      <c r="JZX89" s="21"/>
      <c r="JZY89" s="21"/>
      <c r="JZZ89" s="21"/>
      <c r="KAA89" s="21"/>
      <c r="KAB89" s="21"/>
      <c r="KAC89" s="21"/>
      <c r="KAD89" s="21"/>
      <c r="KAE89" s="21"/>
      <c r="KAF89" s="21"/>
      <c r="KAG89" s="21"/>
      <c r="KAH89" s="21"/>
      <c r="KAI89" s="21"/>
      <c r="KAJ89" s="21"/>
      <c r="KAK89" s="21"/>
      <c r="KAL89" s="21"/>
      <c r="KAM89" s="21"/>
      <c r="KAN89" s="21"/>
      <c r="KAO89" s="21"/>
      <c r="KAP89" s="21"/>
      <c r="KAQ89" s="21"/>
      <c r="KAR89" s="21"/>
      <c r="KAS89" s="21"/>
      <c r="KAT89" s="21"/>
      <c r="KAU89" s="21"/>
      <c r="KAV89" s="21"/>
      <c r="KAW89" s="21"/>
      <c r="KAX89" s="21"/>
      <c r="KAY89" s="21"/>
      <c r="KAZ89" s="21"/>
      <c r="KBA89" s="21"/>
      <c r="KBB89" s="21"/>
      <c r="KBC89" s="21"/>
      <c r="KBD89" s="21"/>
      <c r="KBE89" s="21"/>
      <c r="KBF89" s="21"/>
      <c r="KBG89" s="21"/>
      <c r="KBH89" s="21"/>
      <c r="KBI89" s="21"/>
      <c r="KBJ89" s="21"/>
      <c r="KBK89" s="21"/>
      <c r="KBL89" s="21"/>
      <c r="KBM89" s="21"/>
      <c r="KBN89" s="21"/>
      <c r="KBO89" s="21"/>
      <c r="KBP89" s="21"/>
      <c r="KBQ89" s="21"/>
      <c r="KBR89" s="21"/>
      <c r="KBS89" s="21"/>
      <c r="KBT89" s="21"/>
      <c r="KBU89" s="21"/>
      <c r="KBV89" s="21"/>
      <c r="KBW89" s="21"/>
      <c r="KBX89" s="21"/>
      <c r="KBY89" s="21"/>
      <c r="KBZ89" s="21"/>
      <c r="KCA89" s="21"/>
      <c r="KCB89" s="21"/>
      <c r="KCC89" s="21"/>
      <c r="KCD89" s="21"/>
      <c r="KCE89" s="21"/>
      <c r="KCF89" s="21"/>
      <c r="KCG89" s="21"/>
      <c r="KCH89" s="21"/>
      <c r="KCI89" s="21"/>
      <c r="KCJ89" s="21"/>
      <c r="KCK89" s="21"/>
      <c r="KCL89" s="21"/>
      <c r="KCM89" s="21"/>
      <c r="KCN89" s="21"/>
      <c r="KCO89" s="21"/>
      <c r="KCP89" s="21"/>
      <c r="KCQ89" s="21"/>
      <c r="KCR89" s="21"/>
      <c r="KCS89" s="21"/>
      <c r="KCT89" s="21"/>
      <c r="KCU89" s="21"/>
      <c r="KCV89" s="21"/>
      <c r="KCW89" s="21"/>
      <c r="KCX89" s="21"/>
      <c r="KCY89" s="21"/>
      <c r="KCZ89" s="21"/>
      <c r="KDA89" s="21"/>
      <c r="KDB89" s="21"/>
      <c r="KDC89" s="21"/>
      <c r="KDD89" s="21"/>
      <c r="KDE89" s="21"/>
      <c r="KDF89" s="21"/>
      <c r="KDG89" s="21"/>
      <c r="KDH89" s="21"/>
      <c r="KDI89" s="21"/>
      <c r="KDJ89" s="21"/>
      <c r="KDK89" s="21"/>
      <c r="KDL89" s="21"/>
      <c r="KDM89" s="21"/>
      <c r="KDN89" s="21"/>
      <c r="KDO89" s="21"/>
      <c r="KDP89" s="21"/>
      <c r="KDQ89" s="21"/>
      <c r="KDR89" s="21"/>
      <c r="KDS89" s="21"/>
      <c r="KDT89" s="21"/>
      <c r="KDU89" s="21"/>
      <c r="KDV89" s="21"/>
      <c r="KDW89" s="21"/>
      <c r="KDX89" s="21"/>
      <c r="KDY89" s="21"/>
      <c r="KDZ89" s="21"/>
      <c r="KEA89" s="21"/>
      <c r="KEB89" s="21"/>
      <c r="KEC89" s="21"/>
      <c r="KED89" s="21"/>
      <c r="KEE89" s="21"/>
      <c r="KEF89" s="21"/>
      <c r="KEG89" s="21"/>
      <c r="KEH89" s="21"/>
      <c r="KEI89" s="21"/>
      <c r="KEJ89" s="21"/>
      <c r="KEK89" s="21"/>
      <c r="KEL89" s="21"/>
      <c r="KEM89" s="21"/>
      <c r="KEN89" s="21"/>
      <c r="KEO89" s="21"/>
      <c r="KEP89" s="21"/>
      <c r="KEQ89" s="21"/>
      <c r="KER89" s="21"/>
      <c r="KES89" s="21"/>
      <c r="KET89" s="21"/>
      <c r="KEU89" s="21"/>
      <c r="KEV89" s="21"/>
      <c r="KEW89" s="21"/>
      <c r="KEX89" s="21"/>
      <c r="KEY89" s="21"/>
      <c r="KEZ89" s="21"/>
      <c r="KFA89" s="21"/>
      <c r="KFB89" s="21"/>
      <c r="KFC89" s="21"/>
      <c r="KFD89" s="21"/>
      <c r="KFE89" s="21"/>
      <c r="KFF89" s="21"/>
      <c r="KFG89" s="21"/>
      <c r="KFH89" s="21"/>
      <c r="KFI89" s="21"/>
      <c r="KFJ89" s="21"/>
      <c r="KFK89" s="21"/>
      <c r="KFL89" s="21"/>
      <c r="KFM89" s="21"/>
      <c r="KFN89" s="21"/>
      <c r="KFO89" s="21"/>
      <c r="KFP89" s="21"/>
      <c r="KFQ89" s="21"/>
      <c r="KFR89" s="21"/>
      <c r="KFS89" s="21"/>
      <c r="KFT89" s="21"/>
      <c r="KFU89" s="21"/>
      <c r="KFV89" s="21"/>
      <c r="KFW89" s="21"/>
      <c r="KFX89" s="21"/>
      <c r="KFY89" s="21"/>
      <c r="KFZ89" s="21"/>
      <c r="KGA89" s="21"/>
      <c r="KGB89" s="21"/>
      <c r="KGC89" s="21"/>
      <c r="KGD89" s="21"/>
      <c r="KGE89" s="21"/>
      <c r="KGF89" s="21"/>
      <c r="KGG89" s="21"/>
      <c r="KGH89" s="21"/>
      <c r="KGI89" s="21"/>
      <c r="KGJ89" s="21"/>
      <c r="KGK89" s="21"/>
      <c r="KGL89" s="21"/>
      <c r="KGM89" s="21"/>
      <c r="KGN89" s="21"/>
      <c r="KGO89" s="21"/>
      <c r="KGP89" s="21"/>
      <c r="KGQ89" s="21"/>
      <c r="KGR89" s="21"/>
      <c r="KGS89" s="21"/>
      <c r="KGT89" s="21"/>
      <c r="KGU89" s="21"/>
      <c r="KGV89" s="21"/>
      <c r="KGW89" s="21"/>
      <c r="KGX89" s="21"/>
      <c r="KGY89" s="21"/>
      <c r="KGZ89" s="21"/>
      <c r="KHA89" s="21"/>
      <c r="KHB89" s="21"/>
      <c r="KHC89" s="21"/>
      <c r="KHD89" s="21"/>
      <c r="KHE89" s="21"/>
      <c r="KHF89" s="21"/>
      <c r="KHG89" s="21"/>
      <c r="KHH89" s="21"/>
      <c r="KHI89" s="21"/>
      <c r="KHJ89" s="21"/>
      <c r="KHK89" s="21"/>
      <c r="KHL89" s="21"/>
      <c r="KHM89" s="21"/>
      <c r="KHN89" s="21"/>
      <c r="KHO89" s="21"/>
      <c r="KHP89" s="21"/>
      <c r="KHQ89" s="21"/>
      <c r="KHR89" s="21"/>
      <c r="KHS89" s="21"/>
      <c r="KHT89" s="21"/>
      <c r="KHU89" s="21"/>
      <c r="KHV89" s="21"/>
      <c r="KHW89" s="21"/>
      <c r="KHX89" s="21"/>
      <c r="KHY89" s="21"/>
      <c r="KHZ89" s="21"/>
      <c r="KIA89" s="21"/>
      <c r="KIB89" s="21"/>
      <c r="KIC89" s="21"/>
      <c r="KID89" s="21"/>
      <c r="KIE89" s="21"/>
      <c r="KIF89" s="21"/>
      <c r="KIG89" s="21"/>
      <c r="KIH89" s="21"/>
      <c r="KII89" s="21"/>
      <c r="KIJ89" s="21"/>
      <c r="KIK89" s="21"/>
      <c r="KIL89" s="21"/>
      <c r="KIM89" s="21"/>
      <c r="KIN89" s="21"/>
      <c r="KIO89" s="21"/>
      <c r="KIP89" s="21"/>
      <c r="KIQ89" s="21"/>
      <c r="KIR89" s="21"/>
      <c r="KIS89" s="21"/>
      <c r="KIT89" s="21"/>
      <c r="KIU89" s="21"/>
      <c r="KIV89" s="21"/>
      <c r="KIW89" s="21"/>
      <c r="KIX89" s="21"/>
      <c r="KIY89" s="21"/>
      <c r="KIZ89" s="21"/>
      <c r="KJA89" s="21"/>
      <c r="KJB89" s="21"/>
      <c r="KJC89" s="21"/>
      <c r="KJD89" s="21"/>
      <c r="KJE89" s="21"/>
      <c r="KJF89" s="21"/>
      <c r="KJG89" s="21"/>
      <c r="KJH89" s="21"/>
      <c r="KJI89" s="21"/>
      <c r="KJJ89" s="21"/>
      <c r="KJK89" s="21"/>
      <c r="KJL89" s="21"/>
      <c r="KJM89" s="21"/>
      <c r="KJN89" s="21"/>
      <c r="KJO89" s="21"/>
      <c r="KJP89" s="21"/>
      <c r="KJQ89" s="21"/>
      <c r="KJR89" s="21"/>
      <c r="KJS89" s="21"/>
      <c r="KJT89" s="21"/>
      <c r="KJU89" s="21"/>
      <c r="KJV89" s="21"/>
      <c r="KJW89" s="21"/>
      <c r="KJX89" s="21"/>
      <c r="KJY89" s="21"/>
      <c r="KJZ89" s="21"/>
      <c r="KKA89" s="21"/>
      <c r="KKB89" s="21"/>
      <c r="KKC89" s="21"/>
      <c r="KKD89" s="21"/>
      <c r="KKE89" s="21"/>
      <c r="KKF89" s="21"/>
      <c r="KKG89" s="21"/>
      <c r="KKH89" s="21"/>
      <c r="KKI89" s="21"/>
      <c r="KKJ89" s="21"/>
      <c r="KKK89" s="21"/>
      <c r="KKL89" s="21"/>
      <c r="KKM89" s="21"/>
      <c r="KKN89" s="21"/>
      <c r="KKO89" s="21"/>
      <c r="KKP89" s="21"/>
      <c r="KKQ89" s="21"/>
      <c r="KKR89" s="21"/>
      <c r="KKS89" s="21"/>
      <c r="KKT89" s="21"/>
      <c r="KKU89" s="21"/>
      <c r="KKV89" s="21"/>
      <c r="KKW89" s="21"/>
      <c r="KKX89" s="21"/>
      <c r="KKY89" s="21"/>
      <c r="KKZ89" s="21"/>
      <c r="KLA89" s="21"/>
      <c r="KLB89" s="21"/>
      <c r="KLC89" s="21"/>
      <c r="KLD89" s="21"/>
      <c r="KLE89" s="21"/>
      <c r="KLF89" s="21"/>
      <c r="KLG89" s="21"/>
      <c r="KLH89" s="21"/>
      <c r="KLI89" s="21"/>
      <c r="KLJ89" s="21"/>
      <c r="KLK89" s="21"/>
      <c r="KLL89" s="21"/>
      <c r="KLM89" s="21"/>
      <c r="KLN89" s="21"/>
      <c r="KLO89" s="21"/>
      <c r="KLP89" s="21"/>
      <c r="KLQ89" s="21"/>
      <c r="KLR89" s="21"/>
      <c r="KLS89" s="21"/>
      <c r="KLT89" s="21"/>
      <c r="KLU89" s="21"/>
      <c r="KLV89" s="21"/>
      <c r="KLW89" s="21"/>
      <c r="KLX89" s="21"/>
      <c r="KLY89" s="21"/>
      <c r="KLZ89" s="21"/>
      <c r="KMA89" s="21"/>
      <c r="KMB89" s="21"/>
      <c r="KMC89" s="21"/>
      <c r="KMD89" s="21"/>
      <c r="KME89" s="21"/>
      <c r="KMF89" s="21"/>
      <c r="KMG89" s="21"/>
      <c r="KMH89" s="21"/>
      <c r="KMI89" s="21"/>
      <c r="KMJ89" s="21"/>
      <c r="KMK89" s="21"/>
      <c r="KML89" s="21"/>
      <c r="KMM89" s="21"/>
      <c r="KMN89" s="21"/>
      <c r="KMO89" s="21"/>
      <c r="KMP89" s="21"/>
      <c r="KMQ89" s="21"/>
      <c r="KMR89" s="21"/>
      <c r="KMS89" s="21"/>
      <c r="KMT89" s="21"/>
      <c r="KMU89" s="21"/>
      <c r="KMV89" s="21"/>
      <c r="KMW89" s="21"/>
      <c r="KMX89" s="21"/>
      <c r="KMY89" s="21"/>
      <c r="KMZ89" s="21"/>
      <c r="KNA89" s="21"/>
      <c r="KNB89" s="21"/>
      <c r="KNC89" s="21"/>
      <c r="KND89" s="21"/>
      <c r="KNE89" s="21"/>
      <c r="KNF89" s="21"/>
      <c r="KNG89" s="21"/>
      <c r="KNH89" s="21"/>
      <c r="KNI89" s="21"/>
      <c r="KNJ89" s="21"/>
      <c r="KNK89" s="21"/>
      <c r="KNL89" s="21"/>
      <c r="KNM89" s="21"/>
      <c r="KNN89" s="21"/>
      <c r="KNO89" s="21"/>
      <c r="KNP89" s="21"/>
      <c r="KNQ89" s="21"/>
      <c r="KNR89" s="21"/>
      <c r="KNS89" s="21"/>
      <c r="KNT89" s="21"/>
      <c r="KNU89" s="21"/>
      <c r="KNV89" s="21"/>
      <c r="KNW89" s="21"/>
      <c r="KNX89" s="21"/>
      <c r="KNY89" s="21"/>
      <c r="KNZ89" s="21"/>
      <c r="KOA89" s="21"/>
      <c r="KOB89" s="21"/>
      <c r="KOC89" s="21"/>
      <c r="KOD89" s="21"/>
      <c r="KOE89" s="21"/>
      <c r="KOF89" s="21"/>
      <c r="KOG89" s="21"/>
      <c r="KOH89" s="21"/>
      <c r="KOI89" s="21"/>
      <c r="KOJ89" s="21"/>
      <c r="KOK89" s="21"/>
      <c r="KOL89" s="21"/>
      <c r="KOM89" s="21"/>
      <c r="KON89" s="21"/>
      <c r="KOO89" s="21"/>
      <c r="KOP89" s="21"/>
      <c r="KOQ89" s="21"/>
      <c r="KOR89" s="21"/>
      <c r="KOS89" s="21"/>
      <c r="KOT89" s="21"/>
      <c r="KOU89" s="21"/>
      <c r="KOV89" s="21"/>
      <c r="KOW89" s="21"/>
      <c r="KOX89" s="21"/>
      <c r="KOY89" s="21"/>
      <c r="KOZ89" s="21"/>
      <c r="KPA89" s="21"/>
      <c r="KPB89" s="21"/>
      <c r="KPC89" s="21"/>
      <c r="KPD89" s="21"/>
      <c r="KPE89" s="21"/>
      <c r="KPF89" s="21"/>
      <c r="KPG89" s="21"/>
      <c r="KPH89" s="21"/>
      <c r="KPI89" s="21"/>
      <c r="KPJ89" s="21"/>
      <c r="KPK89" s="21"/>
      <c r="KPL89" s="21"/>
      <c r="KPM89" s="21"/>
      <c r="KPN89" s="21"/>
      <c r="KPO89" s="21"/>
      <c r="KPP89" s="21"/>
      <c r="KPQ89" s="21"/>
      <c r="KPR89" s="21"/>
      <c r="KPS89" s="21"/>
      <c r="KPT89" s="21"/>
      <c r="KPU89" s="21"/>
      <c r="KPV89" s="21"/>
      <c r="KPW89" s="21"/>
      <c r="KPX89" s="21"/>
      <c r="KPY89" s="21"/>
      <c r="KPZ89" s="21"/>
      <c r="KQA89" s="21"/>
      <c r="KQB89" s="21"/>
      <c r="KQC89" s="21"/>
      <c r="KQD89" s="21"/>
      <c r="KQE89" s="21"/>
      <c r="KQF89" s="21"/>
      <c r="KQG89" s="21"/>
      <c r="KQH89" s="21"/>
      <c r="KQI89" s="21"/>
      <c r="KQJ89" s="21"/>
      <c r="KQK89" s="21"/>
      <c r="KQL89" s="21"/>
      <c r="KQM89" s="21"/>
      <c r="KQN89" s="21"/>
      <c r="KQO89" s="21"/>
      <c r="KQP89" s="21"/>
      <c r="KQQ89" s="21"/>
      <c r="KQR89" s="21"/>
      <c r="KQS89" s="21"/>
      <c r="KQT89" s="21"/>
      <c r="KQU89" s="21"/>
      <c r="KQV89" s="21"/>
      <c r="KQW89" s="21"/>
      <c r="KQX89" s="21"/>
      <c r="KQY89" s="21"/>
      <c r="KQZ89" s="21"/>
      <c r="KRA89" s="21"/>
      <c r="KRB89" s="21"/>
      <c r="KRC89" s="21"/>
      <c r="KRD89" s="21"/>
      <c r="KRE89" s="21"/>
      <c r="KRF89" s="21"/>
      <c r="KRG89" s="21"/>
      <c r="KRH89" s="21"/>
      <c r="KRI89" s="21"/>
      <c r="KRJ89" s="21"/>
      <c r="KRK89" s="21"/>
      <c r="KRL89" s="21"/>
      <c r="KRM89" s="21"/>
      <c r="KRN89" s="21"/>
      <c r="KRO89" s="21"/>
      <c r="KRP89" s="21"/>
      <c r="KRQ89" s="21"/>
      <c r="KRR89" s="21"/>
      <c r="KRS89" s="21"/>
      <c r="KRT89" s="21"/>
      <c r="KRU89" s="21"/>
      <c r="KRV89" s="21"/>
      <c r="KRW89" s="21"/>
      <c r="KRX89" s="21"/>
      <c r="KRY89" s="21"/>
      <c r="KRZ89" s="21"/>
      <c r="KSA89" s="21"/>
      <c r="KSB89" s="21"/>
      <c r="KSC89" s="21"/>
      <c r="KSD89" s="21"/>
      <c r="KSE89" s="21"/>
      <c r="KSF89" s="21"/>
      <c r="KSG89" s="21"/>
      <c r="KSH89" s="21"/>
      <c r="KSI89" s="21"/>
      <c r="KSJ89" s="21"/>
      <c r="KSK89" s="21"/>
      <c r="KSL89" s="21"/>
      <c r="KSM89" s="21"/>
      <c r="KSN89" s="21"/>
      <c r="KSO89" s="21"/>
      <c r="KSP89" s="21"/>
      <c r="KSQ89" s="21"/>
      <c r="KSR89" s="21"/>
      <c r="KSS89" s="21"/>
      <c r="KST89" s="21"/>
      <c r="KSU89" s="21"/>
      <c r="KSV89" s="21"/>
      <c r="KSW89" s="21"/>
      <c r="KSX89" s="21"/>
      <c r="KSY89" s="21"/>
      <c r="KSZ89" s="21"/>
      <c r="KTA89" s="21"/>
      <c r="KTB89" s="21"/>
      <c r="KTC89" s="21"/>
      <c r="KTD89" s="21"/>
      <c r="KTE89" s="21"/>
      <c r="KTF89" s="21"/>
      <c r="KTG89" s="21"/>
      <c r="KTH89" s="21"/>
      <c r="KTI89" s="21"/>
      <c r="KTJ89" s="21"/>
      <c r="KTK89" s="21"/>
      <c r="KTL89" s="21"/>
      <c r="KTM89" s="21"/>
      <c r="KTN89" s="21"/>
      <c r="KTO89" s="21"/>
      <c r="KTP89" s="21"/>
      <c r="KTQ89" s="21"/>
      <c r="KTR89" s="21"/>
      <c r="KTS89" s="21"/>
      <c r="KTT89" s="21"/>
      <c r="KTU89" s="21"/>
      <c r="KTV89" s="21"/>
      <c r="KTW89" s="21"/>
      <c r="KTX89" s="21"/>
      <c r="KTY89" s="21"/>
      <c r="KTZ89" s="21"/>
      <c r="KUA89" s="21"/>
      <c r="KUB89" s="21"/>
      <c r="KUC89" s="21"/>
      <c r="KUD89" s="21"/>
      <c r="KUE89" s="21"/>
      <c r="KUF89" s="21"/>
      <c r="KUG89" s="21"/>
      <c r="KUH89" s="21"/>
      <c r="KUI89" s="21"/>
      <c r="KUJ89" s="21"/>
      <c r="KUK89" s="21"/>
      <c r="KUL89" s="21"/>
      <c r="KUM89" s="21"/>
      <c r="KUN89" s="21"/>
      <c r="KUO89" s="21"/>
      <c r="KUP89" s="21"/>
      <c r="KUQ89" s="21"/>
      <c r="KUR89" s="21"/>
      <c r="KUS89" s="21"/>
      <c r="KUT89" s="21"/>
      <c r="KUU89" s="21"/>
      <c r="KUV89" s="21"/>
      <c r="KUW89" s="21"/>
      <c r="KUX89" s="21"/>
      <c r="KUY89" s="21"/>
      <c r="KUZ89" s="21"/>
      <c r="KVA89" s="21"/>
      <c r="KVB89" s="21"/>
      <c r="KVC89" s="21"/>
      <c r="KVD89" s="21"/>
      <c r="KVE89" s="21"/>
      <c r="KVF89" s="21"/>
      <c r="KVG89" s="21"/>
      <c r="KVH89" s="21"/>
      <c r="KVI89" s="21"/>
      <c r="KVJ89" s="21"/>
      <c r="KVK89" s="21"/>
      <c r="KVL89" s="21"/>
      <c r="KVM89" s="21"/>
      <c r="KVN89" s="21"/>
      <c r="KVO89" s="21"/>
      <c r="KVP89" s="21"/>
      <c r="KVQ89" s="21"/>
      <c r="KVR89" s="21"/>
      <c r="KVS89" s="21"/>
      <c r="KVT89" s="21"/>
      <c r="KVU89" s="21"/>
      <c r="KVV89" s="21"/>
      <c r="KVW89" s="21"/>
      <c r="KVX89" s="21"/>
      <c r="KVY89" s="21"/>
      <c r="KVZ89" s="21"/>
      <c r="KWA89" s="21"/>
      <c r="KWB89" s="21"/>
      <c r="KWC89" s="21"/>
      <c r="KWD89" s="21"/>
      <c r="KWE89" s="21"/>
      <c r="KWF89" s="21"/>
      <c r="KWG89" s="21"/>
      <c r="KWH89" s="21"/>
      <c r="KWI89" s="21"/>
      <c r="KWJ89" s="21"/>
      <c r="KWK89" s="21"/>
      <c r="KWL89" s="21"/>
      <c r="KWM89" s="21"/>
      <c r="KWN89" s="21"/>
      <c r="KWO89" s="21"/>
      <c r="KWP89" s="21"/>
      <c r="KWQ89" s="21"/>
      <c r="KWR89" s="21"/>
      <c r="KWS89" s="21"/>
      <c r="KWT89" s="21"/>
      <c r="KWU89" s="21"/>
      <c r="KWV89" s="21"/>
      <c r="KWW89" s="21"/>
      <c r="KWX89" s="21"/>
      <c r="KWY89" s="21"/>
      <c r="KWZ89" s="21"/>
      <c r="KXA89" s="21"/>
      <c r="KXB89" s="21"/>
      <c r="KXC89" s="21"/>
      <c r="KXD89" s="21"/>
      <c r="KXE89" s="21"/>
      <c r="KXF89" s="21"/>
      <c r="KXG89" s="21"/>
      <c r="KXH89" s="21"/>
      <c r="KXI89" s="21"/>
      <c r="KXJ89" s="21"/>
      <c r="KXK89" s="21"/>
      <c r="KXL89" s="21"/>
      <c r="KXM89" s="21"/>
      <c r="KXN89" s="21"/>
      <c r="KXO89" s="21"/>
      <c r="KXP89" s="21"/>
      <c r="KXQ89" s="21"/>
      <c r="KXR89" s="21"/>
      <c r="KXS89" s="21"/>
      <c r="KXT89" s="21"/>
      <c r="KXU89" s="21"/>
      <c r="KXV89" s="21"/>
      <c r="KXW89" s="21"/>
      <c r="KXX89" s="21"/>
      <c r="KXY89" s="21"/>
      <c r="KXZ89" s="21"/>
      <c r="KYA89" s="21"/>
      <c r="KYB89" s="21"/>
      <c r="KYC89" s="21"/>
      <c r="KYD89" s="21"/>
      <c r="KYE89" s="21"/>
      <c r="KYF89" s="21"/>
      <c r="KYG89" s="21"/>
      <c r="KYH89" s="21"/>
      <c r="KYI89" s="21"/>
      <c r="KYJ89" s="21"/>
      <c r="KYK89" s="21"/>
      <c r="KYL89" s="21"/>
      <c r="KYM89" s="21"/>
      <c r="KYN89" s="21"/>
      <c r="KYO89" s="21"/>
      <c r="KYP89" s="21"/>
      <c r="KYQ89" s="21"/>
      <c r="KYR89" s="21"/>
      <c r="KYS89" s="21"/>
      <c r="KYT89" s="21"/>
      <c r="KYU89" s="21"/>
      <c r="KYV89" s="21"/>
      <c r="KYW89" s="21"/>
      <c r="KYX89" s="21"/>
      <c r="KYY89" s="21"/>
      <c r="KYZ89" s="21"/>
      <c r="KZA89" s="21"/>
      <c r="KZB89" s="21"/>
      <c r="KZC89" s="21"/>
      <c r="KZD89" s="21"/>
      <c r="KZE89" s="21"/>
      <c r="KZF89" s="21"/>
      <c r="KZG89" s="21"/>
      <c r="KZH89" s="21"/>
      <c r="KZI89" s="21"/>
      <c r="KZJ89" s="21"/>
      <c r="KZK89" s="21"/>
      <c r="KZL89" s="21"/>
      <c r="KZM89" s="21"/>
      <c r="KZN89" s="21"/>
      <c r="KZO89" s="21"/>
      <c r="KZP89" s="21"/>
      <c r="KZQ89" s="21"/>
      <c r="KZR89" s="21"/>
      <c r="KZS89" s="21"/>
      <c r="KZT89" s="21"/>
      <c r="KZU89" s="21"/>
      <c r="KZV89" s="21"/>
      <c r="KZW89" s="21"/>
      <c r="KZX89" s="21"/>
      <c r="KZY89" s="21"/>
      <c r="KZZ89" s="21"/>
      <c r="LAA89" s="21"/>
      <c r="LAB89" s="21"/>
      <c r="LAC89" s="21"/>
      <c r="LAD89" s="21"/>
      <c r="LAE89" s="21"/>
      <c r="LAF89" s="21"/>
      <c r="LAG89" s="21"/>
      <c r="LAH89" s="21"/>
      <c r="LAI89" s="21"/>
      <c r="LAJ89" s="21"/>
      <c r="LAK89" s="21"/>
      <c r="LAL89" s="21"/>
      <c r="LAM89" s="21"/>
      <c r="LAN89" s="21"/>
      <c r="LAO89" s="21"/>
      <c r="LAP89" s="21"/>
      <c r="LAQ89" s="21"/>
      <c r="LAR89" s="21"/>
      <c r="LAS89" s="21"/>
      <c r="LAT89" s="21"/>
      <c r="LAU89" s="21"/>
      <c r="LAV89" s="21"/>
      <c r="LAW89" s="21"/>
      <c r="LAX89" s="21"/>
      <c r="LAY89" s="21"/>
      <c r="LAZ89" s="21"/>
      <c r="LBA89" s="21"/>
      <c r="LBB89" s="21"/>
      <c r="LBC89" s="21"/>
      <c r="LBD89" s="21"/>
      <c r="LBE89" s="21"/>
      <c r="LBF89" s="21"/>
      <c r="LBG89" s="21"/>
      <c r="LBH89" s="21"/>
      <c r="LBI89" s="21"/>
      <c r="LBJ89" s="21"/>
      <c r="LBK89" s="21"/>
      <c r="LBL89" s="21"/>
      <c r="LBM89" s="21"/>
      <c r="LBN89" s="21"/>
      <c r="LBO89" s="21"/>
      <c r="LBP89" s="21"/>
      <c r="LBQ89" s="21"/>
      <c r="LBR89" s="21"/>
      <c r="LBS89" s="21"/>
      <c r="LBT89" s="21"/>
      <c r="LBU89" s="21"/>
      <c r="LBV89" s="21"/>
      <c r="LBW89" s="21"/>
      <c r="LBX89" s="21"/>
      <c r="LBY89" s="21"/>
      <c r="LBZ89" s="21"/>
      <c r="LCA89" s="21"/>
      <c r="LCB89" s="21"/>
      <c r="LCC89" s="21"/>
      <c r="LCD89" s="21"/>
      <c r="LCE89" s="21"/>
      <c r="LCF89" s="21"/>
      <c r="LCG89" s="21"/>
      <c r="LCH89" s="21"/>
      <c r="LCI89" s="21"/>
      <c r="LCJ89" s="21"/>
      <c r="LCK89" s="21"/>
      <c r="LCL89" s="21"/>
      <c r="LCM89" s="21"/>
      <c r="LCN89" s="21"/>
      <c r="LCO89" s="21"/>
      <c r="LCP89" s="21"/>
      <c r="LCQ89" s="21"/>
      <c r="LCR89" s="21"/>
      <c r="LCS89" s="21"/>
      <c r="LCT89" s="21"/>
      <c r="LCU89" s="21"/>
      <c r="LCV89" s="21"/>
      <c r="LCW89" s="21"/>
      <c r="LCX89" s="21"/>
      <c r="LCY89" s="21"/>
      <c r="LCZ89" s="21"/>
      <c r="LDA89" s="21"/>
      <c r="LDB89" s="21"/>
      <c r="LDC89" s="21"/>
      <c r="LDD89" s="21"/>
      <c r="LDE89" s="21"/>
      <c r="LDF89" s="21"/>
      <c r="LDG89" s="21"/>
      <c r="LDH89" s="21"/>
      <c r="LDI89" s="21"/>
      <c r="LDJ89" s="21"/>
      <c r="LDK89" s="21"/>
      <c r="LDL89" s="21"/>
      <c r="LDM89" s="21"/>
      <c r="LDN89" s="21"/>
      <c r="LDO89" s="21"/>
      <c r="LDP89" s="21"/>
      <c r="LDQ89" s="21"/>
      <c r="LDR89" s="21"/>
      <c r="LDS89" s="21"/>
      <c r="LDT89" s="21"/>
      <c r="LDU89" s="21"/>
      <c r="LDV89" s="21"/>
      <c r="LDW89" s="21"/>
      <c r="LDX89" s="21"/>
      <c r="LDY89" s="21"/>
      <c r="LDZ89" s="21"/>
      <c r="LEA89" s="21"/>
      <c r="LEB89" s="21"/>
      <c r="LEC89" s="21"/>
      <c r="LED89" s="21"/>
      <c r="LEE89" s="21"/>
      <c r="LEF89" s="21"/>
      <c r="LEG89" s="21"/>
      <c r="LEH89" s="21"/>
      <c r="LEI89" s="21"/>
      <c r="LEJ89" s="21"/>
      <c r="LEK89" s="21"/>
      <c r="LEL89" s="21"/>
      <c r="LEM89" s="21"/>
      <c r="LEN89" s="21"/>
      <c r="LEO89" s="21"/>
      <c r="LEP89" s="21"/>
      <c r="LEQ89" s="21"/>
      <c r="LER89" s="21"/>
      <c r="LES89" s="21"/>
      <c r="LET89" s="21"/>
      <c r="LEU89" s="21"/>
      <c r="LEV89" s="21"/>
      <c r="LEW89" s="21"/>
      <c r="LEX89" s="21"/>
      <c r="LEY89" s="21"/>
      <c r="LEZ89" s="21"/>
      <c r="LFA89" s="21"/>
      <c r="LFB89" s="21"/>
      <c r="LFC89" s="21"/>
      <c r="LFD89" s="21"/>
      <c r="LFE89" s="21"/>
      <c r="LFF89" s="21"/>
      <c r="LFG89" s="21"/>
      <c r="LFH89" s="21"/>
      <c r="LFI89" s="21"/>
      <c r="LFJ89" s="21"/>
      <c r="LFK89" s="21"/>
      <c r="LFL89" s="21"/>
      <c r="LFM89" s="21"/>
      <c r="LFN89" s="21"/>
      <c r="LFO89" s="21"/>
      <c r="LFP89" s="21"/>
      <c r="LFQ89" s="21"/>
      <c r="LFR89" s="21"/>
      <c r="LFS89" s="21"/>
      <c r="LFT89" s="21"/>
      <c r="LFU89" s="21"/>
      <c r="LFV89" s="21"/>
      <c r="LFW89" s="21"/>
      <c r="LFX89" s="21"/>
      <c r="LFY89" s="21"/>
      <c r="LFZ89" s="21"/>
      <c r="LGA89" s="21"/>
      <c r="LGB89" s="21"/>
      <c r="LGC89" s="21"/>
      <c r="LGD89" s="21"/>
      <c r="LGE89" s="21"/>
      <c r="LGF89" s="21"/>
      <c r="LGG89" s="21"/>
      <c r="LGH89" s="21"/>
      <c r="LGI89" s="21"/>
      <c r="LGJ89" s="21"/>
      <c r="LGK89" s="21"/>
      <c r="LGL89" s="21"/>
      <c r="LGM89" s="21"/>
      <c r="LGN89" s="21"/>
      <c r="LGO89" s="21"/>
      <c r="LGP89" s="21"/>
      <c r="LGQ89" s="21"/>
      <c r="LGR89" s="21"/>
      <c r="LGS89" s="21"/>
      <c r="LGT89" s="21"/>
      <c r="LGU89" s="21"/>
      <c r="LGV89" s="21"/>
      <c r="LGW89" s="21"/>
      <c r="LGX89" s="21"/>
      <c r="LGY89" s="21"/>
      <c r="LGZ89" s="21"/>
      <c r="LHA89" s="21"/>
      <c r="LHB89" s="21"/>
      <c r="LHC89" s="21"/>
      <c r="LHD89" s="21"/>
      <c r="LHE89" s="21"/>
      <c r="LHF89" s="21"/>
      <c r="LHG89" s="21"/>
      <c r="LHH89" s="21"/>
      <c r="LHI89" s="21"/>
      <c r="LHJ89" s="21"/>
      <c r="LHK89" s="21"/>
      <c r="LHL89" s="21"/>
      <c r="LHM89" s="21"/>
      <c r="LHN89" s="21"/>
      <c r="LHO89" s="21"/>
      <c r="LHP89" s="21"/>
      <c r="LHQ89" s="21"/>
      <c r="LHR89" s="21"/>
      <c r="LHS89" s="21"/>
      <c r="LHT89" s="21"/>
      <c r="LHU89" s="21"/>
      <c r="LHV89" s="21"/>
      <c r="LHW89" s="21"/>
      <c r="LHX89" s="21"/>
      <c r="LHY89" s="21"/>
      <c r="LHZ89" s="21"/>
      <c r="LIA89" s="21"/>
      <c r="LIB89" s="21"/>
      <c r="LIC89" s="21"/>
      <c r="LID89" s="21"/>
      <c r="LIE89" s="21"/>
      <c r="LIF89" s="21"/>
      <c r="LIG89" s="21"/>
      <c r="LIH89" s="21"/>
      <c r="LII89" s="21"/>
      <c r="LIJ89" s="21"/>
      <c r="LIK89" s="21"/>
      <c r="LIL89" s="21"/>
      <c r="LIM89" s="21"/>
      <c r="LIN89" s="21"/>
      <c r="LIO89" s="21"/>
      <c r="LIP89" s="21"/>
      <c r="LIQ89" s="21"/>
      <c r="LIR89" s="21"/>
      <c r="LIS89" s="21"/>
      <c r="LIT89" s="21"/>
      <c r="LIU89" s="21"/>
      <c r="LIV89" s="21"/>
      <c r="LIW89" s="21"/>
      <c r="LIX89" s="21"/>
      <c r="LIY89" s="21"/>
      <c r="LIZ89" s="21"/>
      <c r="LJA89" s="21"/>
      <c r="LJB89" s="21"/>
      <c r="LJC89" s="21"/>
      <c r="LJD89" s="21"/>
      <c r="LJE89" s="21"/>
      <c r="LJF89" s="21"/>
      <c r="LJG89" s="21"/>
      <c r="LJH89" s="21"/>
      <c r="LJI89" s="21"/>
      <c r="LJJ89" s="21"/>
      <c r="LJK89" s="21"/>
      <c r="LJL89" s="21"/>
      <c r="LJM89" s="21"/>
      <c r="LJN89" s="21"/>
      <c r="LJO89" s="21"/>
      <c r="LJP89" s="21"/>
      <c r="LJQ89" s="21"/>
      <c r="LJR89" s="21"/>
      <c r="LJS89" s="21"/>
      <c r="LJT89" s="21"/>
      <c r="LJU89" s="21"/>
      <c r="LJV89" s="21"/>
      <c r="LJW89" s="21"/>
      <c r="LJX89" s="21"/>
      <c r="LJY89" s="21"/>
      <c r="LJZ89" s="21"/>
      <c r="LKA89" s="21"/>
      <c r="LKB89" s="21"/>
      <c r="LKC89" s="21"/>
      <c r="LKD89" s="21"/>
      <c r="LKE89" s="21"/>
      <c r="LKF89" s="21"/>
      <c r="LKG89" s="21"/>
      <c r="LKH89" s="21"/>
      <c r="LKI89" s="21"/>
      <c r="LKJ89" s="21"/>
      <c r="LKK89" s="21"/>
      <c r="LKL89" s="21"/>
      <c r="LKM89" s="21"/>
      <c r="LKN89" s="21"/>
      <c r="LKO89" s="21"/>
      <c r="LKP89" s="21"/>
      <c r="LKQ89" s="21"/>
      <c r="LKR89" s="21"/>
      <c r="LKS89" s="21"/>
      <c r="LKT89" s="21"/>
      <c r="LKU89" s="21"/>
      <c r="LKV89" s="21"/>
      <c r="LKW89" s="21"/>
      <c r="LKX89" s="21"/>
      <c r="LKY89" s="21"/>
      <c r="LKZ89" s="21"/>
      <c r="LLA89" s="21"/>
      <c r="LLB89" s="21"/>
      <c r="LLC89" s="21"/>
      <c r="LLD89" s="21"/>
      <c r="LLE89" s="21"/>
      <c r="LLF89" s="21"/>
      <c r="LLG89" s="21"/>
      <c r="LLH89" s="21"/>
      <c r="LLI89" s="21"/>
      <c r="LLJ89" s="21"/>
      <c r="LLK89" s="21"/>
      <c r="LLL89" s="21"/>
      <c r="LLM89" s="21"/>
      <c r="LLN89" s="21"/>
      <c r="LLO89" s="21"/>
      <c r="LLP89" s="21"/>
      <c r="LLQ89" s="21"/>
      <c r="LLR89" s="21"/>
      <c r="LLS89" s="21"/>
      <c r="LLT89" s="21"/>
      <c r="LLU89" s="21"/>
      <c r="LLV89" s="21"/>
      <c r="LLW89" s="21"/>
      <c r="LLX89" s="21"/>
      <c r="LLY89" s="21"/>
      <c r="LLZ89" s="21"/>
      <c r="LMA89" s="21"/>
      <c r="LMB89" s="21"/>
      <c r="LMC89" s="21"/>
      <c r="LMD89" s="21"/>
      <c r="LME89" s="21"/>
      <c r="LMF89" s="21"/>
      <c r="LMG89" s="21"/>
      <c r="LMH89" s="21"/>
      <c r="LMI89" s="21"/>
      <c r="LMJ89" s="21"/>
      <c r="LMK89" s="21"/>
      <c r="LML89" s="21"/>
      <c r="LMM89" s="21"/>
      <c r="LMN89" s="21"/>
      <c r="LMO89" s="21"/>
      <c r="LMP89" s="21"/>
      <c r="LMQ89" s="21"/>
      <c r="LMR89" s="21"/>
      <c r="LMS89" s="21"/>
      <c r="LMT89" s="21"/>
      <c r="LMU89" s="21"/>
      <c r="LMV89" s="21"/>
      <c r="LMW89" s="21"/>
      <c r="LMX89" s="21"/>
      <c r="LMY89" s="21"/>
      <c r="LMZ89" s="21"/>
      <c r="LNA89" s="21"/>
      <c r="LNB89" s="21"/>
      <c r="LNC89" s="21"/>
      <c r="LND89" s="21"/>
      <c r="LNE89" s="21"/>
      <c r="LNF89" s="21"/>
      <c r="LNG89" s="21"/>
      <c r="LNH89" s="21"/>
      <c r="LNI89" s="21"/>
      <c r="LNJ89" s="21"/>
      <c r="LNK89" s="21"/>
      <c r="LNL89" s="21"/>
      <c r="LNM89" s="21"/>
      <c r="LNN89" s="21"/>
      <c r="LNO89" s="21"/>
      <c r="LNP89" s="21"/>
      <c r="LNQ89" s="21"/>
      <c r="LNR89" s="21"/>
      <c r="LNS89" s="21"/>
      <c r="LNT89" s="21"/>
      <c r="LNU89" s="21"/>
      <c r="LNV89" s="21"/>
      <c r="LNW89" s="21"/>
      <c r="LNX89" s="21"/>
      <c r="LNY89" s="21"/>
      <c r="LNZ89" s="21"/>
      <c r="LOA89" s="21"/>
      <c r="LOB89" s="21"/>
      <c r="LOC89" s="21"/>
      <c r="LOD89" s="21"/>
      <c r="LOE89" s="21"/>
      <c r="LOF89" s="21"/>
      <c r="LOG89" s="21"/>
      <c r="LOH89" s="21"/>
      <c r="LOI89" s="21"/>
      <c r="LOJ89" s="21"/>
      <c r="LOK89" s="21"/>
      <c r="LOL89" s="21"/>
      <c r="LOM89" s="21"/>
      <c r="LON89" s="21"/>
      <c r="LOO89" s="21"/>
      <c r="LOP89" s="21"/>
      <c r="LOQ89" s="21"/>
      <c r="LOR89" s="21"/>
      <c r="LOS89" s="21"/>
      <c r="LOT89" s="21"/>
      <c r="LOU89" s="21"/>
      <c r="LOV89" s="21"/>
      <c r="LOW89" s="21"/>
      <c r="LOX89" s="21"/>
      <c r="LOY89" s="21"/>
      <c r="LOZ89" s="21"/>
      <c r="LPA89" s="21"/>
      <c r="LPB89" s="21"/>
      <c r="LPC89" s="21"/>
      <c r="LPD89" s="21"/>
      <c r="LPE89" s="21"/>
      <c r="LPF89" s="21"/>
      <c r="LPG89" s="21"/>
      <c r="LPH89" s="21"/>
      <c r="LPI89" s="21"/>
      <c r="LPJ89" s="21"/>
      <c r="LPK89" s="21"/>
      <c r="LPL89" s="21"/>
      <c r="LPM89" s="21"/>
      <c r="LPN89" s="21"/>
      <c r="LPO89" s="21"/>
      <c r="LPP89" s="21"/>
      <c r="LPQ89" s="21"/>
      <c r="LPR89" s="21"/>
      <c r="LPS89" s="21"/>
      <c r="LPT89" s="21"/>
      <c r="LPU89" s="21"/>
      <c r="LPV89" s="21"/>
      <c r="LPW89" s="21"/>
      <c r="LPX89" s="21"/>
      <c r="LPY89" s="21"/>
      <c r="LPZ89" s="21"/>
      <c r="LQA89" s="21"/>
      <c r="LQB89" s="21"/>
      <c r="LQC89" s="21"/>
      <c r="LQD89" s="21"/>
      <c r="LQE89" s="21"/>
      <c r="LQF89" s="21"/>
      <c r="LQG89" s="21"/>
      <c r="LQH89" s="21"/>
      <c r="LQI89" s="21"/>
      <c r="LQJ89" s="21"/>
      <c r="LQK89" s="21"/>
      <c r="LQL89" s="21"/>
      <c r="LQM89" s="21"/>
      <c r="LQN89" s="21"/>
      <c r="LQO89" s="21"/>
      <c r="LQP89" s="21"/>
      <c r="LQQ89" s="21"/>
      <c r="LQR89" s="21"/>
      <c r="LQS89" s="21"/>
      <c r="LQT89" s="21"/>
      <c r="LQU89" s="21"/>
      <c r="LQV89" s="21"/>
      <c r="LQW89" s="21"/>
      <c r="LQX89" s="21"/>
      <c r="LQY89" s="21"/>
      <c r="LQZ89" s="21"/>
      <c r="LRA89" s="21"/>
      <c r="LRB89" s="21"/>
      <c r="LRC89" s="21"/>
      <c r="LRD89" s="21"/>
      <c r="LRE89" s="21"/>
      <c r="LRF89" s="21"/>
      <c r="LRG89" s="21"/>
      <c r="LRH89" s="21"/>
      <c r="LRI89" s="21"/>
      <c r="LRJ89" s="21"/>
      <c r="LRK89" s="21"/>
      <c r="LRL89" s="21"/>
      <c r="LRM89" s="21"/>
      <c r="LRN89" s="21"/>
      <c r="LRO89" s="21"/>
      <c r="LRP89" s="21"/>
      <c r="LRQ89" s="21"/>
      <c r="LRR89" s="21"/>
      <c r="LRS89" s="21"/>
      <c r="LRT89" s="21"/>
      <c r="LRU89" s="21"/>
      <c r="LRV89" s="21"/>
      <c r="LRW89" s="21"/>
      <c r="LRX89" s="21"/>
      <c r="LRY89" s="21"/>
      <c r="LRZ89" s="21"/>
      <c r="LSA89" s="21"/>
      <c r="LSB89" s="21"/>
      <c r="LSC89" s="21"/>
      <c r="LSD89" s="21"/>
      <c r="LSE89" s="21"/>
      <c r="LSF89" s="21"/>
      <c r="LSG89" s="21"/>
      <c r="LSH89" s="21"/>
      <c r="LSI89" s="21"/>
      <c r="LSJ89" s="21"/>
      <c r="LSK89" s="21"/>
      <c r="LSL89" s="21"/>
      <c r="LSM89" s="21"/>
      <c r="LSN89" s="21"/>
      <c r="LSO89" s="21"/>
      <c r="LSP89" s="21"/>
      <c r="LSQ89" s="21"/>
      <c r="LSR89" s="21"/>
      <c r="LSS89" s="21"/>
      <c r="LST89" s="21"/>
      <c r="LSU89" s="21"/>
      <c r="LSV89" s="21"/>
      <c r="LSW89" s="21"/>
      <c r="LSX89" s="21"/>
      <c r="LSY89" s="21"/>
      <c r="LSZ89" s="21"/>
      <c r="LTA89" s="21"/>
      <c r="LTB89" s="21"/>
      <c r="LTC89" s="21"/>
      <c r="LTD89" s="21"/>
      <c r="LTE89" s="21"/>
      <c r="LTF89" s="21"/>
      <c r="LTG89" s="21"/>
      <c r="LTH89" s="21"/>
      <c r="LTI89" s="21"/>
      <c r="LTJ89" s="21"/>
      <c r="LTK89" s="21"/>
      <c r="LTL89" s="21"/>
      <c r="LTM89" s="21"/>
      <c r="LTN89" s="21"/>
      <c r="LTO89" s="21"/>
      <c r="LTP89" s="21"/>
      <c r="LTQ89" s="21"/>
      <c r="LTR89" s="21"/>
      <c r="LTS89" s="21"/>
      <c r="LTT89" s="21"/>
      <c r="LTU89" s="21"/>
      <c r="LTV89" s="21"/>
      <c r="LTW89" s="21"/>
      <c r="LTX89" s="21"/>
      <c r="LTY89" s="21"/>
      <c r="LTZ89" s="21"/>
      <c r="LUA89" s="21"/>
      <c r="LUB89" s="21"/>
      <c r="LUC89" s="21"/>
      <c r="LUD89" s="21"/>
      <c r="LUE89" s="21"/>
      <c r="LUF89" s="21"/>
      <c r="LUG89" s="21"/>
      <c r="LUH89" s="21"/>
      <c r="LUI89" s="21"/>
      <c r="LUJ89" s="21"/>
      <c r="LUK89" s="21"/>
      <c r="LUL89" s="21"/>
      <c r="LUM89" s="21"/>
      <c r="LUN89" s="21"/>
      <c r="LUO89" s="21"/>
      <c r="LUP89" s="21"/>
      <c r="LUQ89" s="21"/>
      <c r="LUR89" s="21"/>
      <c r="LUS89" s="21"/>
      <c r="LUT89" s="21"/>
      <c r="LUU89" s="21"/>
      <c r="LUV89" s="21"/>
      <c r="LUW89" s="21"/>
      <c r="LUX89" s="21"/>
      <c r="LUY89" s="21"/>
      <c r="LUZ89" s="21"/>
      <c r="LVA89" s="21"/>
      <c r="LVB89" s="21"/>
      <c r="LVC89" s="21"/>
      <c r="LVD89" s="21"/>
      <c r="LVE89" s="21"/>
      <c r="LVF89" s="21"/>
      <c r="LVG89" s="21"/>
      <c r="LVH89" s="21"/>
      <c r="LVI89" s="21"/>
      <c r="LVJ89" s="21"/>
      <c r="LVK89" s="21"/>
      <c r="LVL89" s="21"/>
      <c r="LVM89" s="21"/>
      <c r="LVN89" s="21"/>
      <c r="LVO89" s="21"/>
      <c r="LVP89" s="21"/>
      <c r="LVQ89" s="21"/>
      <c r="LVR89" s="21"/>
      <c r="LVS89" s="21"/>
      <c r="LVT89" s="21"/>
      <c r="LVU89" s="21"/>
      <c r="LVV89" s="21"/>
      <c r="LVW89" s="21"/>
      <c r="LVX89" s="21"/>
      <c r="LVY89" s="21"/>
      <c r="LVZ89" s="21"/>
      <c r="LWA89" s="21"/>
      <c r="LWB89" s="21"/>
      <c r="LWC89" s="21"/>
      <c r="LWD89" s="21"/>
      <c r="LWE89" s="21"/>
      <c r="LWF89" s="21"/>
      <c r="LWG89" s="21"/>
      <c r="LWH89" s="21"/>
      <c r="LWI89" s="21"/>
      <c r="LWJ89" s="21"/>
      <c r="LWK89" s="21"/>
      <c r="LWL89" s="21"/>
      <c r="LWM89" s="21"/>
      <c r="LWN89" s="21"/>
      <c r="LWO89" s="21"/>
      <c r="LWP89" s="21"/>
      <c r="LWQ89" s="21"/>
      <c r="LWR89" s="21"/>
      <c r="LWS89" s="21"/>
      <c r="LWT89" s="21"/>
      <c r="LWU89" s="21"/>
      <c r="LWV89" s="21"/>
      <c r="LWW89" s="21"/>
      <c r="LWX89" s="21"/>
      <c r="LWY89" s="21"/>
      <c r="LWZ89" s="21"/>
      <c r="LXA89" s="21"/>
      <c r="LXB89" s="21"/>
      <c r="LXC89" s="21"/>
      <c r="LXD89" s="21"/>
      <c r="LXE89" s="21"/>
      <c r="LXF89" s="21"/>
      <c r="LXG89" s="21"/>
      <c r="LXH89" s="21"/>
      <c r="LXI89" s="21"/>
      <c r="LXJ89" s="21"/>
      <c r="LXK89" s="21"/>
      <c r="LXL89" s="21"/>
      <c r="LXM89" s="21"/>
      <c r="LXN89" s="21"/>
      <c r="LXO89" s="21"/>
      <c r="LXP89" s="21"/>
      <c r="LXQ89" s="21"/>
      <c r="LXR89" s="21"/>
      <c r="LXS89" s="21"/>
      <c r="LXT89" s="21"/>
      <c r="LXU89" s="21"/>
      <c r="LXV89" s="21"/>
      <c r="LXW89" s="21"/>
      <c r="LXX89" s="21"/>
      <c r="LXY89" s="21"/>
      <c r="LXZ89" s="21"/>
      <c r="LYA89" s="21"/>
      <c r="LYB89" s="21"/>
      <c r="LYC89" s="21"/>
      <c r="LYD89" s="21"/>
      <c r="LYE89" s="21"/>
      <c r="LYF89" s="21"/>
      <c r="LYG89" s="21"/>
      <c r="LYH89" s="21"/>
      <c r="LYI89" s="21"/>
      <c r="LYJ89" s="21"/>
      <c r="LYK89" s="21"/>
      <c r="LYL89" s="21"/>
      <c r="LYM89" s="21"/>
      <c r="LYN89" s="21"/>
      <c r="LYO89" s="21"/>
      <c r="LYP89" s="21"/>
      <c r="LYQ89" s="21"/>
      <c r="LYR89" s="21"/>
      <c r="LYS89" s="21"/>
      <c r="LYT89" s="21"/>
      <c r="LYU89" s="21"/>
      <c r="LYV89" s="21"/>
      <c r="LYW89" s="21"/>
      <c r="LYX89" s="21"/>
      <c r="LYY89" s="21"/>
      <c r="LYZ89" s="21"/>
      <c r="LZA89" s="21"/>
      <c r="LZB89" s="21"/>
      <c r="LZC89" s="21"/>
      <c r="LZD89" s="21"/>
      <c r="LZE89" s="21"/>
      <c r="LZF89" s="21"/>
      <c r="LZG89" s="21"/>
      <c r="LZH89" s="21"/>
      <c r="LZI89" s="21"/>
      <c r="LZJ89" s="21"/>
      <c r="LZK89" s="21"/>
      <c r="LZL89" s="21"/>
      <c r="LZM89" s="21"/>
      <c r="LZN89" s="21"/>
      <c r="LZO89" s="21"/>
      <c r="LZP89" s="21"/>
      <c r="LZQ89" s="21"/>
      <c r="LZR89" s="21"/>
      <c r="LZS89" s="21"/>
      <c r="LZT89" s="21"/>
      <c r="LZU89" s="21"/>
      <c r="LZV89" s="21"/>
      <c r="LZW89" s="21"/>
      <c r="LZX89" s="21"/>
      <c r="LZY89" s="21"/>
      <c r="LZZ89" s="21"/>
      <c r="MAA89" s="21"/>
      <c r="MAB89" s="21"/>
      <c r="MAC89" s="21"/>
      <c r="MAD89" s="21"/>
      <c r="MAE89" s="21"/>
      <c r="MAF89" s="21"/>
      <c r="MAG89" s="21"/>
      <c r="MAH89" s="21"/>
      <c r="MAI89" s="21"/>
      <c r="MAJ89" s="21"/>
      <c r="MAK89" s="21"/>
      <c r="MAL89" s="21"/>
      <c r="MAM89" s="21"/>
      <c r="MAN89" s="21"/>
      <c r="MAO89" s="21"/>
      <c r="MAP89" s="21"/>
      <c r="MAQ89" s="21"/>
      <c r="MAR89" s="21"/>
      <c r="MAS89" s="21"/>
      <c r="MAT89" s="21"/>
      <c r="MAU89" s="21"/>
      <c r="MAV89" s="21"/>
      <c r="MAW89" s="21"/>
      <c r="MAX89" s="21"/>
      <c r="MAY89" s="21"/>
      <c r="MAZ89" s="21"/>
      <c r="MBA89" s="21"/>
      <c r="MBB89" s="21"/>
      <c r="MBC89" s="21"/>
      <c r="MBD89" s="21"/>
      <c r="MBE89" s="21"/>
      <c r="MBF89" s="21"/>
      <c r="MBG89" s="21"/>
      <c r="MBH89" s="21"/>
      <c r="MBI89" s="21"/>
      <c r="MBJ89" s="21"/>
      <c r="MBK89" s="21"/>
      <c r="MBL89" s="21"/>
      <c r="MBM89" s="21"/>
      <c r="MBN89" s="21"/>
      <c r="MBO89" s="21"/>
      <c r="MBP89" s="21"/>
      <c r="MBQ89" s="21"/>
      <c r="MBR89" s="21"/>
      <c r="MBS89" s="21"/>
      <c r="MBT89" s="21"/>
      <c r="MBU89" s="21"/>
      <c r="MBV89" s="21"/>
      <c r="MBW89" s="21"/>
      <c r="MBX89" s="21"/>
      <c r="MBY89" s="21"/>
      <c r="MBZ89" s="21"/>
      <c r="MCA89" s="21"/>
      <c r="MCB89" s="21"/>
      <c r="MCC89" s="21"/>
      <c r="MCD89" s="21"/>
      <c r="MCE89" s="21"/>
      <c r="MCF89" s="21"/>
      <c r="MCG89" s="21"/>
      <c r="MCH89" s="21"/>
      <c r="MCI89" s="21"/>
      <c r="MCJ89" s="21"/>
      <c r="MCK89" s="21"/>
      <c r="MCL89" s="21"/>
      <c r="MCM89" s="21"/>
      <c r="MCN89" s="21"/>
      <c r="MCO89" s="21"/>
      <c r="MCP89" s="21"/>
      <c r="MCQ89" s="21"/>
      <c r="MCR89" s="21"/>
      <c r="MCS89" s="21"/>
      <c r="MCT89" s="21"/>
      <c r="MCU89" s="21"/>
      <c r="MCV89" s="21"/>
      <c r="MCW89" s="21"/>
      <c r="MCX89" s="21"/>
      <c r="MCY89" s="21"/>
      <c r="MCZ89" s="21"/>
      <c r="MDA89" s="21"/>
      <c r="MDB89" s="21"/>
      <c r="MDC89" s="21"/>
      <c r="MDD89" s="21"/>
      <c r="MDE89" s="21"/>
      <c r="MDF89" s="21"/>
      <c r="MDG89" s="21"/>
      <c r="MDH89" s="21"/>
      <c r="MDI89" s="21"/>
      <c r="MDJ89" s="21"/>
      <c r="MDK89" s="21"/>
      <c r="MDL89" s="21"/>
      <c r="MDM89" s="21"/>
      <c r="MDN89" s="21"/>
      <c r="MDO89" s="21"/>
      <c r="MDP89" s="21"/>
      <c r="MDQ89" s="21"/>
      <c r="MDR89" s="21"/>
      <c r="MDS89" s="21"/>
      <c r="MDT89" s="21"/>
      <c r="MDU89" s="21"/>
      <c r="MDV89" s="21"/>
      <c r="MDW89" s="21"/>
      <c r="MDX89" s="21"/>
      <c r="MDY89" s="21"/>
      <c r="MDZ89" s="21"/>
      <c r="MEA89" s="21"/>
      <c r="MEB89" s="21"/>
      <c r="MEC89" s="21"/>
      <c r="MED89" s="21"/>
      <c r="MEE89" s="21"/>
      <c r="MEF89" s="21"/>
      <c r="MEG89" s="21"/>
      <c r="MEH89" s="21"/>
      <c r="MEI89" s="21"/>
      <c r="MEJ89" s="21"/>
      <c r="MEK89" s="21"/>
      <c r="MEL89" s="21"/>
      <c r="MEM89" s="21"/>
      <c r="MEN89" s="21"/>
      <c r="MEO89" s="21"/>
      <c r="MEP89" s="21"/>
      <c r="MEQ89" s="21"/>
      <c r="MER89" s="21"/>
      <c r="MES89" s="21"/>
      <c r="MET89" s="21"/>
      <c r="MEU89" s="21"/>
      <c r="MEV89" s="21"/>
      <c r="MEW89" s="21"/>
      <c r="MEX89" s="21"/>
      <c r="MEY89" s="21"/>
      <c r="MEZ89" s="21"/>
      <c r="MFA89" s="21"/>
      <c r="MFB89" s="21"/>
      <c r="MFC89" s="21"/>
      <c r="MFD89" s="21"/>
      <c r="MFE89" s="21"/>
      <c r="MFF89" s="21"/>
      <c r="MFG89" s="21"/>
      <c r="MFH89" s="21"/>
      <c r="MFI89" s="21"/>
      <c r="MFJ89" s="21"/>
      <c r="MFK89" s="21"/>
      <c r="MFL89" s="21"/>
      <c r="MFM89" s="21"/>
      <c r="MFN89" s="21"/>
      <c r="MFO89" s="21"/>
      <c r="MFP89" s="21"/>
      <c r="MFQ89" s="21"/>
      <c r="MFR89" s="21"/>
      <c r="MFS89" s="21"/>
      <c r="MFT89" s="21"/>
      <c r="MFU89" s="21"/>
      <c r="MFV89" s="21"/>
      <c r="MFW89" s="21"/>
      <c r="MFX89" s="21"/>
      <c r="MFY89" s="21"/>
      <c r="MFZ89" s="21"/>
      <c r="MGA89" s="21"/>
      <c r="MGB89" s="21"/>
      <c r="MGC89" s="21"/>
      <c r="MGD89" s="21"/>
      <c r="MGE89" s="21"/>
      <c r="MGF89" s="21"/>
      <c r="MGG89" s="21"/>
      <c r="MGH89" s="21"/>
      <c r="MGI89" s="21"/>
      <c r="MGJ89" s="21"/>
      <c r="MGK89" s="21"/>
      <c r="MGL89" s="21"/>
      <c r="MGM89" s="21"/>
      <c r="MGN89" s="21"/>
      <c r="MGO89" s="21"/>
      <c r="MGP89" s="21"/>
      <c r="MGQ89" s="21"/>
      <c r="MGR89" s="21"/>
      <c r="MGS89" s="21"/>
      <c r="MGT89" s="21"/>
      <c r="MGU89" s="21"/>
      <c r="MGV89" s="21"/>
      <c r="MGW89" s="21"/>
      <c r="MGX89" s="21"/>
      <c r="MGY89" s="21"/>
      <c r="MGZ89" s="21"/>
      <c r="MHA89" s="21"/>
      <c r="MHB89" s="21"/>
      <c r="MHC89" s="21"/>
      <c r="MHD89" s="21"/>
      <c r="MHE89" s="21"/>
      <c r="MHF89" s="21"/>
      <c r="MHG89" s="21"/>
      <c r="MHH89" s="21"/>
      <c r="MHI89" s="21"/>
      <c r="MHJ89" s="21"/>
      <c r="MHK89" s="21"/>
      <c r="MHL89" s="21"/>
      <c r="MHM89" s="21"/>
      <c r="MHN89" s="21"/>
      <c r="MHO89" s="21"/>
      <c r="MHP89" s="21"/>
      <c r="MHQ89" s="21"/>
      <c r="MHR89" s="21"/>
      <c r="MHS89" s="21"/>
      <c r="MHT89" s="21"/>
      <c r="MHU89" s="21"/>
      <c r="MHV89" s="21"/>
      <c r="MHW89" s="21"/>
      <c r="MHX89" s="21"/>
      <c r="MHY89" s="21"/>
      <c r="MHZ89" s="21"/>
      <c r="MIA89" s="21"/>
      <c r="MIB89" s="21"/>
      <c r="MIC89" s="21"/>
      <c r="MID89" s="21"/>
      <c r="MIE89" s="21"/>
      <c r="MIF89" s="21"/>
      <c r="MIG89" s="21"/>
      <c r="MIH89" s="21"/>
      <c r="MII89" s="21"/>
      <c r="MIJ89" s="21"/>
      <c r="MIK89" s="21"/>
      <c r="MIL89" s="21"/>
      <c r="MIM89" s="21"/>
      <c r="MIN89" s="21"/>
      <c r="MIO89" s="21"/>
      <c r="MIP89" s="21"/>
      <c r="MIQ89" s="21"/>
      <c r="MIR89" s="21"/>
      <c r="MIS89" s="21"/>
      <c r="MIT89" s="21"/>
      <c r="MIU89" s="21"/>
      <c r="MIV89" s="21"/>
      <c r="MIW89" s="21"/>
      <c r="MIX89" s="21"/>
      <c r="MIY89" s="21"/>
      <c r="MIZ89" s="21"/>
      <c r="MJA89" s="21"/>
      <c r="MJB89" s="21"/>
      <c r="MJC89" s="21"/>
      <c r="MJD89" s="21"/>
      <c r="MJE89" s="21"/>
      <c r="MJF89" s="21"/>
      <c r="MJG89" s="21"/>
      <c r="MJH89" s="21"/>
      <c r="MJI89" s="21"/>
      <c r="MJJ89" s="21"/>
      <c r="MJK89" s="21"/>
      <c r="MJL89" s="21"/>
      <c r="MJM89" s="21"/>
      <c r="MJN89" s="21"/>
      <c r="MJO89" s="21"/>
      <c r="MJP89" s="21"/>
      <c r="MJQ89" s="21"/>
      <c r="MJR89" s="21"/>
      <c r="MJS89" s="21"/>
      <c r="MJT89" s="21"/>
      <c r="MJU89" s="21"/>
      <c r="MJV89" s="21"/>
      <c r="MJW89" s="21"/>
      <c r="MJX89" s="21"/>
      <c r="MJY89" s="21"/>
      <c r="MJZ89" s="21"/>
      <c r="MKA89" s="21"/>
      <c r="MKB89" s="21"/>
      <c r="MKC89" s="21"/>
      <c r="MKD89" s="21"/>
      <c r="MKE89" s="21"/>
      <c r="MKF89" s="21"/>
      <c r="MKG89" s="21"/>
      <c r="MKH89" s="21"/>
      <c r="MKI89" s="21"/>
      <c r="MKJ89" s="21"/>
      <c r="MKK89" s="21"/>
      <c r="MKL89" s="21"/>
      <c r="MKM89" s="21"/>
      <c r="MKN89" s="21"/>
      <c r="MKO89" s="21"/>
      <c r="MKP89" s="21"/>
      <c r="MKQ89" s="21"/>
      <c r="MKR89" s="21"/>
      <c r="MKS89" s="21"/>
      <c r="MKT89" s="21"/>
      <c r="MKU89" s="21"/>
      <c r="MKV89" s="21"/>
      <c r="MKW89" s="21"/>
      <c r="MKX89" s="21"/>
      <c r="MKY89" s="21"/>
      <c r="MKZ89" s="21"/>
      <c r="MLA89" s="21"/>
      <c r="MLB89" s="21"/>
      <c r="MLC89" s="21"/>
      <c r="MLD89" s="21"/>
      <c r="MLE89" s="21"/>
      <c r="MLF89" s="21"/>
      <c r="MLG89" s="21"/>
      <c r="MLH89" s="21"/>
      <c r="MLI89" s="21"/>
      <c r="MLJ89" s="21"/>
      <c r="MLK89" s="21"/>
      <c r="MLL89" s="21"/>
      <c r="MLM89" s="21"/>
      <c r="MLN89" s="21"/>
      <c r="MLO89" s="21"/>
      <c r="MLP89" s="21"/>
      <c r="MLQ89" s="21"/>
      <c r="MLR89" s="21"/>
      <c r="MLS89" s="21"/>
      <c r="MLT89" s="21"/>
      <c r="MLU89" s="21"/>
      <c r="MLV89" s="21"/>
      <c r="MLW89" s="21"/>
      <c r="MLX89" s="21"/>
      <c r="MLY89" s="21"/>
      <c r="MLZ89" s="21"/>
      <c r="MMA89" s="21"/>
      <c r="MMB89" s="21"/>
      <c r="MMC89" s="21"/>
      <c r="MMD89" s="21"/>
      <c r="MME89" s="21"/>
      <c r="MMF89" s="21"/>
      <c r="MMG89" s="21"/>
      <c r="MMH89" s="21"/>
      <c r="MMI89" s="21"/>
      <c r="MMJ89" s="21"/>
      <c r="MMK89" s="21"/>
      <c r="MML89" s="21"/>
      <c r="MMM89" s="21"/>
      <c r="MMN89" s="21"/>
      <c r="MMO89" s="21"/>
      <c r="MMP89" s="21"/>
      <c r="MMQ89" s="21"/>
      <c r="MMR89" s="21"/>
      <c r="MMS89" s="21"/>
      <c r="MMT89" s="21"/>
      <c r="MMU89" s="21"/>
      <c r="MMV89" s="21"/>
      <c r="MMW89" s="21"/>
      <c r="MMX89" s="21"/>
      <c r="MMY89" s="21"/>
      <c r="MMZ89" s="21"/>
      <c r="MNA89" s="21"/>
      <c r="MNB89" s="21"/>
      <c r="MNC89" s="21"/>
      <c r="MND89" s="21"/>
      <c r="MNE89" s="21"/>
      <c r="MNF89" s="21"/>
      <c r="MNG89" s="21"/>
      <c r="MNH89" s="21"/>
      <c r="MNI89" s="21"/>
      <c r="MNJ89" s="21"/>
      <c r="MNK89" s="21"/>
      <c r="MNL89" s="21"/>
      <c r="MNM89" s="21"/>
      <c r="MNN89" s="21"/>
      <c r="MNO89" s="21"/>
      <c r="MNP89" s="21"/>
      <c r="MNQ89" s="21"/>
      <c r="MNR89" s="21"/>
      <c r="MNS89" s="21"/>
      <c r="MNT89" s="21"/>
      <c r="MNU89" s="21"/>
      <c r="MNV89" s="21"/>
      <c r="MNW89" s="21"/>
      <c r="MNX89" s="21"/>
      <c r="MNY89" s="21"/>
      <c r="MNZ89" s="21"/>
      <c r="MOA89" s="21"/>
      <c r="MOB89" s="21"/>
      <c r="MOC89" s="21"/>
      <c r="MOD89" s="21"/>
      <c r="MOE89" s="21"/>
      <c r="MOF89" s="21"/>
      <c r="MOG89" s="21"/>
      <c r="MOH89" s="21"/>
      <c r="MOI89" s="21"/>
      <c r="MOJ89" s="21"/>
      <c r="MOK89" s="21"/>
      <c r="MOL89" s="21"/>
      <c r="MOM89" s="21"/>
      <c r="MON89" s="21"/>
      <c r="MOO89" s="21"/>
      <c r="MOP89" s="21"/>
      <c r="MOQ89" s="21"/>
      <c r="MOR89" s="21"/>
      <c r="MOS89" s="21"/>
      <c r="MOT89" s="21"/>
      <c r="MOU89" s="21"/>
      <c r="MOV89" s="21"/>
      <c r="MOW89" s="21"/>
      <c r="MOX89" s="21"/>
      <c r="MOY89" s="21"/>
      <c r="MOZ89" s="21"/>
      <c r="MPA89" s="21"/>
      <c r="MPB89" s="21"/>
      <c r="MPC89" s="21"/>
      <c r="MPD89" s="21"/>
      <c r="MPE89" s="21"/>
      <c r="MPF89" s="21"/>
      <c r="MPG89" s="21"/>
      <c r="MPH89" s="21"/>
      <c r="MPI89" s="21"/>
      <c r="MPJ89" s="21"/>
      <c r="MPK89" s="21"/>
      <c r="MPL89" s="21"/>
      <c r="MPM89" s="21"/>
      <c r="MPN89" s="21"/>
      <c r="MPO89" s="21"/>
      <c r="MPP89" s="21"/>
      <c r="MPQ89" s="21"/>
      <c r="MPR89" s="21"/>
      <c r="MPS89" s="21"/>
      <c r="MPT89" s="21"/>
      <c r="MPU89" s="21"/>
      <c r="MPV89" s="21"/>
      <c r="MPW89" s="21"/>
      <c r="MPX89" s="21"/>
      <c r="MPY89" s="21"/>
      <c r="MPZ89" s="21"/>
      <c r="MQA89" s="21"/>
      <c r="MQB89" s="21"/>
      <c r="MQC89" s="21"/>
      <c r="MQD89" s="21"/>
      <c r="MQE89" s="21"/>
      <c r="MQF89" s="21"/>
      <c r="MQG89" s="21"/>
      <c r="MQH89" s="21"/>
      <c r="MQI89" s="21"/>
      <c r="MQJ89" s="21"/>
      <c r="MQK89" s="21"/>
      <c r="MQL89" s="21"/>
      <c r="MQM89" s="21"/>
      <c r="MQN89" s="21"/>
      <c r="MQO89" s="21"/>
      <c r="MQP89" s="21"/>
      <c r="MQQ89" s="21"/>
      <c r="MQR89" s="21"/>
      <c r="MQS89" s="21"/>
      <c r="MQT89" s="21"/>
      <c r="MQU89" s="21"/>
      <c r="MQV89" s="21"/>
      <c r="MQW89" s="21"/>
      <c r="MQX89" s="21"/>
      <c r="MQY89" s="21"/>
      <c r="MQZ89" s="21"/>
      <c r="MRA89" s="21"/>
      <c r="MRB89" s="21"/>
      <c r="MRC89" s="21"/>
      <c r="MRD89" s="21"/>
      <c r="MRE89" s="21"/>
      <c r="MRF89" s="21"/>
      <c r="MRG89" s="21"/>
      <c r="MRH89" s="21"/>
      <c r="MRI89" s="21"/>
      <c r="MRJ89" s="21"/>
      <c r="MRK89" s="21"/>
      <c r="MRL89" s="21"/>
      <c r="MRM89" s="21"/>
      <c r="MRN89" s="21"/>
      <c r="MRO89" s="21"/>
      <c r="MRP89" s="21"/>
      <c r="MRQ89" s="21"/>
      <c r="MRR89" s="21"/>
      <c r="MRS89" s="21"/>
      <c r="MRT89" s="21"/>
      <c r="MRU89" s="21"/>
      <c r="MRV89" s="21"/>
      <c r="MRW89" s="21"/>
      <c r="MRX89" s="21"/>
      <c r="MRY89" s="21"/>
      <c r="MRZ89" s="21"/>
      <c r="MSA89" s="21"/>
      <c r="MSB89" s="21"/>
      <c r="MSC89" s="21"/>
      <c r="MSD89" s="21"/>
      <c r="MSE89" s="21"/>
      <c r="MSF89" s="21"/>
      <c r="MSG89" s="21"/>
      <c r="MSH89" s="21"/>
      <c r="MSI89" s="21"/>
      <c r="MSJ89" s="21"/>
      <c r="MSK89" s="21"/>
      <c r="MSL89" s="21"/>
      <c r="MSM89" s="21"/>
      <c r="MSN89" s="21"/>
      <c r="MSO89" s="21"/>
      <c r="MSP89" s="21"/>
      <c r="MSQ89" s="21"/>
      <c r="MSR89" s="21"/>
      <c r="MSS89" s="21"/>
      <c r="MST89" s="21"/>
      <c r="MSU89" s="21"/>
      <c r="MSV89" s="21"/>
      <c r="MSW89" s="21"/>
      <c r="MSX89" s="21"/>
      <c r="MSY89" s="21"/>
      <c r="MSZ89" s="21"/>
      <c r="MTA89" s="21"/>
      <c r="MTB89" s="21"/>
      <c r="MTC89" s="21"/>
      <c r="MTD89" s="21"/>
      <c r="MTE89" s="21"/>
      <c r="MTF89" s="21"/>
      <c r="MTG89" s="21"/>
      <c r="MTH89" s="21"/>
      <c r="MTI89" s="21"/>
      <c r="MTJ89" s="21"/>
      <c r="MTK89" s="21"/>
      <c r="MTL89" s="21"/>
      <c r="MTM89" s="21"/>
      <c r="MTN89" s="21"/>
      <c r="MTO89" s="21"/>
      <c r="MTP89" s="21"/>
      <c r="MTQ89" s="21"/>
      <c r="MTR89" s="21"/>
      <c r="MTS89" s="21"/>
      <c r="MTT89" s="21"/>
      <c r="MTU89" s="21"/>
      <c r="MTV89" s="21"/>
      <c r="MTW89" s="21"/>
      <c r="MTX89" s="21"/>
      <c r="MTY89" s="21"/>
      <c r="MTZ89" s="21"/>
      <c r="MUA89" s="21"/>
      <c r="MUB89" s="21"/>
      <c r="MUC89" s="21"/>
      <c r="MUD89" s="21"/>
      <c r="MUE89" s="21"/>
      <c r="MUF89" s="21"/>
      <c r="MUG89" s="21"/>
      <c r="MUH89" s="21"/>
      <c r="MUI89" s="21"/>
      <c r="MUJ89" s="21"/>
      <c r="MUK89" s="21"/>
      <c r="MUL89" s="21"/>
      <c r="MUM89" s="21"/>
      <c r="MUN89" s="21"/>
      <c r="MUO89" s="21"/>
      <c r="MUP89" s="21"/>
      <c r="MUQ89" s="21"/>
      <c r="MUR89" s="21"/>
      <c r="MUS89" s="21"/>
      <c r="MUT89" s="21"/>
      <c r="MUU89" s="21"/>
      <c r="MUV89" s="21"/>
      <c r="MUW89" s="21"/>
      <c r="MUX89" s="21"/>
      <c r="MUY89" s="21"/>
      <c r="MUZ89" s="21"/>
      <c r="MVA89" s="21"/>
      <c r="MVB89" s="21"/>
      <c r="MVC89" s="21"/>
      <c r="MVD89" s="21"/>
      <c r="MVE89" s="21"/>
      <c r="MVF89" s="21"/>
      <c r="MVG89" s="21"/>
      <c r="MVH89" s="21"/>
      <c r="MVI89" s="21"/>
      <c r="MVJ89" s="21"/>
      <c r="MVK89" s="21"/>
      <c r="MVL89" s="21"/>
      <c r="MVM89" s="21"/>
      <c r="MVN89" s="21"/>
      <c r="MVO89" s="21"/>
      <c r="MVP89" s="21"/>
      <c r="MVQ89" s="21"/>
      <c r="MVR89" s="21"/>
      <c r="MVS89" s="21"/>
      <c r="MVT89" s="21"/>
      <c r="MVU89" s="21"/>
      <c r="MVV89" s="21"/>
      <c r="MVW89" s="21"/>
      <c r="MVX89" s="21"/>
      <c r="MVY89" s="21"/>
      <c r="MVZ89" s="21"/>
      <c r="MWA89" s="21"/>
      <c r="MWB89" s="21"/>
      <c r="MWC89" s="21"/>
      <c r="MWD89" s="21"/>
      <c r="MWE89" s="21"/>
      <c r="MWF89" s="21"/>
      <c r="MWG89" s="21"/>
      <c r="MWH89" s="21"/>
      <c r="MWI89" s="21"/>
      <c r="MWJ89" s="21"/>
      <c r="MWK89" s="21"/>
      <c r="MWL89" s="21"/>
      <c r="MWM89" s="21"/>
      <c r="MWN89" s="21"/>
      <c r="MWO89" s="21"/>
      <c r="MWP89" s="21"/>
      <c r="MWQ89" s="21"/>
      <c r="MWR89" s="21"/>
      <c r="MWS89" s="21"/>
      <c r="MWT89" s="21"/>
      <c r="MWU89" s="21"/>
      <c r="MWV89" s="21"/>
      <c r="MWW89" s="21"/>
      <c r="MWX89" s="21"/>
      <c r="MWY89" s="21"/>
      <c r="MWZ89" s="21"/>
      <c r="MXA89" s="21"/>
      <c r="MXB89" s="21"/>
      <c r="MXC89" s="21"/>
      <c r="MXD89" s="21"/>
      <c r="MXE89" s="21"/>
      <c r="MXF89" s="21"/>
      <c r="MXG89" s="21"/>
      <c r="MXH89" s="21"/>
      <c r="MXI89" s="21"/>
      <c r="MXJ89" s="21"/>
      <c r="MXK89" s="21"/>
      <c r="MXL89" s="21"/>
      <c r="MXM89" s="21"/>
      <c r="MXN89" s="21"/>
      <c r="MXO89" s="21"/>
      <c r="MXP89" s="21"/>
      <c r="MXQ89" s="21"/>
      <c r="MXR89" s="21"/>
      <c r="MXS89" s="21"/>
      <c r="MXT89" s="21"/>
      <c r="MXU89" s="21"/>
      <c r="MXV89" s="21"/>
      <c r="MXW89" s="21"/>
      <c r="MXX89" s="21"/>
      <c r="MXY89" s="21"/>
      <c r="MXZ89" s="21"/>
      <c r="MYA89" s="21"/>
      <c r="MYB89" s="21"/>
      <c r="MYC89" s="21"/>
      <c r="MYD89" s="21"/>
      <c r="MYE89" s="21"/>
      <c r="MYF89" s="21"/>
      <c r="MYG89" s="21"/>
      <c r="MYH89" s="21"/>
      <c r="MYI89" s="21"/>
      <c r="MYJ89" s="21"/>
      <c r="MYK89" s="21"/>
      <c r="MYL89" s="21"/>
      <c r="MYM89" s="21"/>
      <c r="MYN89" s="21"/>
      <c r="MYO89" s="21"/>
      <c r="MYP89" s="21"/>
      <c r="MYQ89" s="21"/>
      <c r="MYR89" s="21"/>
      <c r="MYS89" s="21"/>
      <c r="MYT89" s="21"/>
      <c r="MYU89" s="21"/>
      <c r="MYV89" s="21"/>
      <c r="MYW89" s="21"/>
      <c r="MYX89" s="21"/>
      <c r="MYY89" s="21"/>
      <c r="MYZ89" s="21"/>
      <c r="MZA89" s="21"/>
      <c r="MZB89" s="21"/>
      <c r="MZC89" s="21"/>
      <c r="MZD89" s="21"/>
      <c r="MZE89" s="21"/>
      <c r="MZF89" s="21"/>
      <c r="MZG89" s="21"/>
      <c r="MZH89" s="21"/>
      <c r="MZI89" s="21"/>
      <c r="MZJ89" s="21"/>
      <c r="MZK89" s="21"/>
      <c r="MZL89" s="21"/>
      <c r="MZM89" s="21"/>
      <c r="MZN89" s="21"/>
      <c r="MZO89" s="21"/>
      <c r="MZP89" s="21"/>
      <c r="MZQ89" s="21"/>
      <c r="MZR89" s="21"/>
      <c r="MZS89" s="21"/>
      <c r="MZT89" s="21"/>
      <c r="MZU89" s="21"/>
      <c r="MZV89" s="21"/>
      <c r="MZW89" s="21"/>
      <c r="MZX89" s="21"/>
      <c r="MZY89" s="21"/>
      <c r="MZZ89" s="21"/>
      <c r="NAA89" s="21"/>
      <c r="NAB89" s="21"/>
      <c r="NAC89" s="21"/>
      <c r="NAD89" s="21"/>
      <c r="NAE89" s="21"/>
      <c r="NAF89" s="21"/>
      <c r="NAG89" s="21"/>
      <c r="NAH89" s="21"/>
      <c r="NAI89" s="21"/>
      <c r="NAJ89" s="21"/>
      <c r="NAK89" s="21"/>
      <c r="NAL89" s="21"/>
      <c r="NAM89" s="21"/>
      <c r="NAN89" s="21"/>
      <c r="NAO89" s="21"/>
      <c r="NAP89" s="21"/>
      <c r="NAQ89" s="21"/>
      <c r="NAR89" s="21"/>
      <c r="NAS89" s="21"/>
      <c r="NAT89" s="21"/>
      <c r="NAU89" s="21"/>
      <c r="NAV89" s="21"/>
      <c r="NAW89" s="21"/>
      <c r="NAX89" s="21"/>
      <c r="NAY89" s="21"/>
      <c r="NAZ89" s="21"/>
      <c r="NBA89" s="21"/>
      <c r="NBB89" s="21"/>
      <c r="NBC89" s="21"/>
      <c r="NBD89" s="21"/>
      <c r="NBE89" s="21"/>
      <c r="NBF89" s="21"/>
      <c r="NBG89" s="21"/>
      <c r="NBH89" s="21"/>
      <c r="NBI89" s="21"/>
      <c r="NBJ89" s="21"/>
      <c r="NBK89" s="21"/>
      <c r="NBL89" s="21"/>
      <c r="NBM89" s="21"/>
      <c r="NBN89" s="21"/>
      <c r="NBO89" s="21"/>
      <c r="NBP89" s="21"/>
      <c r="NBQ89" s="21"/>
      <c r="NBR89" s="21"/>
      <c r="NBS89" s="21"/>
      <c r="NBT89" s="21"/>
      <c r="NBU89" s="21"/>
      <c r="NBV89" s="21"/>
      <c r="NBW89" s="21"/>
      <c r="NBX89" s="21"/>
      <c r="NBY89" s="21"/>
      <c r="NBZ89" s="21"/>
      <c r="NCA89" s="21"/>
      <c r="NCB89" s="21"/>
      <c r="NCC89" s="21"/>
      <c r="NCD89" s="21"/>
      <c r="NCE89" s="21"/>
      <c r="NCF89" s="21"/>
      <c r="NCG89" s="21"/>
      <c r="NCH89" s="21"/>
      <c r="NCI89" s="21"/>
      <c r="NCJ89" s="21"/>
      <c r="NCK89" s="21"/>
      <c r="NCL89" s="21"/>
      <c r="NCM89" s="21"/>
      <c r="NCN89" s="21"/>
      <c r="NCO89" s="21"/>
      <c r="NCP89" s="21"/>
      <c r="NCQ89" s="21"/>
      <c r="NCR89" s="21"/>
      <c r="NCS89" s="21"/>
      <c r="NCT89" s="21"/>
      <c r="NCU89" s="21"/>
      <c r="NCV89" s="21"/>
      <c r="NCW89" s="21"/>
      <c r="NCX89" s="21"/>
      <c r="NCY89" s="21"/>
      <c r="NCZ89" s="21"/>
      <c r="NDA89" s="21"/>
      <c r="NDB89" s="21"/>
      <c r="NDC89" s="21"/>
      <c r="NDD89" s="21"/>
      <c r="NDE89" s="21"/>
      <c r="NDF89" s="21"/>
      <c r="NDG89" s="21"/>
      <c r="NDH89" s="21"/>
      <c r="NDI89" s="21"/>
      <c r="NDJ89" s="21"/>
      <c r="NDK89" s="21"/>
      <c r="NDL89" s="21"/>
      <c r="NDM89" s="21"/>
      <c r="NDN89" s="21"/>
      <c r="NDO89" s="21"/>
      <c r="NDP89" s="21"/>
      <c r="NDQ89" s="21"/>
      <c r="NDR89" s="21"/>
      <c r="NDS89" s="21"/>
      <c r="NDT89" s="21"/>
      <c r="NDU89" s="21"/>
      <c r="NDV89" s="21"/>
      <c r="NDW89" s="21"/>
      <c r="NDX89" s="21"/>
      <c r="NDY89" s="21"/>
      <c r="NDZ89" s="21"/>
      <c r="NEA89" s="21"/>
      <c r="NEB89" s="21"/>
      <c r="NEC89" s="21"/>
      <c r="NED89" s="21"/>
      <c r="NEE89" s="21"/>
      <c r="NEF89" s="21"/>
      <c r="NEG89" s="21"/>
      <c r="NEH89" s="21"/>
      <c r="NEI89" s="21"/>
      <c r="NEJ89" s="21"/>
      <c r="NEK89" s="21"/>
      <c r="NEL89" s="21"/>
      <c r="NEM89" s="21"/>
      <c r="NEN89" s="21"/>
      <c r="NEO89" s="21"/>
      <c r="NEP89" s="21"/>
      <c r="NEQ89" s="21"/>
      <c r="NER89" s="21"/>
      <c r="NES89" s="21"/>
      <c r="NET89" s="21"/>
      <c r="NEU89" s="21"/>
      <c r="NEV89" s="21"/>
      <c r="NEW89" s="21"/>
      <c r="NEX89" s="21"/>
      <c r="NEY89" s="21"/>
      <c r="NEZ89" s="21"/>
      <c r="NFA89" s="21"/>
      <c r="NFB89" s="21"/>
      <c r="NFC89" s="21"/>
      <c r="NFD89" s="21"/>
      <c r="NFE89" s="21"/>
      <c r="NFF89" s="21"/>
      <c r="NFG89" s="21"/>
      <c r="NFH89" s="21"/>
      <c r="NFI89" s="21"/>
      <c r="NFJ89" s="21"/>
      <c r="NFK89" s="21"/>
      <c r="NFL89" s="21"/>
      <c r="NFM89" s="21"/>
      <c r="NFN89" s="21"/>
      <c r="NFO89" s="21"/>
      <c r="NFP89" s="21"/>
      <c r="NFQ89" s="21"/>
      <c r="NFR89" s="21"/>
      <c r="NFS89" s="21"/>
      <c r="NFT89" s="21"/>
      <c r="NFU89" s="21"/>
      <c r="NFV89" s="21"/>
      <c r="NFW89" s="21"/>
      <c r="NFX89" s="21"/>
      <c r="NFY89" s="21"/>
      <c r="NFZ89" s="21"/>
      <c r="NGA89" s="21"/>
      <c r="NGB89" s="21"/>
      <c r="NGC89" s="21"/>
      <c r="NGD89" s="21"/>
      <c r="NGE89" s="21"/>
      <c r="NGF89" s="21"/>
      <c r="NGG89" s="21"/>
      <c r="NGH89" s="21"/>
      <c r="NGI89" s="21"/>
      <c r="NGJ89" s="21"/>
      <c r="NGK89" s="21"/>
      <c r="NGL89" s="21"/>
      <c r="NGM89" s="21"/>
      <c r="NGN89" s="21"/>
      <c r="NGO89" s="21"/>
      <c r="NGP89" s="21"/>
      <c r="NGQ89" s="21"/>
      <c r="NGR89" s="21"/>
      <c r="NGS89" s="21"/>
      <c r="NGT89" s="21"/>
      <c r="NGU89" s="21"/>
      <c r="NGV89" s="21"/>
      <c r="NGW89" s="21"/>
      <c r="NGX89" s="21"/>
      <c r="NGY89" s="21"/>
      <c r="NGZ89" s="21"/>
      <c r="NHA89" s="21"/>
      <c r="NHB89" s="21"/>
      <c r="NHC89" s="21"/>
      <c r="NHD89" s="21"/>
      <c r="NHE89" s="21"/>
      <c r="NHF89" s="21"/>
      <c r="NHG89" s="21"/>
      <c r="NHH89" s="21"/>
      <c r="NHI89" s="21"/>
      <c r="NHJ89" s="21"/>
      <c r="NHK89" s="21"/>
      <c r="NHL89" s="21"/>
      <c r="NHM89" s="21"/>
      <c r="NHN89" s="21"/>
      <c r="NHO89" s="21"/>
      <c r="NHP89" s="21"/>
      <c r="NHQ89" s="21"/>
      <c r="NHR89" s="21"/>
      <c r="NHS89" s="21"/>
      <c r="NHT89" s="21"/>
      <c r="NHU89" s="21"/>
      <c r="NHV89" s="21"/>
      <c r="NHW89" s="21"/>
      <c r="NHX89" s="21"/>
      <c r="NHY89" s="21"/>
      <c r="NHZ89" s="21"/>
      <c r="NIA89" s="21"/>
      <c r="NIB89" s="21"/>
      <c r="NIC89" s="21"/>
      <c r="NID89" s="21"/>
      <c r="NIE89" s="21"/>
      <c r="NIF89" s="21"/>
      <c r="NIG89" s="21"/>
      <c r="NIH89" s="21"/>
      <c r="NII89" s="21"/>
      <c r="NIJ89" s="21"/>
      <c r="NIK89" s="21"/>
      <c r="NIL89" s="21"/>
      <c r="NIM89" s="21"/>
      <c r="NIN89" s="21"/>
      <c r="NIO89" s="21"/>
      <c r="NIP89" s="21"/>
      <c r="NIQ89" s="21"/>
      <c r="NIR89" s="21"/>
      <c r="NIS89" s="21"/>
      <c r="NIT89" s="21"/>
      <c r="NIU89" s="21"/>
      <c r="NIV89" s="21"/>
      <c r="NIW89" s="21"/>
      <c r="NIX89" s="21"/>
      <c r="NIY89" s="21"/>
      <c r="NIZ89" s="21"/>
      <c r="NJA89" s="21"/>
      <c r="NJB89" s="21"/>
      <c r="NJC89" s="21"/>
      <c r="NJD89" s="21"/>
      <c r="NJE89" s="21"/>
      <c r="NJF89" s="21"/>
      <c r="NJG89" s="21"/>
      <c r="NJH89" s="21"/>
      <c r="NJI89" s="21"/>
      <c r="NJJ89" s="21"/>
      <c r="NJK89" s="21"/>
      <c r="NJL89" s="21"/>
      <c r="NJM89" s="21"/>
      <c r="NJN89" s="21"/>
      <c r="NJO89" s="21"/>
      <c r="NJP89" s="21"/>
      <c r="NJQ89" s="21"/>
      <c r="NJR89" s="21"/>
      <c r="NJS89" s="21"/>
      <c r="NJT89" s="21"/>
      <c r="NJU89" s="21"/>
      <c r="NJV89" s="21"/>
      <c r="NJW89" s="21"/>
      <c r="NJX89" s="21"/>
      <c r="NJY89" s="21"/>
      <c r="NJZ89" s="21"/>
      <c r="NKA89" s="21"/>
      <c r="NKB89" s="21"/>
      <c r="NKC89" s="21"/>
      <c r="NKD89" s="21"/>
      <c r="NKE89" s="21"/>
      <c r="NKF89" s="21"/>
      <c r="NKG89" s="21"/>
      <c r="NKH89" s="21"/>
      <c r="NKI89" s="21"/>
      <c r="NKJ89" s="21"/>
      <c r="NKK89" s="21"/>
      <c r="NKL89" s="21"/>
      <c r="NKM89" s="21"/>
      <c r="NKN89" s="21"/>
      <c r="NKO89" s="21"/>
      <c r="NKP89" s="21"/>
      <c r="NKQ89" s="21"/>
      <c r="NKR89" s="21"/>
      <c r="NKS89" s="21"/>
      <c r="NKT89" s="21"/>
      <c r="NKU89" s="21"/>
      <c r="NKV89" s="21"/>
      <c r="NKW89" s="21"/>
      <c r="NKX89" s="21"/>
      <c r="NKY89" s="21"/>
      <c r="NKZ89" s="21"/>
      <c r="NLA89" s="21"/>
      <c r="NLB89" s="21"/>
      <c r="NLC89" s="21"/>
      <c r="NLD89" s="21"/>
      <c r="NLE89" s="21"/>
      <c r="NLF89" s="21"/>
      <c r="NLG89" s="21"/>
      <c r="NLH89" s="21"/>
      <c r="NLI89" s="21"/>
      <c r="NLJ89" s="21"/>
      <c r="NLK89" s="21"/>
      <c r="NLL89" s="21"/>
      <c r="NLM89" s="21"/>
      <c r="NLN89" s="21"/>
      <c r="NLO89" s="21"/>
      <c r="NLP89" s="21"/>
      <c r="NLQ89" s="21"/>
      <c r="NLR89" s="21"/>
      <c r="NLS89" s="21"/>
      <c r="NLT89" s="21"/>
      <c r="NLU89" s="21"/>
      <c r="NLV89" s="21"/>
      <c r="NLW89" s="21"/>
      <c r="NLX89" s="21"/>
      <c r="NLY89" s="21"/>
      <c r="NLZ89" s="21"/>
      <c r="NMA89" s="21"/>
      <c r="NMB89" s="21"/>
      <c r="NMC89" s="21"/>
      <c r="NMD89" s="21"/>
      <c r="NME89" s="21"/>
      <c r="NMF89" s="21"/>
      <c r="NMG89" s="21"/>
      <c r="NMH89" s="21"/>
      <c r="NMI89" s="21"/>
      <c r="NMJ89" s="21"/>
      <c r="NMK89" s="21"/>
      <c r="NML89" s="21"/>
      <c r="NMM89" s="21"/>
      <c r="NMN89" s="21"/>
      <c r="NMO89" s="21"/>
      <c r="NMP89" s="21"/>
      <c r="NMQ89" s="21"/>
      <c r="NMR89" s="21"/>
      <c r="NMS89" s="21"/>
      <c r="NMT89" s="21"/>
      <c r="NMU89" s="21"/>
      <c r="NMV89" s="21"/>
      <c r="NMW89" s="21"/>
      <c r="NMX89" s="21"/>
      <c r="NMY89" s="21"/>
      <c r="NMZ89" s="21"/>
      <c r="NNA89" s="21"/>
      <c r="NNB89" s="21"/>
      <c r="NNC89" s="21"/>
      <c r="NND89" s="21"/>
      <c r="NNE89" s="21"/>
      <c r="NNF89" s="21"/>
      <c r="NNG89" s="21"/>
      <c r="NNH89" s="21"/>
      <c r="NNI89" s="21"/>
      <c r="NNJ89" s="21"/>
      <c r="NNK89" s="21"/>
      <c r="NNL89" s="21"/>
      <c r="NNM89" s="21"/>
      <c r="NNN89" s="21"/>
      <c r="NNO89" s="21"/>
      <c r="NNP89" s="21"/>
      <c r="NNQ89" s="21"/>
      <c r="NNR89" s="21"/>
      <c r="NNS89" s="21"/>
      <c r="NNT89" s="21"/>
      <c r="NNU89" s="21"/>
      <c r="NNV89" s="21"/>
      <c r="NNW89" s="21"/>
      <c r="NNX89" s="21"/>
      <c r="NNY89" s="21"/>
      <c r="NNZ89" s="21"/>
      <c r="NOA89" s="21"/>
      <c r="NOB89" s="21"/>
      <c r="NOC89" s="21"/>
      <c r="NOD89" s="21"/>
      <c r="NOE89" s="21"/>
      <c r="NOF89" s="21"/>
      <c r="NOG89" s="21"/>
      <c r="NOH89" s="21"/>
      <c r="NOI89" s="21"/>
      <c r="NOJ89" s="21"/>
      <c r="NOK89" s="21"/>
      <c r="NOL89" s="21"/>
      <c r="NOM89" s="21"/>
      <c r="NON89" s="21"/>
      <c r="NOO89" s="21"/>
      <c r="NOP89" s="21"/>
      <c r="NOQ89" s="21"/>
      <c r="NOR89" s="21"/>
      <c r="NOS89" s="21"/>
      <c r="NOT89" s="21"/>
      <c r="NOU89" s="21"/>
      <c r="NOV89" s="21"/>
      <c r="NOW89" s="21"/>
      <c r="NOX89" s="21"/>
      <c r="NOY89" s="21"/>
      <c r="NOZ89" s="21"/>
      <c r="NPA89" s="21"/>
      <c r="NPB89" s="21"/>
      <c r="NPC89" s="21"/>
      <c r="NPD89" s="21"/>
      <c r="NPE89" s="21"/>
      <c r="NPF89" s="21"/>
      <c r="NPG89" s="21"/>
      <c r="NPH89" s="21"/>
      <c r="NPI89" s="21"/>
      <c r="NPJ89" s="21"/>
      <c r="NPK89" s="21"/>
      <c r="NPL89" s="21"/>
      <c r="NPM89" s="21"/>
      <c r="NPN89" s="21"/>
      <c r="NPO89" s="21"/>
      <c r="NPP89" s="21"/>
      <c r="NPQ89" s="21"/>
      <c r="NPR89" s="21"/>
      <c r="NPS89" s="21"/>
      <c r="NPT89" s="21"/>
      <c r="NPU89" s="21"/>
      <c r="NPV89" s="21"/>
      <c r="NPW89" s="21"/>
      <c r="NPX89" s="21"/>
      <c r="NPY89" s="21"/>
      <c r="NPZ89" s="21"/>
      <c r="NQA89" s="21"/>
      <c r="NQB89" s="21"/>
      <c r="NQC89" s="21"/>
      <c r="NQD89" s="21"/>
      <c r="NQE89" s="21"/>
      <c r="NQF89" s="21"/>
      <c r="NQG89" s="21"/>
      <c r="NQH89" s="21"/>
      <c r="NQI89" s="21"/>
      <c r="NQJ89" s="21"/>
      <c r="NQK89" s="21"/>
      <c r="NQL89" s="21"/>
      <c r="NQM89" s="21"/>
      <c r="NQN89" s="21"/>
      <c r="NQO89" s="21"/>
      <c r="NQP89" s="21"/>
      <c r="NQQ89" s="21"/>
      <c r="NQR89" s="21"/>
      <c r="NQS89" s="21"/>
      <c r="NQT89" s="21"/>
      <c r="NQU89" s="21"/>
      <c r="NQV89" s="21"/>
      <c r="NQW89" s="21"/>
      <c r="NQX89" s="21"/>
      <c r="NQY89" s="21"/>
      <c r="NQZ89" s="21"/>
      <c r="NRA89" s="21"/>
      <c r="NRB89" s="21"/>
      <c r="NRC89" s="21"/>
      <c r="NRD89" s="21"/>
      <c r="NRE89" s="21"/>
      <c r="NRF89" s="21"/>
      <c r="NRG89" s="21"/>
      <c r="NRH89" s="21"/>
      <c r="NRI89" s="21"/>
      <c r="NRJ89" s="21"/>
      <c r="NRK89" s="21"/>
      <c r="NRL89" s="21"/>
      <c r="NRM89" s="21"/>
      <c r="NRN89" s="21"/>
      <c r="NRO89" s="21"/>
      <c r="NRP89" s="21"/>
      <c r="NRQ89" s="21"/>
      <c r="NRR89" s="21"/>
      <c r="NRS89" s="21"/>
      <c r="NRT89" s="21"/>
      <c r="NRU89" s="21"/>
      <c r="NRV89" s="21"/>
      <c r="NRW89" s="21"/>
      <c r="NRX89" s="21"/>
      <c r="NRY89" s="21"/>
      <c r="NRZ89" s="21"/>
      <c r="NSA89" s="21"/>
      <c r="NSB89" s="21"/>
      <c r="NSC89" s="21"/>
      <c r="NSD89" s="21"/>
      <c r="NSE89" s="21"/>
      <c r="NSF89" s="21"/>
      <c r="NSG89" s="21"/>
      <c r="NSH89" s="21"/>
      <c r="NSI89" s="21"/>
      <c r="NSJ89" s="21"/>
      <c r="NSK89" s="21"/>
      <c r="NSL89" s="21"/>
      <c r="NSM89" s="21"/>
      <c r="NSN89" s="21"/>
      <c r="NSO89" s="21"/>
      <c r="NSP89" s="21"/>
      <c r="NSQ89" s="21"/>
      <c r="NSR89" s="21"/>
      <c r="NSS89" s="21"/>
      <c r="NST89" s="21"/>
      <c r="NSU89" s="21"/>
      <c r="NSV89" s="21"/>
      <c r="NSW89" s="21"/>
      <c r="NSX89" s="21"/>
      <c r="NSY89" s="21"/>
      <c r="NSZ89" s="21"/>
      <c r="NTA89" s="21"/>
      <c r="NTB89" s="21"/>
      <c r="NTC89" s="21"/>
      <c r="NTD89" s="21"/>
      <c r="NTE89" s="21"/>
      <c r="NTF89" s="21"/>
      <c r="NTG89" s="21"/>
      <c r="NTH89" s="21"/>
      <c r="NTI89" s="21"/>
      <c r="NTJ89" s="21"/>
      <c r="NTK89" s="21"/>
      <c r="NTL89" s="21"/>
      <c r="NTM89" s="21"/>
      <c r="NTN89" s="21"/>
      <c r="NTO89" s="21"/>
      <c r="NTP89" s="21"/>
      <c r="NTQ89" s="21"/>
      <c r="NTR89" s="21"/>
      <c r="NTS89" s="21"/>
      <c r="NTT89" s="21"/>
      <c r="NTU89" s="21"/>
      <c r="NTV89" s="21"/>
      <c r="NTW89" s="21"/>
      <c r="NTX89" s="21"/>
      <c r="NTY89" s="21"/>
      <c r="NTZ89" s="21"/>
      <c r="NUA89" s="21"/>
      <c r="NUB89" s="21"/>
      <c r="NUC89" s="21"/>
      <c r="NUD89" s="21"/>
      <c r="NUE89" s="21"/>
      <c r="NUF89" s="21"/>
      <c r="NUG89" s="21"/>
      <c r="NUH89" s="21"/>
      <c r="NUI89" s="21"/>
      <c r="NUJ89" s="21"/>
      <c r="NUK89" s="21"/>
      <c r="NUL89" s="21"/>
      <c r="NUM89" s="21"/>
      <c r="NUN89" s="21"/>
      <c r="NUO89" s="21"/>
      <c r="NUP89" s="21"/>
      <c r="NUQ89" s="21"/>
      <c r="NUR89" s="21"/>
      <c r="NUS89" s="21"/>
      <c r="NUT89" s="21"/>
      <c r="NUU89" s="21"/>
      <c r="NUV89" s="21"/>
      <c r="NUW89" s="21"/>
      <c r="NUX89" s="21"/>
      <c r="NUY89" s="21"/>
      <c r="NUZ89" s="21"/>
      <c r="NVA89" s="21"/>
      <c r="NVB89" s="21"/>
      <c r="NVC89" s="21"/>
      <c r="NVD89" s="21"/>
      <c r="NVE89" s="21"/>
      <c r="NVF89" s="21"/>
      <c r="NVG89" s="21"/>
      <c r="NVH89" s="21"/>
      <c r="NVI89" s="21"/>
      <c r="NVJ89" s="21"/>
      <c r="NVK89" s="21"/>
      <c r="NVL89" s="21"/>
      <c r="NVM89" s="21"/>
      <c r="NVN89" s="21"/>
      <c r="NVO89" s="21"/>
      <c r="NVP89" s="21"/>
      <c r="NVQ89" s="21"/>
      <c r="NVR89" s="21"/>
      <c r="NVS89" s="21"/>
      <c r="NVT89" s="21"/>
      <c r="NVU89" s="21"/>
      <c r="NVV89" s="21"/>
      <c r="NVW89" s="21"/>
      <c r="NVX89" s="21"/>
      <c r="NVY89" s="21"/>
      <c r="NVZ89" s="21"/>
      <c r="NWA89" s="21"/>
      <c r="NWB89" s="21"/>
      <c r="NWC89" s="21"/>
      <c r="NWD89" s="21"/>
      <c r="NWE89" s="21"/>
      <c r="NWF89" s="21"/>
      <c r="NWG89" s="21"/>
      <c r="NWH89" s="21"/>
      <c r="NWI89" s="21"/>
      <c r="NWJ89" s="21"/>
      <c r="NWK89" s="21"/>
      <c r="NWL89" s="21"/>
      <c r="NWM89" s="21"/>
      <c r="NWN89" s="21"/>
      <c r="NWO89" s="21"/>
      <c r="NWP89" s="21"/>
      <c r="NWQ89" s="21"/>
      <c r="NWR89" s="21"/>
      <c r="NWS89" s="21"/>
      <c r="NWT89" s="21"/>
      <c r="NWU89" s="21"/>
      <c r="NWV89" s="21"/>
      <c r="NWW89" s="21"/>
      <c r="NWX89" s="21"/>
      <c r="NWY89" s="21"/>
      <c r="NWZ89" s="21"/>
      <c r="NXA89" s="21"/>
      <c r="NXB89" s="21"/>
      <c r="NXC89" s="21"/>
      <c r="NXD89" s="21"/>
      <c r="NXE89" s="21"/>
      <c r="NXF89" s="21"/>
      <c r="NXG89" s="21"/>
      <c r="NXH89" s="21"/>
      <c r="NXI89" s="21"/>
      <c r="NXJ89" s="21"/>
      <c r="NXK89" s="21"/>
      <c r="NXL89" s="21"/>
      <c r="NXM89" s="21"/>
      <c r="NXN89" s="21"/>
      <c r="NXO89" s="21"/>
      <c r="NXP89" s="21"/>
      <c r="NXQ89" s="21"/>
      <c r="NXR89" s="21"/>
      <c r="NXS89" s="21"/>
      <c r="NXT89" s="21"/>
      <c r="NXU89" s="21"/>
      <c r="NXV89" s="21"/>
      <c r="NXW89" s="21"/>
      <c r="NXX89" s="21"/>
      <c r="NXY89" s="21"/>
      <c r="NXZ89" s="21"/>
      <c r="NYA89" s="21"/>
      <c r="NYB89" s="21"/>
      <c r="NYC89" s="21"/>
      <c r="NYD89" s="21"/>
      <c r="NYE89" s="21"/>
      <c r="NYF89" s="21"/>
      <c r="NYG89" s="21"/>
      <c r="NYH89" s="21"/>
      <c r="NYI89" s="21"/>
      <c r="NYJ89" s="21"/>
      <c r="NYK89" s="21"/>
      <c r="NYL89" s="21"/>
      <c r="NYM89" s="21"/>
      <c r="NYN89" s="21"/>
      <c r="NYO89" s="21"/>
      <c r="NYP89" s="21"/>
      <c r="NYQ89" s="21"/>
      <c r="NYR89" s="21"/>
      <c r="NYS89" s="21"/>
      <c r="NYT89" s="21"/>
      <c r="NYU89" s="21"/>
      <c r="NYV89" s="21"/>
      <c r="NYW89" s="21"/>
      <c r="NYX89" s="21"/>
      <c r="NYY89" s="21"/>
      <c r="NYZ89" s="21"/>
      <c r="NZA89" s="21"/>
      <c r="NZB89" s="21"/>
      <c r="NZC89" s="21"/>
      <c r="NZD89" s="21"/>
      <c r="NZE89" s="21"/>
      <c r="NZF89" s="21"/>
      <c r="NZG89" s="21"/>
      <c r="NZH89" s="21"/>
      <c r="NZI89" s="21"/>
      <c r="NZJ89" s="21"/>
      <c r="NZK89" s="21"/>
      <c r="NZL89" s="21"/>
      <c r="NZM89" s="21"/>
      <c r="NZN89" s="21"/>
      <c r="NZO89" s="21"/>
      <c r="NZP89" s="21"/>
      <c r="NZQ89" s="21"/>
      <c r="NZR89" s="21"/>
      <c r="NZS89" s="21"/>
      <c r="NZT89" s="21"/>
      <c r="NZU89" s="21"/>
      <c r="NZV89" s="21"/>
      <c r="NZW89" s="21"/>
      <c r="NZX89" s="21"/>
      <c r="NZY89" s="21"/>
      <c r="NZZ89" s="21"/>
      <c r="OAA89" s="21"/>
      <c r="OAB89" s="21"/>
      <c r="OAC89" s="21"/>
      <c r="OAD89" s="21"/>
      <c r="OAE89" s="21"/>
      <c r="OAF89" s="21"/>
      <c r="OAG89" s="21"/>
      <c r="OAH89" s="21"/>
      <c r="OAI89" s="21"/>
      <c r="OAJ89" s="21"/>
      <c r="OAK89" s="21"/>
      <c r="OAL89" s="21"/>
      <c r="OAM89" s="21"/>
      <c r="OAN89" s="21"/>
      <c r="OAO89" s="21"/>
      <c r="OAP89" s="21"/>
      <c r="OAQ89" s="21"/>
      <c r="OAR89" s="21"/>
      <c r="OAS89" s="21"/>
      <c r="OAT89" s="21"/>
      <c r="OAU89" s="21"/>
      <c r="OAV89" s="21"/>
      <c r="OAW89" s="21"/>
      <c r="OAX89" s="21"/>
      <c r="OAY89" s="21"/>
      <c r="OAZ89" s="21"/>
      <c r="OBA89" s="21"/>
      <c r="OBB89" s="21"/>
      <c r="OBC89" s="21"/>
      <c r="OBD89" s="21"/>
      <c r="OBE89" s="21"/>
      <c r="OBF89" s="21"/>
      <c r="OBG89" s="21"/>
      <c r="OBH89" s="21"/>
      <c r="OBI89" s="21"/>
      <c r="OBJ89" s="21"/>
      <c r="OBK89" s="21"/>
      <c r="OBL89" s="21"/>
      <c r="OBM89" s="21"/>
      <c r="OBN89" s="21"/>
      <c r="OBO89" s="21"/>
      <c r="OBP89" s="21"/>
      <c r="OBQ89" s="21"/>
      <c r="OBR89" s="21"/>
      <c r="OBS89" s="21"/>
      <c r="OBT89" s="21"/>
      <c r="OBU89" s="21"/>
      <c r="OBV89" s="21"/>
      <c r="OBW89" s="21"/>
      <c r="OBX89" s="21"/>
      <c r="OBY89" s="21"/>
      <c r="OBZ89" s="21"/>
      <c r="OCA89" s="21"/>
      <c r="OCB89" s="21"/>
      <c r="OCC89" s="21"/>
      <c r="OCD89" s="21"/>
      <c r="OCE89" s="21"/>
      <c r="OCF89" s="21"/>
      <c r="OCG89" s="21"/>
      <c r="OCH89" s="21"/>
      <c r="OCI89" s="21"/>
      <c r="OCJ89" s="21"/>
      <c r="OCK89" s="21"/>
      <c r="OCL89" s="21"/>
      <c r="OCM89" s="21"/>
      <c r="OCN89" s="21"/>
      <c r="OCO89" s="21"/>
      <c r="OCP89" s="21"/>
      <c r="OCQ89" s="21"/>
      <c r="OCR89" s="21"/>
      <c r="OCS89" s="21"/>
      <c r="OCT89" s="21"/>
      <c r="OCU89" s="21"/>
      <c r="OCV89" s="21"/>
      <c r="OCW89" s="21"/>
      <c r="OCX89" s="21"/>
      <c r="OCY89" s="21"/>
      <c r="OCZ89" s="21"/>
      <c r="ODA89" s="21"/>
      <c r="ODB89" s="21"/>
      <c r="ODC89" s="21"/>
      <c r="ODD89" s="21"/>
      <c r="ODE89" s="21"/>
      <c r="ODF89" s="21"/>
      <c r="ODG89" s="21"/>
      <c r="ODH89" s="21"/>
      <c r="ODI89" s="21"/>
      <c r="ODJ89" s="21"/>
      <c r="ODK89" s="21"/>
      <c r="ODL89" s="21"/>
      <c r="ODM89" s="21"/>
      <c r="ODN89" s="21"/>
      <c r="ODO89" s="21"/>
      <c r="ODP89" s="21"/>
      <c r="ODQ89" s="21"/>
      <c r="ODR89" s="21"/>
      <c r="ODS89" s="21"/>
      <c r="ODT89" s="21"/>
      <c r="ODU89" s="21"/>
      <c r="ODV89" s="21"/>
      <c r="ODW89" s="21"/>
      <c r="ODX89" s="21"/>
      <c r="ODY89" s="21"/>
      <c r="ODZ89" s="21"/>
      <c r="OEA89" s="21"/>
      <c r="OEB89" s="21"/>
      <c r="OEC89" s="21"/>
      <c r="OED89" s="21"/>
      <c r="OEE89" s="21"/>
      <c r="OEF89" s="21"/>
      <c r="OEG89" s="21"/>
      <c r="OEH89" s="21"/>
      <c r="OEI89" s="21"/>
      <c r="OEJ89" s="21"/>
      <c r="OEK89" s="21"/>
      <c r="OEL89" s="21"/>
      <c r="OEM89" s="21"/>
      <c r="OEN89" s="21"/>
      <c r="OEO89" s="21"/>
      <c r="OEP89" s="21"/>
      <c r="OEQ89" s="21"/>
      <c r="OER89" s="21"/>
      <c r="OES89" s="21"/>
      <c r="OET89" s="21"/>
      <c r="OEU89" s="21"/>
      <c r="OEV89" s="21"/>
      <c r="OEW89" s="21"/>
      <c r="OEX89" s="21"/>
      <c r="OEY89" s="21"/>
      <c r="OEZ89" s="21"/>
      <c r="OFA89" s="21"/>
      <c r="OFB89" s="21"/>
      <c r="OFC89" s="21"/>
      <c r="OFD89" s="21"/>
      <c r="OFE89" s="21"/>
      <c r="OFF89" s="21"/>
      <c r="OFG89" s="21"/>
      <c r="OFH89" s="21"/>
      <c r="OFI89" s="21"/>
      <c r="OFJ89" s="21"/>
      <c r="OFK89" s="21"/>
      <c r="OFL89" s="21"/>
      <c r="OFM89" s="21"/>
      <c r="OFN89" s="21"/>
      <c r="OFO89" s="21"/>
      <c r="OFP89" s="21"/>
      <c r="OFQ89" s="21"/>
      <c r="OFR89" s="21"/>
      <c r="OFS89" s="21"/>
      <c r="OFT89" s="21"/>
      <c r="OFU89" s="21"/>
      <c r="OFV89" s="21"/>
      <c r="OFW89" s="21"/>
      <c r="OFX89" s="21"/>
      <c r="OFY89" s="21"/>
      <c r="OFZ89" s="21"/>
      <c r="OGA89" s="21"/>
      <c r="OGB89" s="21"/>
      <c r="OGC89" s="21"/>
      <c r="OGD89" s="21"/>
      <c r="OGE89" s="21"/>
      <c r="OGF89" s="21"/>
      <c r="OGG89" s="21"/>
      <c r="OGH89" s="21"/>
      <c r="OGI89" s="21"/>
      <c r="OGJ89" s="21"/>
      <c r="OGK89" s="21"/>
      <c r="OGL89" s="21"/>
      <c r="OGM89" s="21"/>
      <c r="OGN89" s="21"/>
      <c r="OGO89" s="21"/>
      <c r="OGP89" s="21"/>
      <c r="OGQ89" s="21"/>
      <c r="OGR89" s="21"/>
      <c r="OGS89" s="21"/>
      <c r="OGT89" s="21"/>
      <c r="OGU89" s="21"/>
      <c r="OGV89" s="21"/>
      <c r="OGW89" s="21"/>
      <c r="OGX89" s="21"/>
      <c r="OGY89" s="21"/>
      <c r="OGZ89" s="21"/>
      <c r="OHA89" s="21"/>
      <c r="OHB89" s="21"/>
      <c r="OHC89" s="21"/>
      <c r="OHD89" s="21"/>
      <c r="OHE89" s="21"/>
      <c r="OHF89" s="21"/>
      <c r="OHG89" s="21"/>
      <c r="OHH89" s="21"/>
      <c r="OHI89" s="21"/>
      <c r="OHJ89" s="21"/>
      <c r="OHK89" s="21"/>
      <c r="OHL89" s="21"/>
      <c r="OHM89" s="21"/>
      <c r="OHN89" s="21"/>
      <c r="OHO89" s="21"/>
      <c r="OHP89" s="21"/>
      <c r="OHQ89" s="21"/>
      <c r="OHR89" s="21"/>
      <c r="OHS89" s="21"/>
      <c r="OHT89" s="21"/>
      <c r="OHU89" s="21"/>
      <c r="OHV89" s="21"/>
      <c r="OHW89" s="21"/>
      <c r="OHX89" s="21"/>
      <c r="OHY89" s="21"/>
      <c r="OHZ89" s="21"/>
      <c r="OIA89" s="21"/>
      <c r="OIB89" s="21"/>
      <c r="OIC89" s="21"/>
      <c r="OID89" s="21"/>
      <c r="OIE89" s="21"/>
      <c r="OIF89" s="21"/>
      <c r="OIG89" s="21"/>
      <c r="OIH89" s="21"/>
      <c r="OII89" s="21"/>
      <c r="OIJ89" s="21"/>
      <c r="OIK89" s="21"/>
      <c r="OIL89" s="21"/>
      <c r="OIM89" s="21"/>
      <c r="OIN89" s="21"/>
      <c r="OIO89" s="21"/>
      <c r="OIP89" s="21"/>
      <c r="OIQ89" s="21"/>
      <c r="OIR89" s="21"/>
      <c r="OIS89" s="21"/>
      <c r="OIT89" s="21"/>
      <c r="OIU89" s="21"/>
      <c r="OIV89" s="21"/>
      <c r="OIW89" s="21"/>
      <c r="OIX89" s="21"/>
      <c r="OIY89" s="21"/>
      <c r="OIZ89" s="21"/>
      <c r="OJA89" s="21"/>
      <c r="OJB89" s="21"/>
      <c r="OJC89" s="21"/>
      <c r="OJD89" s="21"/>
      <c r="OJE89" s="21"/>
      <c r="OJF89" s="21"/>
      <c r="OJG89" s="21"/>
      <c r="OJH89" s="21"/>
      <c r="OJI89" s="21"/>
      <c r="OJJ89" s="21"/>
      <c r="OJK89" s="21"/>
      <c r="OJL89" s="21"/>
      <c r="OJM89" s="21"/>
      <c r="OJN89" s="21"/>
      <c r="OJO89" s="21"/>
      <c r="OJP89" s="21"/>
      <c r="OJQ89" s="21"/>
      <c r="OJR89" s="21"/>
      <c r="OJS89" s="21"/>
      <c r="OJT89" s="21"/>
      <c r="OJU89" s="21"/>
      <c r="OJV89" s="21"/>
      <c r="OJW89" s="21"/>
      <c r="OJX89" s="21"/>
      <c r="OJY89" s="21"/>
      <c r="OJZ89" s="21"/>
      <c r="OKA89" s="21"/>
      <c r="OKB89" s="21"/>
      <c r="OKC89" s="21"/>
      <c r="OKD89" s="21"/>
      <c r="OKE89" s="21"/>
      <c r="OKF89" s="21"/>
      <c r="OKG89" s="21"/>
      <c r="OKH89" s="21"/>
      <c r="OKI89" s="21"/>
      <c r="OKJ89" s="21"/>
      <c r="OKK89" s="21"/>
      <c r="OKL89" s="21"/>
      <c r="OKM89" s="21"/>
      <c r="OKN89" s="21"/>
      <c r="OKO89" s="21"/>
      <c r="OKP89" s="21"/>
      <c r="OKQ89" s="21"/>
      <c r="OKR89" s="21"/>
      <c r="OKS89" s="21"/>
      <c r="OKT89" s="21"/>
      <c r="OKU89" s="21"/>
      <c r="OKV89" s="21"/>
      <c r="OKW89" s="21"/>
      <c r="OKX89" s="21"/>
      <c r="OKY89" s="21"/>
      <c r="OKZ89" s="21"/>
      <c r="OLA89" s="21"/>
      <c r="OLB89" s="21"/>
      <c r="OLC89" s="21"/>
      <c r="OLD89" s="21"/>
      <c r="OLE89" s="21"/>
      <c r="OLF89" s="21"/>
      <c r="OLG89" s="21"/>
      <c r="OLH89" s="21"/>
      <c r="OLI89" s="21"/>
      <c r="OLJ89" s="21"/>
      <c r="OLK89" s="21"/>
      <c r="OLL89" s="21"/>
      <c r="OLM89" s="21"/>
      <c r="OLN89" s="21"/>
      <c r="OLO89" s="21"/>
      <c r="OLP89" s="21"/>
      <c r="OLQ89" s="21"/>
      <c r="OLR89" s="21"/>
      <c r="OLS89" s="21"/>
      <c r="OLT89" s="21"/>
      <c r="OLU89" s="21"/>
      <c r="OLV89" s="21"/>
      <c r="OLW89" s="21"/>
      <c r="OLX89" s="21"/>
      <c r="OLY89" s="21"/>
      <c r="OLZ89" s="21"/>
      <c r="OMA89" s="21"/>
      <c r="OMB89" s="21"/>
      <c r="OMC89" s="21"/>
      <c r="OMD89" s="21"/>
      <c r="OME89" s="21"/>
      <c r="OMF89" s="21"/>
      <c r="OMG89" s="21"/>
      <c r="OMH89" s="21"/>
      <c r="OMI89" s="21"/>
      <c r="OMJ89" s="21"/>
      <c r="OMK89" s="21"/>
      <c r="OML89" s="21"/>
      <c r="OMM89" s="21"/>
      <c r="OMN89" s="21"/>
      <c r="OMO89" s="21"/>
      <c r="OMP89" s="21"/>
      <c r="OMQ89" s="21"/>
      <c r="OMR89" s="21"/>
      <c r="OMS89" s="21"/>
      <c r="OMT89" s="21"/>
      <c r="OMU89" s="21"/>
      <c r="OMV89" s="21"/>
      <c r="OMW89" s="21"/>
      <c r="OMX89" s="21"/>
      <c r="OMY89" s="21"/>
      <c r="OMZ89" s="21"/>
      <c r="ONA89" s="21"/>
      <c r="ONB89" s="21"/>
      <c r="ONC89" s="21"/>
      <c r="OND89" s="21"/>
      <c r="ONE89" s="21"/>
      <c r="ONF89" s="21"/>
      <c r="ONG89" s="21"/>
      <c r="ONH89" s="21"/>
      <c r="ONI89" s="21"/>
      <c r="ONJ89" s="21"/>
      <c r="ONK89" s="21"/>
      <c r="ONL89" s="21"/>
      <c r="ONM89" s="21"/>
      <c r="ONN89" s="21"/>
      <c r="ONO89" s="21"/>
      <c r="ONP89" s="21"/>
      <c r="ONQ89" s="21"/>
      <c r="ONR89" s="21"/>
      <c r="ONS89" s="21"/>
      <c r="ONT89" s="21"/>
      <c r="ONU89" s="21"/>
      <c r="ONV89" s="21"/>
      <c r="ONW89" s="21"/>
      <c r="ONX89" s="21"/>
      <c r="ONY89" s="21"/>
      <c r="ONZ89" s="21"/>
      <c r="OOA89" s="21"/>
      <c r="OOB89" s="21"/>
      <c r="OOC89" s="21"/>
      <c r="OOD89" s="21"/>
      <c r="OOE89" s="21"/>
      <c r="OOF89" s="21"/>
      <c r="OOG89" s="21"/>
      <c r="OOH89" s="21"/>
      <c r="OOI89" s="21"/>
      <c r="OOJ89" s="21"/>
      <c r="OOK89" s="21"/>
      <c r="OOL89" s="21"/>
      <c r="OOM89" s="21"/>
      <c r="OON89" s="21"/>
      <c r="OOO89" s="21"/>
      <c r="OOP89" s="21"/>
      <c r="OOQ89" s="21"/>
      <c r="OOR89" s="21"/>
      <c r="OOS89" s="21"/>
      <c r="OOT89" s="21"/>
      <c r="OOU89" s="21"/>
      <c r="OOV89" s="21"/>
      <c r="OOW89" s="21"/>
      <c r="OOX89" s="21"/>
      <c r="OOY89" s="21"/>
      <c r="OOZ89" s="21"/>
      <c r="OPA89" s="21"/>
      <c r="OPB89" s="21"/>
      <c r="OPC89" s="21"/>
      <c r="OPD89" s="21"/>
      <c r="OPE89" s="21"/>
      <c r="OPF89" s="21"/>
      <c r="OPG89" s="21"/>
      <c r="OPH89" s="21"/>
      <c r="OPI89" s="21"/>
      <c r="OPJ89" s="21"/>
      <c r="OPK89" s="21"/>
      <c r="OPL89" s="21"/>
      <c r="OPM89" s="21"/>
      <c r="OPN89" s="21"/>
      <c r="OPO89" s="21"/>
      <c r="OPP89" s="21"/>
      <c r="OPQ89" s="21"/>
      <c r="OPR89" s="21"/>
      <c r="OPS89" s="21"/>
      <c r="OPT89" s="21"/>
      <c r="OPU89" s="21"/>
      <c r="OPV89" s="21"/>
      <c r="OPW89" s="21"/>
      <c r="OPX89" s="21"/>
      <c r="OPY89" s="21"/>
      <c r="OPZ89" s="21"/>
      <c r="OQA89" s="21"/>
      <c r="OQB89" s="21"/>
      <c r="OQC89" s="21"/>
      <c r="OQD89" s="21"/>
      <c r="OQE89" s="21"/>
      <c r="OQF89" s="21"/>
      <c r="OQG89" s="21"/>
      <c r="OQH89" s="21"/>
      <c r="OQI89" s="21"/>
      <c r="OQJ89" s="21"/>
      <c r="OQK89" s="21"/>
      <c r="OQL89" s="21"/>
      <c r="OQM89" s="21"/>
      <c r="OQN89" s="21"/>
      <c r="OQO89" s="21"/>
      <c r="OQP89" s="21"/>
      <c r="OQQ89" s="21"/>
      <c r="OQR89" s="21"/>
      <c r="OQS89" s="21"/>
      <c r="OQT89" s="21"/>
      <c r="OQU89" s="21"/>
      <c r="OQV89" s="21"/>
      <c r="OQW89" s="21"/>
      <c r="OQX89" s="21"/>
      <c r="OQY89" s="21"/>
      <c r="OQZ89" s="21"/>
      <c r="ORA89" s="21"/>
      <c r="ORB89" s="21"/>
      <c r="ORC89" s="21"/>
      <c r="ORD89" s="21"/>
      <c r="ORE89" s="21"/>
      <c r="ORF89" s="21"/>
      <c r="ORG89" s="21"/>
      <c r="ORH89" s="21"/>
      <c r="ORI89" s="21"/>
      <c r="ORJ89" s="21"/>
      <c r="ORK89" s="21"/>
      <c r="ORL89" s="21"/>
      <c r="ORM89" s="21"/>
      <c r="ORN89" s="21"/>
      <c r="ORO89" s="21"/>
      <c r="ORP89" s="21"/>
      <c r="ORQ89" s="21"/>
      <c r="ORR89" s="21"/>
      <c r="ORS89" s="21"/>
      <c r="ORT89" s="21"/>
      <c r="ORU89" s="21"/>
      <c r="ORV89" s="21"/>
      <c r="ORW89" s="21"/>
      <c r="ORX89" s="21"/>
      <c r="ORY89" s="21"/>
      <c r="ORZ89" s="21"/>
      <c r="OSA89" s="21"/>
      <c r="OSB89" s="21"/>
      <c r="OSC89" s="21"/>
      <c r="OSD89" s="21"/>
      <c r="OSE89" s="21"/>
      <c r="OSF89" s="21"/>
      <c r="OSG89" s="21"/>
      <c r="OSH89" s="21"/>
      <c r="OSI89" s="21"/>
      <c r="OSJ89" s="21"/>
      <c r="OSK89" s="21"/>
      <c r="OSL89" s="21"/>
      <c r="OSM89" s="21"/>
      <c r="OSN89" s="21"/>
      <c r="OSO89" s="21"/>
      <c r="OSP89" s="21"/>
      <c r="OSQ89" s="21"/>
      <c r="OSR89" s="21"/>
      <c r="OSS89" s="21"/>
      <c r="OST89" s="21"/>
      <c r="OSU89" s="21"/>
      <c r="OSV89" s="21"/>
      <c r="OSW89" s="21"/>
      <c r="OSX89" s="21"/>
      <c r="OSY89" s="21"/>
      <c r="OSZ89" s="21"/>
      <c r="OTA89" s="21"/>
      <c r="OTB89" s="21"/>
      <c r="OTC89" s="21"/>
      <c r="OTD89" s="21"/>
      <c r="OTE89" s="21"/>
      <c r="OTF89" s="21"/>
      <c r="OTG89" s="21"/>
      <c r="OTH89" s="21"/>
      <c r="OTI89" s="21"/>
      <c r="OTJ89" s="21"/>
      <c r="OTK89" s="21"/>
      <c r="OTL89" s="21"/>
      <c r="OTM89" s="21"/>
      <c r="OTN89" s="21"/>
      <c r="OTO89" s="21"/>
      <c r="OTP89" s="21"/>
      <c r="OTQ89" s="21"/>
      <c r="OTR89" s="21"/>
      <c r="OTS89" s="21"/>
      <c r="OTT89" s="21"/>
      <c r="OTU89" s="21"/>
      <c r="OTV89" s="21"/>
      <c r="OTW89" s="21"/>
      <c r="OTX89" s="21"/>
      <c r="OTY89" s="21"/>
      <c r="OTZ89" s="21"/>
      <c r="OUA89" s="21"/>
      <c r="OUB89" s="21"/>
      <c r="OUC89" s="21"/>
      <c r="OUD89" s="21"/>
      <c r="OUE89" s="21"/>
      <c r="OUF89" s="21"/>
      <c r="OUG89" s="21"/>
      <c r="OUH89" s="21"/>
      <c r="OUI89" s="21"/>
      <c r="OUJ89" s="21"/>
      <c r="OUK89" s="21"/>
      <c r="OUL89" s="21"/>
      <c r="OUM89" s="21"/>
      <c r="OUN89" s="21"/>
      <c r="OUO89" s="21"/>
      <c r="OUP89" s="21"/>
      <c r="OUQ89" s="21"/>
      <c r="OUR89" s="21"/>
      <c r="OUS89" s="21"/>
      <c r="OUT89" s="21"/>
      <c r="OUU89" s="21"/>
      <c r="OUV89" s="21"/>
      <c r="OUW89" s="21"/>
      <c r="OUX89" s="21"/>
      <c r="OUY89" s="21"/>
      <c r="OUZ89" s="21"/>
      <c r="OVA89" s="21"/>
      <c r="OVB89" s="21"/>
      <c r="OVC89" s="21"/>
      <c r="OVD89" s="21"/>
      <c r="OVE89" s="21"/>
      <c r="OVF89" s="21"/>
      <c r="OVG89" s="21"/>
      <c r="OVH89" s="21"/>
      <c r="OVI89" s="21"/>
      <c r="OVJ89" s="21"/>
      <c r="OVK89" s="21"/>
      <c r="OVL89" s="21"/>
      <c r="OVM89" s="21"/>
      <c r="OVN89" s="21"/>
      <c r="OVO89" s="21"/>
      <c r="OVP89" s="21"/>
      <c r="OVQ89" s="21"/>
      <c r="OVR89" s="21"/>
      <c r="OVS89" s="21"/>
      <c r="OVT89" s="21"/>
      <c r="OVU89" s="21"/>
      <c r="OVV89" s="21"/>
      <c r="OVW89" s="21"/>
      <c r="OVX89" s="21"/>
      <c r="OVY89" s="21"/>
      <c r="OVZ89" s="21"/>
      <c r="OWA89" s="21"/>
      <c r="OWB89" s="21"/>
      <c r="OWC89" s="21"/>
      <c r="OWD89" s="21"/>
      <c r="OWE89" s="21"/>
      <c r="OWF89" s="21"/>
      <c r="OWG89" s="21"/>
      <c r="OWH89" s="21"/>
      <c r="OWI89" s="21"/>
      <c r="OWJ89" s="21"/>
      <c r="OWK89" s="21"/>
      <c r="OWL89" s="21"/>
      <c r="OWM89" s="21"/>
      <c r="OWN89" s="21"/>
      <c r="OWO89" s="21"/>
      <c r="OWP89" s="21"/>
      <c r="OWQ89" s="21"/>
      <c r="OWR89" s="21"/>
      <c r="OWS89" s="21"/>
      <c r="OWT89" s="21"/>
      <c r="OWU89" s="21"/>
      <c r="OWV89" s="21"/>
      <c r="OWW89" s="21"/>
      <c r="OWX89" s="21"/>
      <c r="OWY89" s="21"/>
      <c r="OWZ89" s="21"/>
      <c r="OXA89" s="21"/>
      <c r="OXB89" s="21"/>
      <c r="OXC89" s="21"/>
      <c r="OXD89" s="21"/>
      <c r="OXE89" s="21"/>
      <c r="OXF89" s="21"/>
      <c r="OXG89" s="21"/>
      <c r="OXH89" s="21"/>
      <c r="OXI89" s="21"/>
      <c r="OXJ89" s="21"/>
      <c r="OXK89" s="21"/>
      <c r="OXL89" s="21"/>
      <c r="OXM89" s="21"/>
      <c r="OXN89" s="21"/>
      <c r="OXO89" s="21"/>
      <c r="OXP89" s="21"/>
      <c r="OXQ89" s="21"/>
      <c r="OXR89" s="21"/>
      <c r="OXS89" s="21"/>
      <c r="OXT89" s="21"/>
      <c r="OXU89" s="21"/>
      <c r="OXV89" s="21"/>
      <c r="OXW89" s="21"/>
      <c r="OXX89" s="21"/>
      <c r="OXY89" s="21"/>
      <c r="OXZ89" s="21"/>
      <c r="OYA89" s="21"/>
      <c r="OYB89" s="21"/>
      <c r="OYC89" s="21"/>
      <c r="OYD89" s="21"/>
      <c r="OYE89" s="21"/>
      <c r="OYF89" s="21"/>
      <c r="OYG89" s="21"/>
      <c r="OYH89" s="21"/>
      <c r="OYI89" s="21"/>
      <c r="OYJ89" s="21"/>
      <c r="OYK89" s="21"/>
      <c r="OYL89" s="21"/>
      <c r="OYM89" s="21"/>
      <c r="OYN89" s="21"/>
      <c r="OYO89" s="21"/>
      <c r="OYP89" s="21"/>
      <c r="OYQ89" s="21"/>
      <c r="OYR89" s="21"/>
      <c r="OYS89" s="21"/>
      <c r="OYT89" s="21"/>
      <c r="OYU89" s="21"/>
      <c r="OYV89" s="21"/>
      <c r="OYW89" s="21"/>
      <c r="OYX89" s="21"/>
      <c r="OYY89" s="21"/>
      <c r="OYZ89" s="21"/>
      <c r="OZA89" s="21"/>
      <c r="OZB89" s="21"/>
      <c r="OZC89" s="21"/>
      <c r="OZD89" s="21"/>
      <c r="OZE89" s="21"/>
      <c r="OZF89" s="21"/>
      <c r="OZG89" s="21"/>
      <c r="OZH89" s="21"/>
      <c r="OZI89" s="21"/>
      <c r="OZJ89" s="21"/>
      <c r="OZK89" s="21"/>
      <c r="OZL89" s="21"/>
      <c r="OZM89" s="21"/>
      <c r="OZN89" s="21"/>
      <c r="OZO89" s="21"/>
      <c r="OZP89" s="21"/>
      <c r="OZQ89" s="21"/>
      <c r="OZR89" s="21"/>
      <c r="OZS89" s="21"/>
      <c r="OZT89" s="21"/>
      <c r="OZU89" s="21"/>
      <c r="OZV89" s="21"/>
      <c r="OZW89" s="21"/>
      <c r="OZX89" s="21"/>
      <c r="OZY89" s="21"/>
      <c r="OZZ89" s="21"/>
      <c r="PAA89" s="21"/>
      <c r="PAB89" s="21"/>
      <c r="PAC89" s="21"/>
      <c r="PAD89" s="21"/>
      <c r="PAE89" s="21"/>
      <c r="PAF89" s="21"/>
      <c r="PAG89" s="21"/>
      <c r="PAH89" s="21"/>
      <c r="PAI89" s="21"/>
      <c r="PAJ89" s="21"/>
      <c r="PAK89" s="21"/>
      <c r="PAL89" s="21"/>
      <c r="PAM89" s="21"/>
      <c r="PAN89" s="21"/>
      <c r="PAO89" s="21"/>
      <c r="PAP89" s="21"/>
      <c r="PAQ89" s="21"/>
      <c r="PAR89" s="21"/>
      <c r="PAS89" s="21"/>
      <c r="PAT89" s="21"/>
      <c r="PAU89" s="21"/>
      <c r="PAV89" s="21"/>
      <c r="PAW89" s="21"/>
      <c r="PAX89" s="21"/>
      <c r="PAY89" s="21"/>
      <c r="PAZ89" s="21"/>
      <c r="PBA89" s="21"/>
      <c r="PBB89" s="21"/>
      <c r="PBC89" s="21"/>
      <c r="PBD89" s="21"/>
      <c r="PBE89" s="21"/>
      <c r="PBF89" s="21"/>
      <c r="PBG89" s="21"/>
      <c r="PBH89" s="21"/>
      <c r="PBI89" s="21"/>
      <c r="PBJ89" s="21"/>
      <c r="PBK89" s="21"/>
      <c r="PBL89" s="21"/>
      <c r="PBM89" s="21"/>
      <c r="PBN89" s="21"/>
      <c r="PBO89" s="21"/>
      <c r="PBP89" s="21"/>
      <c r="PBQ89" s="21"/>
      <c r="PBR89" s="21"/>
      <c r="PBS89" s="21"/>
      <c r="PBT89" s="21"/>
      <c r="PBU89" s="21"/>
      <c r="PBV89" s="21"/>
      <c r="PBW89" s="21"/>
      <c r="PBX89" s="21"/>
      <c r="PBY89" s="21"/>
      <c r="PBZ89" s="21"/>
      <c r="PCA89" s="21"/>
      <c r="PCB89" s="21"/>
      <c r="PCC89" s="21"/>
      <c r="PCD89" s="21"/>
      <c r="PCE89" s="21"/>
      <c r="PCF89" s="21"/>
      <c r="PCG89" s="21"/>
      <c r="PCH89" s="21"/>
      <c r="PCI89" s="21"/>
      <c r="PCJ89" s="21"/>
      <c r="PCK89" s="21"/>
      <c r="PCL89" s="21"/>
      <c r="PCM89" s="21"/>
      <c r="PCN89" s="21"/>
      <c r="PCO89" s="21"/>
      <c r="PCP89" s="21"/>
      <c r="PCQ89" s="21"/>
      <c r="PCR89" s="21"/>
      <c r="PCS89" s="21"/>
      <c r="PCT89" s="21"/>
      <c r="PCU89" s="21"/>
      <c r="PCV89" s="21"/>
      <c r="PCW89" s="21"/>
      <c r="PCX89" s="21"/>
      <c r="PCY89" s="21"/>
      <c r="PCZ89" s="21"/>
      <c r="PDA89" s="21"/>
      <c r="PDB89" s="21"/>
      <c r="PDC89" s="21"/>
      <c r="PDD89" s="21"/>
      <c r="PDE89" s="21"/>
      <c r="PDF89" s="21"/>
      <c r="PDG89" s="21"/>
      <c r="PDH89" s="21"/>
      <c r="PDI89" s="21"/>
      <c r="PDJ89" s="21"/>
      <c r="PDK89" s="21"/>
      <c r="PDL89" s="21"/>
      <c r="PDM89" s="21"/>
      <c r="PDN89" s="21"/>
      <c r="PDO89" s="21"/>
      <c r="PDP89" s="21"/>
      <c r="PDQ89" s="21"/>
      <c r="PDR89" s="21"/>
      <c r="PDS89" s="21"/>
      <c r="PDT89" s="21"/>
      <c r="PDU89" s="21"/>
      <c r="PDV89" s="21"/>
      <c r="PDW89" s="21"/>
      <c r="PDX89" s="21"/>
      <c r="PDY89" s="21"/>
      <c r="PDZ89" s="21"/>
      <c r="PEA89" s="21"/>
      <c r="PEB89" s="21"/>
      <c r="PEC89" s="21"/>
      <c r="PED89" s="21"/>
      <c r="PEE89" s="21"/>
      <c r="PEF89" s="21"/>
      <c r="PEG89" s="21"/>
      <c r="PEH89" s="21"/>
      <c r="PEI89" s="21"/>
      <c r="PEJ89" s="21"/>
      <c r="PEK89" s="21"/>
      <c r="PEL89" s="21"/>
      <c r="PEM89" s="21"/>
      <c r="PEN89" s="21"/>
      <c r="PEO89" s="21"/>
      <c r="PEP89" s="21"/>
      <c r="PEQ89" s="21"/>
      <c r="PER89" s="21"/>
      <c r="PES89" s="21"/>
      <c r="PET89" s="21"/>
      <c r="PEU89" s="21"/>
      <c r="PEV89" s="21"/>
      <c r="PEW89" s="21"/>
      <c r="PEX89" s="21"/>
      <c r="PEY89" s="21"/>
      <c r="PEZ89" s="21"/>
      <c r="PFA89" s="21"/>
      <c r="PFB89" s="21"/>
      <c r="PFC89" s="21"/>
      <c r="PFD89" s="21"/>
      <c r="PFE89" s="21"/>
      <c r="PFF89" s="21"/>
      <c r="PFG89" s="21"/>
      <c r="PFH89" s="21"/>
      <c r="PFI89" s="21"/>
      <c r="PFJ89" s="21"/>
      <c r="PFK89" s="21"/>
      <c r="PFL89" s="21"/>
      <c r="PFM89" s="21"/>
      <c r="PFN89" s="21"/>
      <c r="PFO89" s="21"/>
      <c r="PFP89" s="21"/>
      <c r="PFQ89" s="21"/>
      <c r="PFR89" s="21"/>
      <c r="PFS89" s="21"/>
      <c r="PFT89" s="21"/>
      <c r="PFU89" s="21"/>
      <c r="PFV89" s="21"/>
      <c r="PFW89" s="21"/>
      <c r="PFX89" s="21"/>
      <c r="PFY89" s="21"/>
      <c r="PFZ89" s="21"/>
      <c r="PGA89" s="21"/>
      <c r="PGB89" s="21"/>
      <c r="PGC89" s="21"/>
      <c r="PGD89" s="21"/>
      <c r="PGE89" s="21"/>
      <c r="PGF89" s="21"/>
      <c r="PGG89" s="21"/>
      <c r="PGH89" s="21"/>
      <c r="PGI89" s="21"/>
      <c r="PGJ89" s="21"/>
      <c r="PGK89" s="21"/>
      <c r="PGL89" s="21"/>
      <c r="PGM89" s="21"/>
      <c r="PGN89" s="21"/>
      <c r="PGO89" s="21"/>
      <c r="PGP89" s="21"/>
      <c r="PGQ89" s="21"/>
      <c r="PGR89" s="21"/>
      <c r="PGS89" s="21"/>
      <c r="PGT89" s="21"/>
      <c r="PGU89" s="21"/>
      <c r="PGV89" s="21"/>
      <c r="PGW89" s="21"/>
      <c r="PGX89" s="21"/>
      <c r="PGY89" s="21"/>
      <c r="PGZ89" s="21"/>
      <c r="PHA89" s="21"/>
      <c r="PHB89" s="21"/>
      <c r="PHC89" s="21"/>
      <c r="PHD89" s="21"/>
      <c r="PHE89" s="21"/>
      <c r="PHF89" s="21"/>
      <c r="PHG89" s="21"/>
      <c r="PHH89" s="21"/>
      <c r="PHI89" s="21"/>
      <c r="PHJ89" s="21"/>
      <c r="PHK89" s="21"/>
      <c r="PHL89" s="21"/>
      <c r="PHM89" s="21"/>
      <c r="PHN89" s="21"/>
      <c r="PHO89" s="21"/>
      <c r="PHP89" s="21"/>
      <c r="PHQ89" s="21"/>
      <c r="PHR89" s="21"/>
      <c r="PHS89" s="21"/>
      <c r="PHT89" s="21"/>
      <c r="PHU89" s="21"/>
      <c r="PHV89" s="21"/>
      <c r="PHW89" s="21"/>
      <c r="PHX89" s="21"/>
      <c r="PHY89" s="21"/>
      <c r="PHZ89" s="21"/>
      <c r="PIA89" s="21"/>
      <c r="PIB89" s="21"/>
      <c r="PIC89" s="21"/>
      <c r="PID89" s="21"/>
      <c r="PIE89" s="21"/>
      <c r="PIF89" s="21"/>
      <c r="PIG89" s="21"/>
      <c r="PIH89" s="21"/>
      <c r="PII89" s="21"/>
      <c r="PIJ89" s="21"/>
      <c r="PIK89" s="21"/>
      <c r="PIL89" s="21"/>
      <c r="PIM89" s="21"/>
      <c r="PIN89" s="21"/>
      <c r="PIO89" s="21"/>
      <c r="PIP89" s="21"/>
      <c r="PIQ89" s="21"/>
      <c r="PIR89" s="21"/>
      <c r="PIS89" s="21"/>
      <c r="PIT89" s="21"/>
      <c r="PIU89" s="21"/>
      <c r="PIV89" s="21"/>
      <c r="PIW89" s="21"/>
      <c r="PIX89" s="21"/>
      <c r="PIY89" s="21"/>
      <c r="PIZ89" s="21"/>
      <c r="PJA89" s="21"/>
      <c r="PJB89" s="21"/>
      <c r="PJC89" s="21"/>
      <c r="PJD89" s="21"/>
      <c r="PJE89" s="21"/>
      <c r="PJF89" s="21"/>
      <c r="PJG89" s="21"/>
      <c r="PJH89" s="21"/>
      <c r="PJI89" s="21"/>
      <c r="PJJ89" s="21"/>
      <c r="PJK89" s="21"/>
      <c r="PJL89" s="21"/>
      <c r="PJM89" s="21"/>
      <c r="PJN89" s="21"/>
      <c r="PJO89" s="21"/>
      <c r="PJP89" s="21"/>
      <c r="PJQ89" s="21"/>
      <c r="PJR89" s="21"/>
      <c r="PJS89" s="21"/>
      <c r="PJT89" s="21"/>
      <c r="PJU89" s="21"/>
      <c r="PJV89" s="21"/>
      <c r="PJW89" s="21"/>
      <c r="PJX89" s="21"/>
      <c r="PJY89" s="21"/>
      <c r="PJZ89" s="21"/>
      <c r="PKA89" s="21"/>
      <c r="PKB89" s="21"/>
      <c r="PKC89" s="21"/>
      <c r="PKD89" s="21"/>
      <c r="PKE89" s="21"/>
      <c r="PKF89" s="21"/>
      <c r="PKG89" s="21"/>
      <c r="PKH89" s="21"/>
      <c r="PKI89" s="21"/>
      <c r="PKJ89" s="21"/>
      <c r="PKK89" s="21"/>
      <c r="PKL89" s="21"/>
      <c r="PKM89" s="21"/>
      <c r="PKN89" s="21"/>
      <c r="PKO89" s="21"/>
      <c r="PKP89" s="21"/>
      <c r="PKQ89" s="21"/>
      <c r="PKR89" s="21"/>
      <c r="PKS89" s="21"/>
      <c r="PKT89" s="21"/>
      <c r="PKU89" s="21"/>
      <c r="PKV89" s="21"/>
      <c r="PKW89" s="21"/>
      <c r="PKX89" s="21"/>
      <c r="PKY89" s="21"/>
      <c r="PKZ89" s="21"/>
      <c r="PLA89" s="21"/>
      <c r="PLB89" s="21"/>
      <c r="PLC89" s="21"/>
      <c r="PLD89" s="21"/>
      <c r="PLE89" s="21"/>
      <c r="PLF89" s="21"/>
      <c r="PLG89" s="21"/>
      <c r="PLH89" s="21"/>
      <c r="PLI89" s="21"/>
      <c r="PLJ89" s="21"/>
      <c r="PLK89" s="21"/>
      <c r="PLL89" s="21"/>
      <c r="PLM89" s="21"/>
      <c r="PLN89" s="21"/>
      <c r="PLO89" s="21"/>
      <c r="PLP89" s="21"/>
      <c r="PLQ89" s="21"/>
      <c r="PLR89" s="21"/>
      <c r="PLS89" s="21"/>
      <c r="PLT89" s="21"/>
      <c r="PLU89" s="21"/>
      <c r="PLV89" s="21"/>
      <c r="PLW89" s="21"/>
      <c r="PLX89" s="21"/>
      <c r="PLY89" s="21"/>
      <c r="PLZ89" s="21"/>
      <c r="PMA89" s="21"/>
      <c r="PMB89" s="21"/>
      <c r="PMC89" s="21"/>
      <c r="PMD89" s="21"/>
      <c r="PME89" s="21"/>
      <c r="PMF89" s="21"/>
      <c r="PMG89" s="21"/>
      <c r="PMH89" s="21"/>
      <c r="PMI89" s="21"/>
      <c r="PMJ89" s="21"/>
      <c r="PMK89" s="21"/>
      <c r="PML89" s="21"/>
      <c r="PMM89" s="21"/>
      <c r="PMN89" s="21"/>
      <c r="PMO89" s="21"/>
      <c r="PMP89" s="21"/>
      <c r="PMQ89" s="21"/>
      <c r="PMR89" s="21"/>
      <c r="PMS89" s="21"/>
      <c r="PMT89" s="21"/>
      <c r="PMU89" s="21"/>
      <c r="PMV89" s="21"/>
      <c r="PMW89" s="21"/>
      <c r="PMX89" s="21"/>
      <c r="PMY89" s="21"/>
      <c r="PMZ89" s="21"/>
      <c r="PNA89" s="21"/>
      <c r="PNB89" s="21"/>
      <c r="PNC89" s="21"/>
      <c r="PND89" s="21"/>
      <c r="PNE89" s="21"/>
      <c r="PNF89" s="21"/>
      <c r="PNG89" s="21"/>
      <c r="PNH89" s="21"/>
      <c r="PNI89" s="21"/>
      <c r="PNJ89" s="21"/>
      <c r="PNK89" s="21"/>
      <c r="PNL89" s="21"/>
      <c r="PNM89" s="21"/>
      <c r="PNN89" s="21"/>
      <c r="PNO89" s="21"/>
      <c r="PNP89" s="21"/>
      <c r="PNQ89" s="21"/>
      <c r="PNR89" s="21"/>
      <c r="PNS89" s="21"/>
      <c r="PNT89" s="21"/>
      <c r="PNU89" s="21"/>
      <c r="PNV89" s="21"/>
      <c r="PNW89" s="21"/>
      <c r="PNX89" s="21"/>
      <c r="PNY89" s="21"/>
      <c r="PNZ89" s="21"/>
      <c r="POA89" s="21"/>
      <c r="POB89" s="21"/>
      <c r="POC89" s="21"/>
      <c r="POD89" s="21"/>
      <c r="POE89" s="21"/>
      <c r="POF89" s="21"/>
      <c r="POG89" s="21"/>
      <c r="POH89" s="21"/>
      <c r="POI89" s="21"/>
      <c r="POJ89" s="21"/>
      <c r="POK89" s="21"/>
      <c r="POL89" s="21"/>
      <c r="POM89" s="21"/>
      <c r="PON89" s="21"/>
      <c r="POO89" s="21"/>
      <c r="POP89" s="21"/>
      <c r="POQ89" s="21"/>
      <c r="POR89" s="21"/>
      <c r="POS89" s="21"/>
      <c r="POT89" s="21"/>
      <c r="POU89" s="21"/>
      <c r="POV89" s="21"/>
      <c r="POW89" s="21"/>
      <c r="POX89" s="21"/>
      <c r="POY89" s="21"/>
      <c r="POZ89" s="21"/>
      <c r="PPA89" s="21"/>
      <c r="PPB89" s="21"/>
      <c r="PPC89" s="21"/>
      <c r="PPD89" s="21"/>
      <c r="PPE89" s="21"/>
      <c r="PPF89" s="21"/>
      <c r="PPG89" s="21"/>
      <c r="PPH89" s="21"/>
      <c r="PPI89" s="21"/>
      <c r="PPJ89" s="21"/>
      <c r="PPK89" s="21"/>
      <c r="PPL89" s="21"/>
      <c r="PPM89" s="21"/>
      <c r="PPN89" s="21"/>
      <c r="PPO89" s="21"/>
      <c r="PPP89" s="21"/>
      <c r="PPQ89" s="21"/>
      <c r="PPR89" s="21"/>
      <c r="PPS89" s="21"/>
      <c r="PPT89" s="21"/>
      <c r="PPU89" s="21"/>
      <c r="PPV89" s="21"/>
      <c r="PPW89" s="21"/>
      <c r="PPX89" s="21"/>
      <c r="PPY89" s="21"/>
      <c r="PPZ89" s="21"/>
      <c r="PQA89" s="21"/>
      <c r="PQB89" s="21"/>
      <c r="PQC89" s="21"/>
      <c r="PQD89" s="21"/>
      <c r="PQE89" s="21"/>
      <c r="PQF89" s="21"/>
      <c r="PQG89" s="21"/>
      <c r="PQH89" s="21"/>
      <c r="PQI89" s="21"/>
      <c r="PQJ89" s="21"/>
      <c r="PQK89" s="21"/>
      <c r="PQL89" s="21"/>
      <c r="PQM89" s="21"/>
      <c r="PQN89" s="21"/>
      <c r="PQO89" s="21"/>
      <c r="PQP89" s="21"/>
      <c r="PQQ89" s="21"/>
      <c r="PQR89" s="21"/>
      <c r="PQS89" s="21"/>
      <c r="PQT89" s="21"/>
      <c r="PQU89" s="21"/>
      <c r="PQV89" s="21"/>
      <c r="PQW89" s="21"/>
      <c r="PQX89" s="21"/>
      <c r="PQY89" s="21"/>
      <c r="PQZ89" s="21"/>
      <c r="PRA89" s="21"/>
      <c r="PRB89" s="21"/>
      <c r="PRC89" s="21"/>
      <c r="PRD89" s="21"/>
      <c r="PRE89" s="21"/>
      <c r="PRF89" s="21"/>
      <c r="PRG89" s="21"/>
      <c r="PRH89" s="21"/>
      <c r="PRI89" s="21"/>
      <c r="PRJ89" s="21"/>
      <c r="PRK89" s="21"/>
      <c r="PRL89" s="21"/>
      <c r="PRM89" s="21"/>
      <c r="PRN89" s="21"/>
      <c r="PRO89" s="21"/>
      <c r="PRP89" s="21"/>
      <c r="PRQ89" s="21"/>
      <c r="PRR89" s="21"/>
      <c r="PRS89" s="21"/>
      <c r="PRT89" s="21"/>
      <c r="PRU89" s="21"/>
      <c r="PRV89" s="21"/>
      <c r="PRW89" s="21"/>
      <c r="PRX89" s="21"/>
      <c r="PRY89" s="21"/>
      <c r="PRZ89" s="21"/>
      <c r="PSA89" s="21"/>
      <c r="PSB89" s="21"/>
      <c r="PSC89" s="21"/>
      <c r="PSD89" s="21"/>
      <c r="PSE89" s="21"/>
      <c r="PSF89" s="21"/>
      <c r="PSG89" s="21"/>
      <c r="PSH89" s="21"/>
      <c r="PSI89" s="21"/>
      <c r="PSJ89" s="21"/>
      <c r="PSK89" s="21"/>
      <c r="PSL89" s="21"/>
      <c r="PSM89" s="21"/>
      <c r="PSN89" s="21"/>
      <c r="PSO89" s="21"/>
      <c r="PSP89" s="21"/>
      <c r="PSQ89" s="21"/>
      <c r="PSR89" s="21"/>
      <c r="PSS89" s="21"/>
      <c r="PST89" s="21"/>
      <c r="PSU89" s="21"/>
      <c r="PSV89" s="21"/>
      <c r="PSW89" s="21"/>
      <c r="PSX89" s="21"/>
      <c r="PSY89" s="21"/>
      <c r="PSZ89" s="21"/>
      <c r="PTA89" s="21"/>
      <c r="PTB89" s="21"/>
      <c r="PTC89" s="21"/>
      <c r="PTD89" s="21"/>
      <c r="PTE89" s="21"/>
      <c r="PTF89" s="21"/>
      <c r="PTG89" s="21"/>
      <c r="PTH89" s="21"/>
      <c r="PTI89" s="21"/>
      <c r="PTJ89" s="21"/>
      <c r="PTK89" s="21"/>
      <c r="PTL89" s="21"/>
      <c r="PTM89" s="21"/>
      <c r="PTN89" s="21"/>
      <c r="PTO89" s="21"/>
      <c r="PTP89" s="21"/>
      <c r="PTQ89" s="21"/>
      <c r="PTR89" s="21"/>
      <c r="PTS89" s="21"/>
      <c r="PTT89" s="21"/>
      <c r="PTU89" s="21"/>
      <c r="PTV89" s="21"/>
      <c r="PTW89" s="21"/>
      <c r="PTX89" s="21"/>
      <c r="PTY89" s="21"/>
      <c r="PTZ89" s="21"/>
      <c r="PUA89" s="21"/>
      <c r="PUB89" s="21"/>
      <c r="PUC89" s="21"/>
      <c r="PUD89" s="21"/>
      <c r="PUE89" s="21"/>
      <c r="PUF89" s="21"/>
      <c r="PUG89" s="21"/>
      <c r="PUH89" s="21"/>
      <c r="PUI89" s="21"/>
      <c r="PUJ89" s="21"/>
      <c r="PUK89" s="21"/>
      <c r="PUL89" s="21"/>
      <c r="PUM89" s="21"/>
      <c r="PUN89" s="21"/>
      <c r="PUO89" s="21"/>
      <c r="PUP89" s="21"/>
      <c r="PUQ89" s="21"/>
      <c r="PUR89" s="21"/>
      <c r="PUS89" s="21"/>
      <c r="PUT89" s="21"/>
      <c r="PUU89" s="21"/>
      <c r="PUV89" s="21"/>
      <c r="PUW89" s="21"/>
      <c r="PUX89" s="21"/>
      <c r="PUY89" s="21"/>
      <c r="PUZ89" s="21"/>
      <c r="PVA89" s="21"/>
      <c r="PVB89" s="21"/>
      <c r="PVC89" s="21"/>
      <c r="PVD89" s="21"/>
      <c r="PVE89" s="21"/>
      <c r="PVF89" s="21"/>
      <c r="PVG89" s="21"/>
      <c r="PVH89" s="21"/>
      <c r="PVI89" s="21"/>
      <c r="PVJ89" s="21"/>
      <c r="PVK89" s="21"/>
      <c r="PVL89" s="21"/>
      <c r="PVM89" s="21"/>
      <c r="PVN89" s="21"/>
      <c r="PVO89" s="21"/>
      <c r="PVP89" s="21"/>
      <c r="PVQ89" s="21"/>
      <c r="PVR89" s="21"/>
      <c r="PVS89" s="21"/>
      <c r="PVT89" s="21"/>
      <c r="PVU89" s="21"/>
      <c r="PVV89" s="21"/>
      <c r="PVW89" s="21"/>
      <c r="PVX89" s="21"/>
      <c r="PVY89" s="21"/>
      <c r="PVZ89" s="21"/>
      <c r="PWA89" s="21"/>
      <c r="PWB89" s="21"/>
      <c r="PWC89" s="21"/>
      <c r="PWD89" s="21"/>
      <c r="PWE89" s="21"/>
      <c r="PWF89" s="21"/>
      <c r="PWG89" s="21"/>
      <c r="PWH89" s="21"/>
      <c r="PWI89" s="21"/>
      <c r="PWJ89" s="21"/>
      <c r="PWK89" s="21"/>
      <c r="PWL89" s="21"/>
      <c r="PWM89" s="21"/>
      <c r="PWN89" s="21"/>
      <c r="PWO89" s="21"/>
      <c r="PWP89" s="21"/>
      <c r="PWQ89" s="21"/>
      <c r="PWR89" s="21"/>
      <c r="PWS89" s="21"/>
      <c r="PWT89" s="21"/>
      <c r="PWU89" s="21"/>
      <c r="PWV89" s="21"/>
      <c r="PWW89" s="21"/>
      <c r="PWX89" s="21"/>
      <c r="PWY89" s="21"/>
      <c r="PWZ89" s="21"/>
      <c r="PXA89" s="21"/>
      <c r="PXB89" s="21"/>
      <c r="PXC89" s="21"/>
      <c r="PXD89" s="21"/>
      <c r="PXE89" s="21"/>
      <c r="PXF89" s="21"/>
      <c r="PXG89" s="21"/>
      <c r="PXH89" s="21"/>
      <c r="PXI89" s="21"/>
      <c r="PXJ89" s="21"/>
      <c r="PXK89" s="21"/>
      <c r="PXL89" s="21"/>
      <c r="PXM89" s="21"/>
      <c r="PXN89" s="21"/>
      <c r="PXO89" s="21"/>
      <c r="PXP89" s="21"/>
      <c r="PXQ89" s="21"/>
      <c r="PXR89" s="21"/>
      <c r="PXS89" s="21"/>
      <c r="PXT89" s="21"/>
      <c r="PXU89" s="21"/>
      <c r="PXV89" s="21"/>
      <c r="PXW89" s="21"/>
      <c r="PXX89" s="21"/>
      <c r="PXY89" s="21"/>
      <c r="PXZ89" s="21"/>
      <c r="PYA89" s="21"/>
      <c r="PYB89" s="21"/>
      <c r="PYC89" s="21"/>
      <c r="PYD89" s="21"/>
      <c r="PYE89" s="21"/>
      <c r="PYF89" s="21"/>
      <c r="PYG89" s="21"/>
      <c r="PYH89" s="21"/>
      <c r="PYI89" s="21"/>
      <c r="PYJ89" s="21"/>
      <c r="PYK89" s="21"/>
      <c r="PYL89" s="21"/>
      <c r="PYM89" s="21"/>
      <c r="PYN89" s="21"/>
      <c r="PYO89" s="21"/>
      <c r="PYP89" s="21"/>
      <c r="PYQ89" s="21"/>
      <c r="PYR89" s="21"/>
      <c r="PYS89" s="21"/>
      <c r="PYT89" s="21"/>
      <c r="PYU89" s="21"/>
      <c r="PYV89" s="21"/>
      <c r="PYW89" s="21"/>
      <c r="PYX89" s="21"/>
      <c r="PYY89" s="21"/>
      <c r="PYZ89" s="21"/>
      <c r="PZA89" s="21"/>
      <c r="PZB89" s="21"/>
      <c r="PZC89" s="21"/>
      <c r="PZD89" s="21"/>
      <c r="PZE89" s="21"/>
      <c r="PZF89" s="21"/>
      <c r="PZG89" s="21"/>
      <c r="PZH89" s="21"/>
      <c r="PZI89" s="21"/>
      <c r="PZJ89" s="21"/>
      <c r="PZK89" s="21"/>
      <c r="PZL89" s="21"/>
      <c r="PZM89" s="21"/>
      <c r="PZN89" s="21"/>
      <c r="PZO89" s="21"/>
      <c r="PZP89" s="21"/>
      <c r="PZQ89" s="21"/>
      <c r="PZR89" s="21"/>
      <c r="PZS89" s="21"/>
      <c r="PZT89" s="21"/>
      <c r="PZU89" s="21"/>
      <c r="PZV89" s="21"/>
      <c r="PZW89" s="21"/>
      <c r="PZX89" s="21"/>
      <c r="PZY89" s="21"/>
      <c r="PZZ89" s="21"/>
      <c r="QAA89" s="21"/>
      <c r="QAB89" s="21"/>
      <c r="QAC89" s="21"/>
      <c r="QAD89" s="21"/>
      <c r="QAE89" s="21"/>
      <c r="QAF89" s="21"/>
      <c r="QAG89" s="21"/>
      <c r="QAH89" s="21"/>
      <c r="QAI89" s="21"/>
      <c r="QAJ89" s="21"/>
      <c r="QAK89" s="21"/>
      <c r="QAL89" s="21"/>
      <c r="QAM89" s="21"/>
      <c r="QAN89" s="21"/>
      <c r="QAO89" s="21"/>
      <c r="QAP89" s="21"/>
      <c r="QAQ89" s="21"/>
      <c r="QAR89" s="21"/>
      <c r="QAS89" s="21"/>
      <c r="QAT89" s="21"/>
      <c r="QAU89" s="21"/>
      <c r="QAV89" s="21"/>
      <c r="QAW89" s="21"/>
      <c r="QAX89" s="21"/>
      <c r="QAY89" s="21"/>
      <c r="QAZ89" s="21"/>
      <c r="QBA89" s="21"/>
      <c r="QBB89" s="21"/>
      <c r="QBC89" s="21"/>
      <c r="QBD89" s="21"/>
      <c r="QBE89" s="21"/>
      <c r="QBF89" s="21"/>
      <c r="QBG89" s="21"/>
      <c r="QBH89" s="21"/>
      <c r="QBI89" s="21"/>
      <c r="QBJ89" s="21"/>
      <c r="QBK89" s="21"/>
      <c r="QBL89" s="21"/>
      <c r="QBM89" s="21"/>
      <c r="QBN89" s="21"/>
      <c r="QBO89" s="21"/>
      <c r="QBP89" s="21"/>
      <c r="QBQ89" s="21"/>
      <c r="QBR89" s="21"/>
      <c r="QBS89" s="21"/>
      <c r="QBT89" s="21"/>
      <c r="QBU89" s="21"/>
      <c r="QBV89" s="21"/>
      <c r="QBW89" s="21"/>
      <c r="QBX89" s="21"/>
      <c r="QBY89" s="21"/>
      <c r="QBZ89" s="21"/>
      <c r="QCA89" s="21"/>
      <c r="QCB89" s="21"/>
      <c r="QCC89" s="21"/>
      <c r="QCD89" s="21"/>
      <c r="QCE89" s="21"/>
      <c r="QCF89" s="21"/>
      <c r="QCG89" s="21"/>
      <c r="QCH89" s="21"/>
      <c r="QCI89" s="21"/>
      <c r="QCJ89" s="21"/>
      <c r="QCK89" s="21"/>
      <c r="QCL89" s="21"/>
      <c r="QCM89" s="21"/>
      <c r="QCN89" s="21"/>
      <c r="QCO89" s="21"/>
      <c r="QCP89" s="21"/>
      <c r="QCQ89" s="21"/>
      <c r="QCR89" s="21"/>
      <c r="QCS89" s="21"/>
      <c r="QCT89" s="21"/>
      <c r="QCU89" s="21"/>
      <c r="QCV89" s="21"/>
      <c r="QCW89" s="21"/>
      <c r="QCX89" s="21"/>
      <c r="QCY89" s="21"/>
      <c r="QCZ89" s="21"/>
      <c r="QDA89" s="21"/>
      <c r="QDB89" s="21"/>
      <c r="QDC89" s="21"/>
      <c r="QDD89" s="21"/>
      <c r="QDE89" s="21"/>
      <c r="QDF89" s="21"/>
      <c r="QDG89" s="21"/>
      <c r="QDH89" s="21"/>
      <c r="QDI89" s="21"/>
      <c r="QDJ89" s="21"/>
      <c r="QDK89" s="21"/>
      <c r="QDL89" s="21"/>
      <c r="QDM89" s="21"/>
      <c r="QDN89" s="21"/>
      <c r="QDO89" s="21"/>
      <c r="QDP89" s="21"/>
      <c r="QDQ89" s="21"/>
      <c r="QDR89" s="21"/>
      <c r="QDS89" s="21"/>
      <c r="QDT89" s="21"/>
      <c r="QDU89" s="21"/>
      <c r="QDV89" s="21"/>
      <c r="QDW89" s="21"/>
      <c r="QDX89" s="21"/>
      <c r="QDY89" s="21"/>
      <c r="QDZ89" s="21"/>
      <c r="QEA89" s="21"/>
      <c r="QEB89" s="21"/>
      <c r="QEC89" s="21"/>
      <c r="QED89" s="21"/>
      <c r="QEE89" s="21"/>
      <c r="QEF89" s="21"/>
      <c r="QEG89" s="21"/>
      <c r="QEH89" s="21"/>
      <c r="QEI89" s="21"/>
      <c r="QEJ89" s="21"/>
      <c r="QEK89" s="21"/>
      <c r="QEL89" s="21"/>
      <c r="QEM89" s="21"/>
      <c r="QEN89" s="21"/>
      <c r="QEO89" s="21"/>
      <c r="QEP89" s="21"/>
      <c r="QEQ89" s="21"/>
      <c r="QER89" s="21"/>
      <c r="QES89" s="21"/>
      <c r="QET89" s="21"/>
      <c r="QEU89" s="21"/>
      <c r="QEV89" s="21"/>
      <c r="QEW89" s="21"/>
      <c r="QEX89" s="21"/>
      <c r="QEY89" s="21"/>
      <c r="QEZ89" s="21"/>
      <c r="QFA89" s="21"/>
      <c r="QFB89" s="21"/>
      <c r="QFC89" s="21"/>
      <c r="QFD89" s="21"/>
      <c r="QFE89" s="21"/>
      <c r="QFF89" s="21"/>
      <c r="QFG89" s="21"/>
      <c r="QFH89" s="21"/>
      <c r="QFI89" s="21"/>
      <c r="QFJ89" s="21"/>
      <c r="QFK89" s="21"/>
      <c r="QFL89" s="21"/>
      <c r="QFM89" s="21"/>
      <c r="QFN89" s="21"/>
      <c r="QFO89" s="21"/>
      <c r="QFP89" s="21"/>
      <c r="QFQ89" s="21"/>
      <c r="QFR89" s="21"/>
      <c r="QFS89" s="21"/>
      <c r="QFT89" s="21"/>
      <c r="QFU89" s="21"/>
      <c r="QFV89" s="21"/>
      <c r="QFW89" s="21"/>
      <c r="QFX89" s="21"/>
      <c r="QFY89" s="21"/>
      <c r="QFZ89" s="21"/>
      <c r="QGA89" s="21"/>
      <c r="QGB89" s="21"/>
      <c r="QGC89" s="21"/>
      <c r="QGD89" s="21"/>
      <c r="QGE89" s="21"/>
      <c r="QGF89" s="21"/>
      <c r="QGG89" s="21"/>
      <c r="QGH89" s="21"/>
      <c r="QGI89" s="21"/>
      <c r="QGJ89" s="21"/>
      <c r="QGK89" s="21"/>
      <c r="QGL89" s="21"/>
      <c r="QGM89" s="21"/>
      <c r="QGN89" s="21"/>
      <c r="QGO89" s="21"/>
      <c r="QGP89" s="21"/>
      <c r="QGQ89" s="21"/>
      <c r="QGR89" s="21"/>
      <c r="QGS89" s="21"/>
      <c r="QGT89" s="21"/>
      <c r="QGU89" s="21"/>
      <c r="QGV89" s="21"/>
      <c r="QGW89" s="21"/>
      <c r="QGX89" s="21"/>
      <c r="QGY89" s="21"/>
      <c r="QGZ89" s="21"/>
      <c r="QHA89" s="21"/>
      <c r="QHB89" s="21"/>
      <c r="QHC89" s="21"/>
      <c r="QHD89" s="21"/>
      <c r="QHE89" s="21"/>
      <c r="QHF89" s="21"/>
      <c r="QHG89" s="21"/>
      <c r="QHH89" s="21"/>
      <c r="QHI89" s="21"/>
      <c r="QHJ89" s="21"/>
      <c r="QHK89" s="21"/>
      <c r="QHL89" s="21"/>
      <c r="QHM89" s="21"/>
      <c r="QHN89" s="21"/>
      <c r="QHO89" s="21"/>
      <c r="QHP89" s="21"/>
      <c r="QHQ89" s="21"/>
      <c r="QHR89" s="21"/>
      <c r="QHS89" s="21"/>
      <c r="QHT89" s="21"/>
      <c r="QHU89" s="21"/>
      <c r="QHV89" s="21"/>
      <c r="QHW89" s="21"/>
      <c r="QHX89" s="21"/>
      <c r="QHY89" s="21"/>
      <c r="QHZ89" s="21"/>
      <c r="QIA89" s="21"/>
      <c r="QIB89" s="21"/>
      <c r="QIC89" s="21"/>
      <c r="QID89" s="21"/>
      <c r="QIE89" s="21"/>
      <c r="QIF89" s="21"/>
      <c r="QIG89" s="21"/>
      <c r="QIH89" s="21"/>
      <c r="QII89" s="21"/>
      <c r="QIJ89" s="21"/>
      <c r="QIK89" s="21"/>
      <c r="QIL89" s="21"/>
      <c r="QIM89" s="21"/>
      <c r="QIN89" s="21"/>
      <c r="QIO89" s="21"/>
      <c r="QIP89" s="21"/>
      <c r="QIQ89" s="21"/>
      <c r="QIR89" s="21"/>
      <c r="QIS89" s="21"/>
      <c r="QIT89" s="21"/>
      <c r="QIU89" s="21"/>
      <c r="QIV89" s="21"/>
      <c r="QIW89" s="21"/>
      <c r="QIX89" s="21"/>
      <c r="QIY89" s="21"/>
      <c r="QIZ89" s="21"/>
      <c r="QJA89" s="21"/>
      <c r="QJB89" s="21"/>
      <c r="QJC89" s="21"/>
      <c r="QJD89" s="21"/>
      <c r="QJE89" s="21"/>
      <c r="QJF89" s="21"/>
      <c r="QJG89" s="21"/>
      <c r="QJH89" s="21"/>
      <c r="QJI89" s="21"/>
      <c r="QJJ89" s="21"/>
      <c r="QJK89" s="21"/>
      <c r="QJL89" s="21"/>
      <c r="QJM89" s="21"/>
      <c r="QJN89" s="21"/>
      <c r="QJO89" s="21"/>
      <c r="QJP89" s="21"/>
      <c r="QJQ89" s="21"/>
      <c r="QJR89" s="21"/>
      <c r="QJS89" s="21"/>
      <c r="QJT89" s="21"/>
      <c r="QJU89" s="21"/>
      <c r="QJV89" s="21"/>
      <c r="QJW89" s="21"/>
      <c r="QJX89" s="21"/>
      <c r="QJY89" s="21"/>
      <c r="QJZ89" s="21"/>
      <c r="QKA89" s="21"/>
      <c r="QKB89" s="21"/>
      <c r="QKC89" s="21"/>
      <c r="QKD89" s="21"/>
      <c r="QKE89" s="21"/>
      <c r="QKF89" s="21"/>
      <c r="QKG89" s="21"/>
      <c r="QKH89" s="21"/>
      <c r="QKI89" s="21"/>
      <c r="QKJ89" s="21"/>
      <c r="QKK89" s="21"/>
      <c r="QKL89" s="21"/>
      <c r="QKM89" s="21"/>
      <c r="QKN89" s="21"/>
      <c r="QKO89" s="21"/>
      <c r="QKP89" s="21"/>
      <c r="QKQ89" s="21"/>
      <c r="QKR89" s="21"/>
      <c r="QKS89" s="21"/>
      <c r="QKT89" s="21"/>
      <c r="QKU89" s="21"/>
      <c r="QKV89" s="21"/>
      <c r="QKW89" s="21"/>
      <c r="QKX89" s="21"/>
      <c r="QKY89" s="21"/>
      <c r="QKZ89" s="21"/>
      <c r="QLA89" s="21"/>
      <c r="QLB89" s="21"/>
      <c r="QLC89" s="21"/>
      <c r="QLD89" s="21"/>
      <c r="QLE89" s="21"/>
      <c r="QLF89" s="21"/>
      <c r="QLG89" s="21"/>
      <c r="QLH89" s="21"/>
      <c r="QLI89" s="21"/>
      <c r="QLJ89" s="21"/>
      <c r="QLK89" s="21"/>
      <c r="QLL89" s="21"/>
      <c r="QLM89" s="21"/>
      <c r="QLN89" s="21"/>
      <c r="QLO89" s="21"/>
      <c r="QLP89" s="21"/>
      <c r="QLQ89" s="21"/>
      <c r="QLR89" s="21"/>
      <c r="QLS89" s="21"/>
      <c r="QLT89" s="21"/>
      <c r="QLU89" s="21"/>
      <c r="QLV89" s="21"/>
      <c r="QLW89" s="21"/>
      <c r="QLX89" s="21"/>
      <c r="QLY89" s="21"/>
      <c r="QLZ89" s="21"/>
      <c r="QMA89" s="21"/>
      <c r="QMB89" s="21"/>
      <c r="QMC89" s="21"/>
      <c r="QMD89" s="21"/>
      <c r="QME89" s="21"/>
      <c r="QMF89" s="21"/>
      <c r="QMG89" s="21"/>
      <c r="QMH89" s="21"/>
      <c r="QMI89" s="21"/>
      <c r="QMJ89" s="21"/>
      <c r="QMK89" s="21"/>
      <c r="QML89" s="21"/>
      <c r="QMM89" s="21"/>
      <c r="QMN89" s="21"/>
      <c r="QMO89" s="21"/>
      <c r="QMP89" s="21"/>
      <c r="QMQ89" s="21"/>
      <c r="QMR89" s="21"/>
      <c r="QMS89" s="21"/>
      <c r="QMT89" s="21"/>
      <c r="QMU89" s="21"/>
      <c r="QMV89" s="21"/>
      <c r="QMW89" s="21"/>
      <c r="QMX89" s="21"/>
      <c r="QMY89" s="21"/>
      <c r="QMZ89" s="21"/>
      <c r="QNA89" s="21"/>
      <c r="QNB89" s="21"/>
      <c r="QNC89" s="21"/>
      <c r="QND89" s="21"/>
      <c r="QNE89" s="21"/>
      <c r="QNF89" s="21"/>
      <c r="QNG89" s="21"/>
      <c r="QNH89" s="21"/>
      <c r="QNI89" s="21"/>
      <c r="QNJ89" s="21"/>
      <c r="QNK89" s="21"/>
      <c r="QNL89" s="21"/>
      <c r="QNM89" s="21"/>
      <c r="QNN89" s="21"/>
      <c r="QNO89" s="21"/>
      <c r="QNP89" s="21"/>
      <c r="QNQ89" s="21"/>
      <c r="QNR89" s="21"/>
      <c r="QNS89" s="21"/>
      <c r="QNT89" s="21"/>
      <c r="QNU89" s="21"/>
      <c r="QNV89" s="21"/>
      <c r="QNW89" s="21"/>
      <c r="QNX89" s="21"/>
      <c r="QNY89" s="21"/>
      <c r="QNZ89" s="21"/>
      <c r="QOA89" s="21"/>
      <c r="QOB89" s="21"/>
      <c r="QOC89" s="21"/>
      <c r="QOD89" s="21"/>
      <c r="QOE89" s="21"/>
      <c r="QOF89" s="21"/>
      <c r="QOG89" s="21"/>
      <c r="QOH89" s="21"/>
      <c r="QOI89" s="21"/>
      <c r="QOJ89" s="21"/>
      <c r="QOK89" s="21"/>
      <c r="QOL89" s="21"/>
      <c r="QOM89" s="21"/>
      <c r="QON89" s="21"/>
      <c r="QOO89" s="21"/>
      <c r="QOP89" s="21"/>
      <c r="QOQ89" s="21"/>
      <c r="QOR89" s="21"/>
      <c r="QOS89" s="21"/>
      <c r="QOT89" s="21"/>
      <c r="QOU89" s="21"/>
      <c r="QOV89" s="21"/>
      <c r="QOW89" s="21"/>
      <c r="QOX89" s="21"/>
      <c r="QOY89" s="21"/>
      <c r="QOZ89" s="21"/>
      <c r="QPA89" s="21"/>
      <c r="QPB89" s="21"/>
      <c r="QPC89" s="21"/>
      <c r="QPD89" s="21"/>
      <c r="QPE89" s="21"/>
      <c r="QPF89" s="21"/>
      <c r="QPG89" s="21"/>
      <c r="QPH89" s="21"/>
      <c r="QPI89" s="21"/>
      <c r="QPJ89" s="21"/>
      <c r="QPK89" s="21"/>
      <c r="QPL89" s="21"/>
      <c r="QPM89" s="21"/>
      <c r="QPN89" s="21"/>
      <c r="QPO89" s="21"/>
      <c r="QPP89" s="21"/>
      <c r="QPQ89" s="21"/>
      <c r="QPR89" s="21"/>
      <c r="QPS89" s="21"/>
      <c r="QPT89" s="21"/>
      <c r="QPU89" s="21"/>
      <c r="QPV89" s="21"/>
      <c r="QPW89" s="21"/>
      <c r="QPX89" s="21"/>
      <c r="QPY89" s="21"/>
      <c r="QPZ89" s="21"/>
      <c r="QQA89" s="21"/>
      <c r="QQB89" s="21"/>
      <c r="QQC89" s="21"/>
      <c r="QQD89" s="21"/>
      <c r="QQE89" s="21"/>
      <c r="QQF89" s="21"/>
      <c r="QQG89" s="21"/>
      <c r="QQH89" s="21"/>
      <c r="QQI89" s="21"/>
      <c r="QQJ89" s="21"/>
      <c r="QQK89" s="21"/>
      <c r="QQL89" s="21"/>
      <c r="QQM89" s="21"/>
      <c r="QQN89" s="21"/>
      <c r="QQO89" s="21"/>
      <c r="QQP89" s="21"/>
      <c r="QQQ89" s="21"/>
      <c r="QQR89" s="21"/>
      <c r="QQS89" s="21"/>
      <c r="QQT89" s="21"/>
      <c r="QQU89" s="21"/>
      <c r="QQV89" s="21"/>
      <c r="QQW89" s="21"/>
      <c r="QQX89" s="21"/>
      <c r="QQY89" s="21"/>
      <c r="QQZ89" s="21"/>
      <c r="QRA89" s="21"/>
      <c r="QRB89" s="21"/>
      <c r="QRC89" s="21"/>
      <c r="QRD89" s="21"/>
      <c r="QRE89" s="21"/>
      <c r="QRF89" s="21"/>
      <c r="QRG89" s="21"/>
      <c r="QRH89" s="21"/>
      <c r="QRI89" s="21"/>
      <c r="QRJ89" s="21"/>
      <c r="QRK89" s="21"/>
      <c r="QRL89" s="21"/>
      <c r="QRM89" s="21"/>
      <c r="QRN89" s="21"/>
      <c r="QRO89" s="21"/>
      <c r="QRP89" s="21"/>
      <c r="QRQ89" s="21"/>
      <c r="QRR89" s="21"/>
      <c r="QRS89" s="21"/>
      <c r="QRT89" s="21"/>
      <c r="QRU89" s="21"/>
      <c r="QRV89" s="21"/>
      <c r="QRW89" s="21"/>
      <c r="QRX89" s="21"/>
      <c r="QRY89" s="21"/>
      <c r="QRZ89" s="21"/>
      <c r="QSA89" s="21"/>
      <c r="QSB89" s="21"/>
      <c r="QSC89" s="21"/>
      <c r="QSD89" s="21"/>
      <c r="QSE89" s="21"/>
      <c r="QSF89" s="21"/>
      <c r="QSG89" s="21"/>
      <c r="QSH89" s="21"/>
      <c r="QSI89" s="21"/>
      <c r="QSJ89" s="21"/>
      <c r="QSK89" s="21"/>
      <c r="QSL89" s="21"/>
      <c r="QSM89" s="21"/>
      <c r="QSN89" s="21"/>
      <c r="QSO89" s="21"/>
      <c r="QSP89" s="21"/>
      <c r="QSQ89" s="21"/>
      <c r="QSR89" s="21"/>
      <c r="QSS89" s="21"/>
      <c r="QST89" s="21"/>
      <c r="QSU89" s="21"/>
      <c r="QSV89" s="21"/>
      <c r="QSW89" s="21"/>
      <c r="QSX89" s="21"/>
      <c r="QSY89" s="21"/>
      <c r="QSZ89" s="21"/>
      <c r="QTA89" s="21"/>
      <c r="QTB89" s="21"/>
      <c r="QTC89" s="21"/>
      <c r="QTD89" s="21"/>
      <c r="QTE89" s="21"/>
      <c r="QTF89" s="21"/>
      <c r="QTG89" s="21"/>
      <c r="QTH89" s="21"/>
      <c r="QTI89" s="21"/>
      <c r="QTJ89" s="21"/>
      <c r="QTK89" s="21"/>
      <c r="QTL89" s="21"/>
      <c r="QTM89" s="21"/>
      <c r="QTN89" s="21"/>
      <c r="QTO89" s="21"/>
      <c r="QTP89" s="21"/>
      <c r="QTQ89" s="21"/>
      <c r="QTR89" s="21"/>
      <c r="QTS89" s="21"/>
      <c r="QTT89" s="21"/>
      <c r="QTU89" s="21"/>
      <c r="QTV89" s="21"/>
      <c r="QTW89" s="21"/>
      <c r="QTX89" s="21"/>
      <c r="QTY89" s="21"/>
      <c r="QTZ89" s="21"/>
      <c r="QUA89" s="21"/>
      <c r="QUB89" s="21"/>
      <c r="QUC89" s="21"/>
      <c r="QUD89" s="21"/>
      <c r="QUE89" s="21"/>
      <c r="QUF89" s="21"/>
      <c r="QUG89" s="21"/>
      <c r="QUH89" s="21"/>
      <c r="QUI89" s="21"/>
      <c r="QUJ89" s="21"/>
      <c r="QUK89" s="21"/>
      <c r="QUL89" s="21"/>
      <c r="QUM89" s="21"/>
      <c r="QUN89" s="21"/>
      <c r="QUO89" s="21"/>
      <c r="QUP89" s="21"/>
      <c r="QUQ89" s="21"/>
      <c r="QUR89" s="21"/>
      <c r="QUS89" s="21"/>
      <c r="QUT89" s="21"/>
      <c r="QUU89" s="21"/>
      <c r="QUV89" s="21"/>
      <c r="QUW89" s="21"/>
      <c r="QUX89" s="21"/>
      <c r="QUY89" s="21"/>
      <c r="QUZ89" s="21"/>
      <c r="QVA89" s="21"/>
      <c r="QVB89" s="21"/>
      <c r="QVC89" s="21"/>
      <c r="QVD89" s="21"/>
      <c r="QVE89" s="21"/>
      <c r="QVF89" s="21"/>
      <c r="QVG89" s="21"/>
      <c r="QVH89" s="21"/>
      <c r="QVI89" s="21"/>
      <c r="QVJ89" s="21"/>
      <c r="QVK89" s="21"/>
      <c r="QVL89" s="21"/>
      <c r="QVM89" s="21"/>
      <c r="QVN89" s="21"/>
      <c r="QVO89" s="21"/>
      <c r="QVP89" s="21"/>
      <c r="QVQ89" s="21"/>
      <c r="QVR89" s="21"/>
      <c r="QVS89" s="21"/>
      <c r="QVT89" s="21"/>
      <c r="QVU89" s="21"/>
      <c r="QVV89" s="21"/>
      <c r="QVW89" s="21"/>
      <c r="QVX89" s="21"/>
      <c r="QVY89" s="21"/>
      <c r="QVZ89" s="21"/>
      <c r="QWA89" s="21"/>
      <c r="QWB89" s="21"/>
      <c r="QWC89" s="21"/>
      <c r="QWD89" s="21"/>
      <c r="QWE89" s="21"/>
      <c r="QWF89" s="21"/>
      <c r="QWG89" s="21"/>
      <c r="QWH89" s="21"/>
      <c r="QWI89" s="21"/>
      <c r="QWJ89" s="21"/>
      <c r="QWK89" s="21"/>
      <c r="QWL89" s="21"/>
      <c r="QWM89" s="21"/>
      <c r="QWN89" s="21"/>
      <c r="QWO89" s="21"/>
      <c r="QWP89" s="21"/>
      <c r="QWQ89" s="21"/>
      <c r="QWR89" s="21"/>
      <c r="QWS89" s="21"/>
      <c r="QWT89" s="21"/>
      <c r="QWU89" s="21"/>
      <c r="QWV89" s="21"/>
      <c r="QWW89" s="21"/>
      <c r="QWX89" s="21"/>
      <c r="QWY89" s="21"/>
      <c r="QWZ89" s="21"/>
      <c r="QXA89" s="21"/>
      <c r="QXB89" s="21"/>
      <c r="QXC89" s="21"/>
      <c r="QXD89" s="21"/>
      <c r="QXE89" s="21"/>
      <c r="QXF89" s="21"/>
      <c r="QXG89" s="21"/>
      <c r="QXH89" s="21"/>
      <c r="QXI89" s="21"/>
      <c r="QXJ89" s="21"/>
      <c r="QXK89" s="21"/>
      <c r="QXL89" s="21"/>
      <c r="QXM89" s="21"/>
      <c r="QXN89" s="21"/>
      <c r="QXO89" s="21"/>
      <c r="QXP89" s="21"/>
      <c r="QXQ89" s="21"/>
      <c r="QXR89" s="21"/>
      <c r="QXS89" s="21"/>
      <c r="QXT89" s="21"/>
      <c r="QXU89" s="21"/>
      <c r="QXV89" s="21"/>
      <c r="QXW89" s="21"/>
      <c r="QXX89" s="21"/>
      <c r="QXY89" s="21"/>
      <c r="QXZ89" s="21"/>
      <c r="QYA89" s="21"/>
      <c r="QYB89" s="21"/>
      <c r="QYC89" s="21"/>
      <c r="QYD89" s="21"/>
      <c r="QYE89" s="21"/>
      <c r="QYF89" s="21"/>
      <c r="QYG89" s="21"/>
      <c r="QYH89" s="21"/>
      <c r="QYI89" s="21"/>
      <c r="QYJ89" s="21"/>
      <c r="QYK89" s="21"/>
      <c r="QYL89" s="21"/>
      <c r="QYM89" s="21"/>
      <c r="QYN89" s="21"/>
      <c r="QYO89" s="21"/>
      <c r="QYP89" s="21"/>
      <c r="QYQ89" s="21"/>
      <c r="QYR89" s="21"/>
      <c r="QYS89" s="21"/>
      <c r="QYT89" s="21"/>
      <c r="QYU89" s="21"/>
      <c r="QYV89" s="21"/>
      <c r="QYW89" s="21"/>
      <c r="QYX89" s="21"/>
      <c r="QYY89" s="21"/>
      <c r="QYZ89" s="21"/>
      <c r="QZA89" s="21"/>
      <c r="QZB89" s="21"/>
      <c r="QZC89" s="21"/>
      <c r="QZD89" s="21"/>
      <c r="QZE89" s="21"/>
      <c r="QZF89" s="21"/>
      <c r="QZG89" s="21"/>
      <c r="QZH89" s="21"/>
      <c r="QZI89" s="21"/>
      <c r="QZJ89" s="21"/>
      <c r="QZK89" s="21"/>
      <c r="QZL89" s="21"/>
      <c r="QZM89" s="21"/>
      <c r="QZN89" s="21"/>
      <c r="QZO89" s="21"/>
      <c r="QZP89" s="21"/>
      <c r="QZQ89" s="21"/>
      <c r="QZR89" s="21"/>
      <c r="QZS89" s="21"/>
      <c r="QZT89" s="21"/>
      <c r="QZU89" s="21"/>
      <c r="QZV89" s="21"/>
      <c r="QZW89" s="21"/>
      <c r="QZX89" s="21"/>
      <c r="QZY89" s="21"/>
      <c r="QZZ89" s="21"/>
      <c r="RAA89" s="21"/>
      <c r="RAB89" s="21"/>
      <c r="RAC89" s="21"/>
      <c r="RAD89" s="21"/>
      <c r="RAE89" s="21"/>
      <c r="RAF89" s="21"/>
      <c r="RAG89" s="21"/>
      <c r="RAH89" s="21"/>
      <c r="RAI89" s="21"/>
      <c r="RAJ89" s="21"/>
      <c r="RAK89" s="21"/>
      <c r="RAL89" s="21"/>
      <c r="RAM89" s="21"/>
      <c r="RAN89" s="21"/>
      <c r="RAO89" s="21"/>
      <c r="RAP89" s="21"/>
      <c r="RAQ89" s="21"/>
      <c r="RAR89" s="21"/>
      <c r="RAS89" s="21"/>
      <c r="RAT89" s="21"/>
      <c r="RAU89" s="21"/>
      <c r="RAV89" s="21"/>
      <c r="RAW89" s="21"/>
      <c r="RAX89" s="21"/>
      <c r="RAY89" s="21"/>
      <c r="RAZ89" s="21"/>
      <c r="RBA89" s="21"/>
      <c r="RBB89" s="21"/>
      <c r="RBC89" s="21"/>
      <c r="RBD89" s="21"/>
      <c r="RBE89" s="21"/>
      <c r="RBF89" s="21"/>
      <c r="RBG89" s="21"/>
      <c r="RBH89" s="21"/>
      <c r="RBI89" s="21"/>
      <c r="RBJ89" s="21"/>
      <c r="RBK89" s="21"/>
      <c r="RBL89" s="21"/>
      <c r="RBM89" s="21"/>
      <c r="RBN89" s="21"/>
      <c r="RBO89" s="21"/>
      <c r="RBP89" s="21"/>
      <c r="RBQ89" s="21"/>
      <c r="RBR89" s="21"/>
      <c r="RBS89" s="21"/>
      <c r="RBT89" s="21"/>
      <c r="RBU89" s="21"/>
      <c r="RBV89" s="21"/>
      <c r="RBW89" s="21"/>
      <c r="RBX89" s="21"/>
      <c r="RBY89" s="21"/>
      <c r="RBZ89" s="21"/>
      <c r="RCA89" s="21"/>
      <c r="RCB89" s="21"/>
      <c r="RCC89" s="21"/>
      <c r="RCD89" s="21"/>
      <c r="RCE89" s="21"/>
      <c r="RCF89" s="21"/>
      <c r="RCG89" s="21"/>
      <c r="RCH89" s="21"/>
      <c r="RCI89" s="21"/>
      <c r="RCJ89" s="21"/>
      <c r="RCK89" s="21"/>
      <c r="RCL89" s="21"/>
      <c r="RCM89" s="21"/>
      <c r="RCN89" s="21"/>
      <c r="RCO89" s="21"/>
      <c r="RCP89" s="21"/>
      <c r="RCQ89" s="21"/>
      <c r="RCR89" s="21"/>
      <c r="RCS89" s="21"/>
      <c r="RCT89" s="21"/>
      <c r="RCU89" s="21"/>
      <c r="RCV89" s="21"/>
      <c r="RCW89" s="21"/>
      <c r="RCX89" s="21"/>
      <c r="RCY89" s="21"/>
      <c r="RCZ89" s="21"/>
      <c r="RDA89" s="21"/>
      <c r="RDB89" s="21"/>
      <c r="RDC89" s="21"/>
      <c r="RDD89" s="21"/>
      <c r="RDE89" s="21"/>
      <c r="RDF89" s="21"/>
      <c r="RDG89" s="21"/>
      <c r="RDH89" s="21"/>
      <c r="RDI89" s="21"/>
      <c r="RDJ89" s="21"/>
      <c r="RDK89" s="21"/>
      <c r="RDL89" s="21"/>
      <c r="RDM89" s="21"/>
      <c r="RDN89" s="21"/>
      <c r="RDO89" s="21"/>
      <c r="RDP89" s="21"/>
      <c r="RDQ89" s="21"/>
      <c r="RDR89" s="21"/>
      <c r="RDS89" s="21"/>
      <c r="RDT89" s="21"/>
      <c r="RDU89" s="21"/>
      <c r="RDV89" s="21"/>
      <c r="RDW89" s="21"/>
      <c r="RDX89" s="21"/>
      <c r="RDY89" s="21"/>
      <c r="RDZ89" s="21"/>
      <c r="REA89" s="21"/>
      <c r="REB89" s="21"/>
      <c r="REC89" s="21"/>
      <c r="RED89" s="21"/>
      <c r="REE89" s="21"/>
      <c r="REF89" s="21"/>
      <c r="REG89" s="21"/>
      <c r="REH89" s="21"/>
      <c r="REI89" s="21"/>
      <c r="REJ89" s="21"/>
      <c r="REK89" s="21"/>
      <c r="REL89" s="21"/>
      <c r="REM89" s="21"/>
      <c r="REN89" s="21"/>
      <c r="REO89" s="21"/>
      <c r="REP89" s="21"/>
      <c r="REQ89" s="21"/>
      <c r="RER89" s="21"/>
      <c r="RES89" s="21"/>
      <c r="RET89" s="21"/>
      <c r="REU89" s="21"/>
      <c r="REV89" s="21"/>
      <c r="REW89" s="21"/>
      <c r="REX89" s="21"/>
      <c r="REY89" s="21"/>
      <c r="REZ89" s="21"/>
      <c r="RFA89" s="21"/>
      <c r="RFB89" s="21"/>
      <c r="RFC89" s="21"/>
      <c r="RFD89" s="21"/>
      <c r="RFE89" s="21"/>
      <c r="RFF89" s="21"/>
      <c r="RFG89" s="21"/>
      <c r="RFH89" s="21"/>
      <c r="RFI89" s="21"/>
      <c r="RFJ89" s="21"/>
      <c r="RFK89" s="21"/>
      <c r="RFL89" s="21"/>
      <c r="RFM89" s="21"/>
      <c r="RFN89" s="21"/>
      <c r="RFO89" s="21"/>
      <c r="RFP89" s="21"/>
      <c r="RFQ89" s="21"/>
      <c r="RFR89" s="21"/>
      <c r="RFS89" s="21"/>
      <c r="RFT89" s="21"/>
      <c r="RFU89" s="21"/>
      <c r="RFV89" s="21"/>
      <c r="RFW89" s="21"/>
      <c r="RFX89" s="21"/>
      <c r="RFY89" s="21"/>
      <c r="RFZ89" s="21"/>
      <c r="RGA89" s="21"/>
      <c r="RGB89" s="21"/>
      <c r="RGC89" s="21"/>
      <c r="RGD89" s="21"/>
      <c r="RGE89" s="21"/>
      <c r="RGF89" s="21"/>
      <c r="RGG89" s="21"/>
      <c r="RGH89" s="21"/>
      <c r="RGI89" s="21"/>
      <c r="RGJ89" s="21"/>
      <c r="RGK89" s="21"/>
      <c r="RGL89" s="21"/>
      <c r="RGM89" s="21"/>
      <c r="RGN89" s="21"/>
      <c r="RGO89" s="21"/>
      <c r="RGP89" s="21"/>
      <c r="RGQ89" s="21"/>
      <c r="RGR89" s="21"/>
      <c r="RGS89" s="21"/>
      <c r="RGT89" s="21"/>
      <c r="RGU89" s="21"/>
      <c r="RGV89" s="21"/>
      <c r="RGW89" s="21"/>
      <c r="RGX89" s="21"/>
      <c r="RGY89" s="21"/>
      <c r="RGZ89" s="21"/>
      <c r="RHA89" s="21"/>
      <c r="RHB89" s="21"/>
      <c r="RHC89" s="21"/>
      <c r="RHD89" s="21"/>
      <c r="RHE89" s="21"/>
      <c r="RHF89" s="21"/>
      <c r="RHG89" s="21"/>
      <c r="RHH89" s="21"/>
      <c r="RHI89" s="21"/>
      <c r="RHJ89" s="21"/>
      <c r="RHK89" s="21"/>
      <c r="RHL89" s="21"/>
      <c r="RHM89" s="21"/>
      <c r="RHN89" s="21"/>
      <c r="RHO89" s="21"/>
      <c r="RHP89" s="21"/>
      <c r="RHQ89" s="21"/>
      <c r="RHR89" s="21"/>
      <c r="RHS89" s="21"/>
      <c r="RHT89" s="21"/>
      <c r="RHU89" s="21"/>
      <c r="RHV89" s="21"/>
      <c r="RHW89" s="21"/>
      <c r="RHX89" s="21"/>
      <c r="RHY89" s="21"/>
      <c r="RHZ89" s="21"/>
      <c r="RIA89" s="21"/>
      <c r="RIB89" s="21"/>
      <c r="RIC89" s="21"/>
      <c r="RID89" s="21"/>
      <c r="RIE89" s="21"/>
      <c r="RIF89" s="21"/>
      <c r="RIG89" s="21"/>
      <c r="RIH89" s="21"/>
      <c r="RII89" s="21"/>
      <c r="RIJ89" s="21"/>
      <c r="RIK89" s="21"/>
      <c r="RIL89" s="21"/>
      <c r="RIM89" s="21"/>
      <c r="RIN89" s="21"/>
      <c r="RIO89" s="21"/>
      <c r="RIP89" s="21"/>
      <c r="RIQ89" s="21"/>
      <c r="RIR89" s="21"/>
      <c r="RIS89" s="21"/>
      <c r="RIT89" s="21"/>
      <c r="RIU89" s="21"/>
      <c r="RIV89" s="21"/>
      <c r="RIW89" s="21"/>
      <c r="RIX89" s="21"/>
      <c r="RIY89" s="21"/>
      <c r="RIZ89" s="21"/>
      <c r="RJA89" s="21"/>
      <c r="RJB89" s="21"/>
      <c r="RJC89" s="21"/>
      <c r="RJD89" s="21"/>
      <c r="RJE89" s="21"/>
      <c r="RJF89" s="21"/>
      <c r="RJG89" s="21"/>
      <c r="RJH89" s="21"/>
      <c r="RJI89" s="21"/>
      <c r="RJJ89" s="21"/>
      <c r="RJK89" s="21"/>
      <c r="RJL89" s="21"/>
      <c r="RJM89" s="21"/>
      <c r="RJN89" s="21"/>
      <c r="RJO89" s="21"/>
      <c r="RJP89" s="21"/>
      <c r="RJQ89" s="21"/>
      <c r="RJR89" s="21"/>
      <c r="RJS89" s="21"/>
      <c r="RJT89" s="21"/>
      <c r="RJU89" s="21"/>
      <c r="RJV89" s="21"/>
      <c r="RJW89" s="21"/>
      <c r="RJX89" s="21"/>
      <c r="RJY89" s="21"/>
      <c r="RJZ89" s="21"/>
      <c r="RKA89" s="21"/>
      <c r="RKB89" s="21"/>
      <c r="RKC89" s="21"/>
      <c r="RKD89" s="21"/>
      <c r="RKE89" s="21"/>
      <c r="RKF89" s="21"/>
      <c r="RKG89" s="21"/>
      <c r="RKH89" s="21"/>
      <c r="RKI89" s="21"/>
      <c r="RKJ89" s="21"/>
      <c r="RKK89" s="21"/>
      <c r="RKL89" s="21"/>
      <c r="RKM89" s="21"/>
      <c r="RKN89" s="21"/>
      <c r="RKO89" s="21"/>
      <c r="RKP89" s="21"/>
      <c r="RKQ89" s="21"/>
      <c r="RKR89" s="21"/>
      <c r="RKS89" s="21"/>
      <c r="RKT89" s="21"/>
      <c r="RKU89" s="21"/>
      <c r="RKV89" s="21"/>
      <c r="RKW89" s="21"/>
      <c r="RKX89" s="21"/>
      <c r="RKY89" s="21"/>
      <c r="RKZ89" s="21"/>
      <c r="RLA89" s="21"/>
      <c r="RLB89" s="21"/>
      <c r="RLC89" s="21"/>
      <c r="RLD89" s="21"/>
      <c r="RLE89" s="21"/>
      <c r="RLF89" s="21"/>
      <c r="RLG89" s="21"/>
      <c r="RLH89" s="21"/>
      <c r="RLI89" s="21"/>
      <c r="RLJ89" s="21"/>
      <c r="RLK89" s="21"/>
      <c r="RLL89" s="21"/>
      <c r="RLM89" s="21"/>
      <c r="RLN89" s="21"/>
      <c r="RLO89" s="21"/>
      <c r="RLP89" s="21"/>
      <c r="RLQ89" s="21"/>
      <c r="RLR89" s="21"/>
      <c r="RLS89" s="21"/>
      <c r="RLT89" s="21"/>
      <c r="RLU89" s="21"/>
      <c r="RLV89" s="21"/>
      <c r="RLW89" s="21"/>
      <c r="RLX89" s="21"/>
      <c r="RLY89" s="21"/>
      <c r="RLZ89" s="21"/>
      <c r="RMA89" s="21"/>
      <c r="RMB89" s="21"/>
      <c r="RMC89" s="21"/>
      <c r="RMD89" s="21"/>
      <c r="RME89" s="21"/>
      <c r="RMF89" s="21"/>
      <c r="RMG89" s="21"/>
      <c r="RMH89" s="21"/>
      <c r="RMI89" s="21"/>
      <c r="RMJ89" s="21"/>
      <c r="RMK89" s="21"/>
      <c r="RML89" s="21"/>
      <c r="RMM89" s="21"/>
      <c r="RMN89" s="21"/>
      <c r="RMO89" s="21"/>
      <c r="RMP89" s="21"/>
      <c r="RMQ89" s="21"/>
      <c r="RMR89" s="21"/>
      <c r="RMS89" s="21"/>
      <c r="RMT89" s="21"/>
      <c r="RMU89" s="21"/>
      <c r="RMV89" s="21"/>
      <c r="RMW89" s="21"/>
      <c r="RMX89" s="21"/>
      <c r="RMY89" s="21"/>
      <c r="RMZ89" s="21"/>
      <c r="RNA89" s="21"/>
      <c r="RNB89" s="21"/>
      <c r="RNC89" s="21"/>
      <c r="RND89" s="21"/>
      <c r="RNE89" s="21"/>
      <c r="RNF89" s="21"/>
      <c r="RNG89" s="21"/>
      <c r="RNH89" s="21"/>
      <c r="RNI89" s="21"/>
      <c r="RNJ89" s="21"/>
      <c r="RNK89" s="21"/>
      <c r="RNL89" s="21"/>
      <c r="RNM89" s="21"/>
      <c r="RNN89" s="21"/>
      <c r="RNO89" s="21"/>
      <c r="RNP89" s="21"/>
      <c r="RNQ89" s="21"/>
      <c r="RNR89" s="21"/>
      <c r="RNS89" s="21"/>
      <c r="RNT89" s="21"/>
      <c r="RNU89" s="21"/>
      <c r="RNV89" s="21"/>
      <c r="RNW89" s="21"/>
      <c r="RNX89" s="21"/>
      <c r="RNY89" s="21"/>
      <c r="RNZ89" s="21"/>
      <c r="ROA89" s="21"/>
      <c r="ROB89" s="21"/>
      <c r="ROC89" s="21"/>
      <c r="ROD89" s="21"/>
      <c r="ROE89" s="21"/>
      <c r="ROF89" s="21"/>
      <c r="ROG89" s="21"/>
      <c r="ROH89" s="21"/>
      <c r="ROI89" s="21"/>
      <c r="ROJ89" s="21"/>
      <c r="ROK89" s="21"/>
      <c r="ROL89" s="21"/>
      <c r="ROM89" s="21"/>
      <c r="RON89" s="21"/>
      <c r="ROO89" s="21"/>
      <c r="ROP89" s="21"/>
      <c r="ROQ89" s="21"/>
      <c r="ROR89" s="21"/>
      <c r="ROS89" s="21"/>
      <c r="ROT89" s="21"/>
      <c r="ROU89" s="21"/>
      <c r="ROV89" s="21"/>
      <c r="ROW89" s="21"/>
      <c r="ROX89" s="21"/>
      <c r="ROY89" s="21"/>
      <c r="ROZ89" s="21"/>
      <c r="RPA89" s="21"/>
      <c r="RPB89" s="21"/>
      <c r="RPC89" s="21"/>
      <c r="RPD89" s="21"/>
      <c r="RPE89" s="21"/>
      <c r="RPF89" s="21"/>
      <c r="RPG89" s="21"/>
      <c r="RPH89" s="21"/>
      <c r="RPI89" s="21"/>
      <c r="RPJ89" s="21"/>
      <c r="RPK89" s="21"/>
      <c r="RPL89" s="21"/>
      <c r="RPM89" s="21"/>
      <c r="RPN89" s="21"/>
      <c r="RPO89" s="21"/>
      <c r="RPP89" s="21"/>
      <c r="RPQ89" s="21"/>
      <c r="RPR89" s="21"/>
      <c r="RPS89" s="21"/>
      <c r="RPT89" s="21"/>
      <c r="RPU89" s="21"/>
      <c r="RPV89" s="21"/>
      <c r="RPW89" s="21"/>
      <c r="RPX89" s="21"/>
      <c r="RPY89" s="21"/>
      <c r="RPZ89" s="21"/>
      <c r="RQA89" s="21"/>
      <c r="RQB89" s="21"/>
      <c r="RQC89" s="21"/>
      <c r="RQD89" s="21"/>
      <c r="RQE89" s="21"/>
      <c r="RQF89" s="21"/>
      <c r="RQG89" s="21"/>
      <c r="RQH89" s="21"/>
      <c r="RQI89" s="21"/>
      <c r="RQJ89" s="21"/>
      <c r="RQK89" s="21"/>
      <c r="RQL89" s="21"/>
      <c r="RQM89" s="21"/>
      <c r="RQN89" s="21"/>
      <c r="RQO89" s="21"/>
      <c r="RQP89" s="21"/>
      <c r="RQQ89" s="21"/>
      <c r="RQR89" s="21"/>
      <c r="RQS89" s="21"/>
      <c r="RQT89" s="21"/>
      <c r="RQU89" s="21"/>
      <c r="RQV89" s="21"/>
      <c r="RQW89" s="21"/>
      <c r="RQX89" s="21"/>
      <c r="RQY89" s="21"/>
      <c r="RQZ89" s="21"/>
      <c r="RRA89" s="21"/>
      <c r="RRB89" s="21"/>
      <c r="RRC89" s="21"/>
      <c r="RRD89" s="21"/>
      <c r="RRE89" s="21"/>
      <c r="RRF89" s="21"/>
      <c r="RRG89" s="21"/>
      <c r="RRH89" s="21"/>
      <c r="RRI89" s="21"/>
      <c r="RRJ89" s="21"/>
      <c r="RRK89" s="21"/>
      <c r="RRL89" s="21"/>
      <c r="RRM89" s="21"/>
      <c r="RRN89" s="21"/>
      <c r="RRO89" s="21"/>
      <c r="RRP89" s="21"/>
      <c r="RRQ89" s="21"/>
      <c r="RRR89" s="21"/>
      <c r="RRS89" s="21"/>
      <c r="RRT89" s="21"/>
      <c r="RRU89" s="21"/>
      <c r="RRV89" s="21"/>
      <c r="RRW89" s="21"/>
      <c r="RRX89" s="21"/>
      <c r="RRY89" s="21"/>
      <c r="RRZ89" s="21"/>
      <c r="RSA89" s="21"/>
      <c r="RSB89" s="21"/>
      <c r="RSC89" s="21"/>
      <c r="RSD89" s="21"/>
      <c r="RSE89" s="21"/>
      <c r="RSF89" s="21"/>
      <c r="RSG89" s="21"/>
      <c r="RSH89" s="21"/>
      <c r="RSI89" s="21"/>
      <c r="RSJ89" s="21"/>
      <c r="RSK89" s="21"/>
      <c r="RSL89" s="21"/>
      <c r="RSM89" s="21"/>
      <c r="RSN89" s="21"/>
      <c r="RSO89" s="21"/>
      <c r="RSP89" s="21"/>
      <c r="RSQ89" s="21"/>
      <c r="RSR89" s="21"/>
      <c r="RSS89" s="21"/>
      <c r="RST89" s="21"/>
      <c r="RSU89" s="21"/>
      <c r="RSV89" s="21"/>
      <c r="RSW89" s="21"/>
      <c r="RSX89" s="21"/>
      <c r="RSY89" s="21"/>
      <c r="RSZ89" s="21"/>
      <c r="RTA89" s="21"/>
      <c r="RTB89" s="21"/>
      <c r="RTC89" s="21"/>
      <c r="RTD89" s="21"/>
      <c r="RTE89" s="21"/>
      <c r="RTF89" s="21"/>
      <c r="RTG89" s="21"/>
      <c r="RTH89" s="21"/>
      <c r="RTI89" s="21"/>
      <c r="RTJ89" s="21"/>
      <c r="RTK89" s="21"/>
      <c r="RTL89" s="21"/>
      <c r="RTM89" s="21"/>
      <c r="RTN89" s="21"/>
      <c r="RTO89" s="21"/>
      <c r="RTP89" s="21"/>
      <c r="RTQ89" s="21"/>
      <c r="RTR89" s="21"/>
      <c r="RTS89" s="21"/>
      <c r="RTT89" s="21"/>
      <c r="RTU89" s="21"/>
      <c r="RTV89" s="21"/>
      <c r="RTW89" s="21"/>
      <c r="RTX89" s="21"/>
      <c r="RTY89" s="21"/>
      <c r="RTZ89" s="21"/>
      <c r="RUA89" s="21"/>
      <c r="RUB89" s="21"/>
      <c r="RUC89" s="21"/>
      <c r="RUD89" s="21"/>
      <c r="RUE89" s="21"/>
      <c r="RUF89" s="21"/>
      <c r="RUG89" s="21"/>
      <c r="RUH89" s="21"/>
      <c r="RUI89" s="21"/>
      <c r="RUJ89" s="21"/>
      <c r="RUK89" s="21"/>
      <c r="RUL89" s="21"/>
      <c r="RUM89" s="21"/>
      <c r="RUN89" s="21"/>
      <c r="RUO89" s="21"/>
      <c r="RUP89" s="21"/>
      <c r="RUQ89" s="21"/>
      <c r="RUR89" s="21"/>
      <c r="RUS89" s="21"/>
      <c r="RUT89" s="21"/>
      <c r="RUU89" s="21"/>
      <c r="RUV89" s="21"/>
      <c r="RUW89" s="21"/>
      <c r="RUX89" s="21"/>
      <c r="RUY89" s="21"/>
      <c r="RUZ89" s="21"/>
      <c r="RVA89" s="21"/>
      <c r="RVB89" s="21"/>
      <c r="RVC89" s="21"/>
      <c r="RVD89" s="21"/>
      <c r="RVE89" s="21"/>
      <c r="RVF89" s="21"/>
      <c r="RVG89" s="21"/>
      <c r="RVH89" s="21"/>
      <c r="RVI89" s="21"/>
      <c r="RVJ89" s="21"/>
      <c r="RVK89" s="21"/>
      <c r="RVL89" s="21"/>
      <c r="RVM89" s="21"/>
      <c r="RVN89" s="21"/>
      <c r="RVO89" s="21"/>
      <c r="RVP89" s="21"/>
      <c r="RVQ89" s="21"/>
      <c r="RVR89" s="21"/>
      <c r="RVS89" s="21"/>
      <c r="RVT89" s="21"/>
      <c r="RVU89" s="21"/>
      <c r="RVV89" s="21"/>
      <c r="RVW89" s="21"/>
      <c r="RVX89" s="21"/>
      <c r="RVY89" s="21"/>
      <c r="RVZ89" s="21"/>
      <c r="RWA89" s="21"/>
      <c r="RWB89" s="21"/>
      <c r="RWC89" s="21"/>
      <c r="RWD89" s="21"/>
      <c r="RWE89" s="21"/>
      <c r="RWF89" s="21"/>
      <c r="RWG89" s="21"/>
      <c r="RWH89" s="21"/>
      <c r="RWI89" s="21"/>
      <c r="RWJ89" s="21"/>
      <c r="RWK89" s="21"/>
      <c r="RWL89" s="21"/>
      <c r="RWM89" s="21"/>
      <c r="RWN89" s="21"/>
      <c r="RWO89" s="21"/>
      <c r="RWP89" s="21"/>
      <c r="RWQ89" s="21"/>
      <c r="RWR89" s="21"/>
      <c r="RWS89" s="21"/>
      <c r="RWT89" s="21"/>
      <c r="RWU89" s="21"/>
      <c r="RWV89" s="21"/>
      <c r="RWW89" s="21"/>
      <c r="RWX89" s="21"/>
      <c r="RWY89" s="21"/>
      <c r="RWZ89" s="21"/>
      <c r="RXA89" s="21"/>
      <c r="RXB89" s="21"/>
      <c r="RXC89" s="21"/>
      <c r="RXD89" s="21"/>
      <c r="RXE89" s="21"/>
      <c r="RXF89" s="21"/>
      <c r="RXG89" s="21"/>
      <c r="RXH89" s="21"/>
      <c r="RXI89" s="21"/>
      <c r="RXJ89" s="21"/>
      <c r="RXK89" s="21"/>
      <c r="RXL89" s="21"/>
      <c r="RXM89" s="21"/>
      <c r="RXN89" s="21"/>
      <c r="RXO89" s="21"/>
      <c r="RXP89" s="21"/>
      <c r="RXQ89" s="21"/>
      <c r="RXR89" s="21"/>
      <c r="RXS89" s="21"/>
      <c r="RXT89" s="21"/>
      <c r="RXU89" s="21"/>
      <c r="RXV89" s="21"/>
      <c r="RXW89" s="21"/>
      <c r="RXX89" s="21"/>
      <c r="RXY89" s="21"/>
      <c r="RXZ89" s="21"/>
      <c r="RYA89" s="21"/>
      <c r="RYB89" s="21"/>
      <c r="RYC89" s="21"/>
      <c r="RYD89" s="21"/>
      <c r="RYE89" s="21"/>
      <c r="RYF89" s="21"/>
      <c r="RYG89" s="21"/>
      <c r="RYH89" s="21"/>
      <c r="RYI89" s="21"/>
      <c r="RYJ89" s="21"/>
      <c r="RYK89" s="21"/>
      <c r="RYL89" s="21"/>
      <c r="RYM89" s="21"/>
      <c r="RYN89" s="21"/>
      <c r="RYO89" s="21"/>
      <c r="RYP89" s="21"/>
      <c r="RYQ89" s="21"/>
      <c r="RYR89" s="21"/>
      <c r="RYS89" s="21"/>
      <c r="RYT89" s="21"/>
      <c r="RYU89" s="21"/>
      <c r="RYV89" s="21"/>
      <c r="RYW89" s="21"/>
      <c r="RYX89" s="21"/>
      <c r="RYY89" s="21"/>
      <c r="RYZ89" s="21"/>
      <c r="RZA89" s="21"/>
      <c r="RZB89" s="21"/>
      <c r="RZC89" s="21"/>
      <c r="RZD89" s="21"/>
      <c r="RZE89" s="21"/>
      <c r="RZF89" s="21"/>
      <c r="RZG89" s="21"/>
      <c r="RZH89" s="21"/>
      <c r="RZI89" s="21"/>
      <c r="RZJ89" s="21"/>
      <c r="RZK89" s="21"/>
      <c r="RZL89" s="21"/>
      <c r="RZM89" s="21"/>
      <c r="RZN89" s="21"/>
      <c r="RZO89" s="21"/>
      <c r="RZP89" s="21"/>
      <c r="RZQ89" s="21"/>
      <c r="RZR89" s="21"/>
      <c r="RZS89" s="21"/>
      <c r="RZT89" s="21"/>
      <c r="RZU89" s="21"/>
      <c r="RZV89" s="21"/>
      <c r="RZW89" s="21"/>
      <c r="RZX89" s="21"/>
      <c r="RZY89" s="21"/>
      <c r="RZZ89" s="21"/>
      <c r="SAA89" s="21"/>
      <c r="SAB89" s="21"/>
      <c r="SAC89" s="21"/>
      <c r="SAD89" s="21"/>
      <c r="SAE89" s="21"/>
      <c r="SAF89" s="21"/>
      <c r="SAG89" s="21"/>
      <c r="SAH89" s="21"/>
      <c r="SAI89" s="21"/>
      <c r="SAJ89" s="21"/>
      <c r="SAK89" s="21"/>
      <c r="SAL89" s="21"/>
      <c r="SAM89" s="21"/>
      <c r="SAN89" s="21"/>
      <c r="SAO89" s="21"/>
      <c r="SAP89" s="21"/>
      <c r="SAQ89" s="21"/>
      <c r="SAR89" s="21"/>
      <c r="SAS89" s="21"/>
      <c r="SAT89" s="21"/>
      <c r="SAU89" s="21"/>
      <c r="SAV89" s="21"/>
      <c r="SAW89" s="21"/>
      <c r="SAX89" s="21"/>
      <c r="SAY89" s="21"/>
      <c r="SAZ89" s="21"/>
      <c r="SBA89" s="21"/>
      <c r="SBB89" s="21"/>
      <c r="SBC89" s="21"/>
      <c r="SBD89" s="21"/>
      <c r="SBE89" s="21"/>
      <c r="SBF89" s="21"/>
      <c r="SBG89" s="21"/>
      <c r="SBH89" s="21"/>
      <c r="SBI89" s="21"/>
      <c r="SBJ89" s="21"/>
      <c r="SBK89" s="21"/>
      <c r="SBL89" s="21"/>
      <c r="SBM89" s="21"/>
      <c r="SBN89" s="21"/>
      <c r="SBO89" s="21"/>
      <c r="SBP89" s="21"/>
      <c r="SBQ89" s="21"/>
      <c r="SBR89" s="21"/>
      <c r="SBS89" s="21"/>
      <c r="SBT89" s="21"/>
      <c r="SBU89" s="21"/>
      <c r="SBV89" s="21"/>
      <c r="SBW89" s="21"/>
      <c r="SBX89" s="21"/>
      <c r="SBY89" s="21"/>
      <c r="SBZ89" s="21"/>
      <c r="SCA89" s="21"/>
      <c r="SCB89" s="21"/>
      <c r="SCC89" s="21"/>
      <c r="SCD89" s="21"/>
      <c r="SCE89" s="21"/>
      <c r="SCF89" s="21"/>
      <c r="SCG89" s="21"/>
      <c r="SCH89" s="21"/>
      <c r="SCI89" s="21"/>
      <c r="SCJ89" s="21"/>
      <c r="SCK89" s="21"/>
      <c r="SCL89" s="21"/>
      <c r="SCM89" s="21"/>
      <c r="SCN89" s="21"/>
      <c r="SCO89" s="21"/>
      <c r="SCP89" s="21"/>
      <c r="SCQ89" s="21"/>
      <c r="SCR89" s="21"/>
      <c r="SCS89" s="21"/>
      <c r="SCT89" s="21"/>
      <c r="SCU89" s="21"/>
      <c r="SCV89" s="21"/>
      <c r="SCW89" s="21"/>
      <c r="SCX89" s="21"/>
      <c r="SCY89" s="21"/>
      <c r="SCZ89" s="21"/>
      <c r="SDA89" s="21"/>
      <c r="SDB89" s="21"/>
      <c r="SDC89" s="21"/>
      <c r="SDD89" s="21"/>
      <c r="SDE89" s="21"/>
      <c r="SDF89" s="21"/>
      <c r="SDG89" s="21"/>
      <c r="SDH89" s="21"/>
      <c r="SDI89" s="21"/>
      <c r="SDJ89" s="21"/>
      <c r="SDK89" s="21"/>
      <c r="SDL89" s="21"/>
      <c r="SDM89" s="21"/>
      <c r="SDN89" s="21"/>
      <c r="SDO89" s="21"/>
      <c r="SDP89" s="21"/>
      <c r="SDQ89" s="21"/>
      <c r="SDR89" s="21"/>
      <c r="SDS89" s="21"/>
      <c r="SDT89" s="21"/>
      <c r="SDU89" s="21"/>
      <c r="SDV89" s="21"/>
      <c r="SDW89" s="21"/>
      <c r="SDX89" s="21"/>
      <c r="SDY89" s="21"/>
      <c r="SDZ89" s="21"/>
      <c r="SEA89" s="21"/>
      <c r="SEB89" s="21"/>
      <c r="SEC89" s="21"/>
      <c r="SED89" s="21"/>
      <c r="SEE89" s="21"/>
      <c r="SEF89" s="21"/>
      <c r="SEG89" s="21"/>
      <c r="SEH89" s="21"/>
      <c r="SEI89" s="21"/>
      <c r="SEJ89" s="21"/>
      <c r="SEK89" s="21"/>
      <c r="SEL89" s="21"/>
      <c r="SEM89" s="21"/>
      <c r="SEN89" s="21"/>
      <c r="SEO89" s="21"/>
      <c r="SEP89" s="21"/>
      <c r="SEQ89" s="21"/>
      <c r="SER89" s="21"/>
      <c r="SES89" s="21"/>
      <c r="SET89" s="21"/>
      <c r="SEU89" s="21"/>
      <c r="SEV89" s="21"/>
      <c r="SEW89" s="21"/>
      <c r="SEX89" s="21"/>
      <c r="SEY89" s="21"/>
      <c r="SEZ89" s="21"/>
      <c r="SFA89" s="21"/>
      <c r="SFB89" s="21"/>
      <c r="SFC89" s="21"/>
      <c r="SFD89" s="21"/>
      <c r="SFE89" s="21"/>
      <c r="SFF89" s="21"/>
      <c r="SFG89" s="21"/>
      <c r="SFH89" s="21"/>
      <c r="SFI89" s="21"/>
      <c r="SFJ89" s="21"/>
      <c r="SFK89" s="21"/>
      <c r="SFL89" s="21"/>
      <c r="SFM89" s="21"/>
      <c r="SFN89" s="21"/>
      <c r="SFO89" s="21"/>
      <c r="SFP89" s="21"/>
      <c r="SFQ89" s="21"/>
      <c r="SFR89" s="21"/>
      <c r="SFS89" s="21"/>
      <c r="SFT89" s="21"/>
      <c r="SFU89" s="21"/>
      <c r="SFV89" s="21"/>
      <c r="SFW89" s="21"/>
      <c r="SFX89" s="21"/>
      <c r="SFY89" s="21"/>
      <c r="SFZ89" s="21"/>
      <c r="SGA89" s="21"/>
      <c r="SGB89" s="21"/>
      <c r="SGC89" s="21"/>
      <c r="SGD89" s="21"/>
      <c r="SGE89" s="21"/>
      <c r="SGF89" s="21"/>
      <c r="SGG89" s="21"/>
      <c r="SGH89" s="21"/>
      <c r="SGI89" s="21"/>
      <c r="SGJ89" s="21"/>
      <c r="SGK89" s="21"/>
      <c r="SGL89" s="21"/>
      <c r="SGM89" s="21"/>
      <c r="SGN89" s="21"/>
      <c r="SGO89" s="21"/>
      <c r="SGP89" s="21"/>
      <c r="SGQ89" s="21"/>
      <c r="SGR89" s="21"/>
      <c r="SGS89" s="21"/>
      <c r="SGT89" s="21"/>
      <c r="SGU89" s="21"/>
      <c r="SGV89" s="21"/>
      <c r="SGW89" s="21"/>
      <c r="SGX89" s="21"/>
      <c r="SGY89" s="21"/>
      <c r="SGZ89" s="21"/>
      <c r="SHA89" s="21"/>
      <c r="SHB89" s="21"/>
      <c r="SHC89" s="21"/>
      <c r="SHD89" s="21"/>
      <c r="SHE89" s="21"/>
      <c r="SHF89" s="21"/>
      <c r="SHG89" s="21"/>
      <c r="SHH89" s="21"/>
      <c r="SHI89" s="21"/>
      <c r="SHJ89" s="21"/>
      <c r="SHK89" s="21"/>
      <c r="SHL89" s="21"/>
      <c r="SHM89" s="21"/>
      <c r="SHN89" s="21"/>
      <c r="SHO89" s="21"/>
      <c r="SHP89" s="21"/>
      <c r="SHQ89" s="21"/>
      <c r="SHR89" s="21"/>
      <c r="SHS89" s="21"/>
      <c r="SHT89" s="21"/>
      <c r="SHU89" s="21"/>
      <c r="SHV89" s="21"/>
      <c r="SHW89" s="21"/>
      <c r="SHX89" s="21"/>
      <c r="SHY89" s="21"/>
      <c r="SHZ89" s="21"/>
      <c r="SIA89" s="21"/>
      <c r="SIB89" s="21"/>
      <c r="SIC89" s="21"/>
      <c r="SID89" s="21"/>
      <c r="SIE89" s="21"/>
      <c r="SIF89" s="21"/>
      <c r="SIG89" s="21"/>
      <c r="SIH89" s="21"/>
      <c r="SII89" s="21"/>
      <c r="SIJ89" s="21"/>
      <c r="SIK89" s="21"/>
      <c r="SIL89" s="21"/>
      <c r="SIM89" s="21"/>
      <c r="SIN89" s="21"/>
      <c r="SIO89" s="21"/>
      <c r="SIP89" s="21"/>
      <c r="SIQ89" s="21"/>
      <c r="SIR89" s="21"/>
      <c r="SIS89" s="21"/>
      <c r="SIT89" s="21"/>
      <c r="SIU89" s="21"/>
      <c r="SIV89" s="21"/>
      <c r="SIW89" s="21"/>
      <c r="SIX89" s="21"/>
      <c r="SIY89" s="21"/>
      <c r="SIZ89" s="21"/>
      <c r="SJA89" s="21"/>
      <c r="SJB89" s="21"/>
      <c r="SJC89" s="21"/>
      <c r="SJD89" s="21"/>
      <c r="SJE89" s="21"/>
      <c r="SJF89" s="21"/>
      <c r="SJG89" s="21"/>
      <c r="SJH89" s="21"/>
      <c r="SJI89" s="21"/>
      <c r="SJJ89" s="21"/>
      <c r="SJK89" s="21"/>
      <c r="SJL89" s="21"/>
      <c r="SJM89" s="21"/>
      <c r="SJN89" s="21"/>
      <c r="SJO89" s="21"/>
      <c r="SJP89" s="21"/>
      <c r="SJQ89" s="21"/>
      <c r="SJR89" s="21"/>
      <c r="SJS89" s="21"/>
      <c r="SJT89" s="21"/>
      <c r="SJU89" s="21"/>
      <c r="SJV89" s="21"/>
      <c r="SJW89" s="21"/>
      <c r="SJX89" s="21"/>
      <c r="SJY89" s="21"/>
      <c r="SJZ89" s="21"/>
      <c r="SKA89" s="21"/>
      <c r="SKB89" s="21"/>
      <c r="SKC89" s="21"/>
      <c r="SKD89" s="21"/>
      <c r="SKE89" s="21"/>
      <c r="SKF89" s="21"/>
      <c r="SKG89" s="21"/>
      <c r="SKH89" s="21"/>
      <c r="SKI89" s="21"/>
      <c r="SKJ89" s="21"/>
      <c r="SKK89" s="21"/>
      <c r="SKL89" s="21"/>
      <c r="SKM89" s="21"/>
      <c r="SKN89" s="21"/>
      <c r="SKO89" s="21"/>
      <c r="SKP89" s="21"/>
      <c r="SKQ89" s="21"/>
      <c r="SKR89" s="21"/>
      <c r="SKS89" s="21"/>
      <c r="SKT89" s="21"/>
      <c r="SKU89" s="21"/>
      <c r="SKV89" s="21"/>
      <c r="SKW89" s="21"/>
      <c r="SKX89" s="21"/>
      <c r="SKY89" s="21"/>
      <c r="SKZ89" s="21"/>
      <c r="SLA89" s="21"/>
      <c r="SLB89" s="21"/>
      <c r="SLC89" s="21"/>
      <c r="SLD89" s="21"/>
      <c r="SLE89" s="21"/>
      <c r="SLF89" s="21"/>
      <c r="SLG89" s="21"/>
      <c r="SLH89" s="21"/>
      <c r="SLI89" s="21"/>
      <c r="SLJ89" s="21"/>
      <c r="SLK89" s="21"/>
      <c r="SLL89" s="21"/>
      <c r="SLM89" s="21"/>
      <c r="SLN89" s="21"/>
      <c r="SLO89" s="21"/>
      <c r="SLP89" s="21"/>
      <c r="SLQ89" s="21"/>
      <c r="SLR89" s="21"/>
      <c r="SLS89" s="21"/>
      <c r="SLT89" s="21"/>
      <c r="SLU89" s="21"/>
      <c r="SLV89" s="21"/>
      <c r="SLW89" s="21"/>
      <c r="SLX89" s="21"/>
      <c r="SLY89" s="21"/>
      <c r="SLZ89" s="21"/>
      <c r="SMA89" s="21"/>
      <c r="SMB89" s="21"/>
      <c r="SMC89" s="21"/>
      <c r="SMD89" s="21"/>
      <c r="SME89" s="21"/>
      <c r="SMF89" s="21"/>
      <c r="SMG89" s="21"/>
      <c r="SMH89" s="21"/>
      <c r="SMI89" s="21"/>
      <c r="SMJ89" s="21"/>
      <c r="SMK89" s="21"/>
      <c r="SML89" s="21"/>
      <c r="SMM89" s="21"/>
      <c r="SMN89" s="21"/>
      <c r="SMO89" s="21"/>
      <c r="SMP89" s="21"/>
      <c r="SMQ89" s="21"/>
      <c r="SMR89" s="21"/>
      <c r="SMS89" s="21"/>
      <c r="SMT89" s="21"/>
      <c r="SMU89" s="21"/>
      <c r="SMV89" s="21"/>
      <c r="SMW89" s="21"/>
      <c r="SMX89" s="21"/>
      <c r="SMY89" s="21"/>
      <c r="SMZ89" s="21"/>
      <c r="SNA89" s="21"/>
      <c r="SNB89" s="21"/>
      <c r="SNC89" s="21"/>
      <c r="SND89" s="21"/>
      <c r="SNE89" s="21"/>
      <c r="SNF89" s="21"/>
      <c r="SNG89" s="21"/>
      <c r="SNH89" s="21"/>
      <c r="SNI89" s="21"/>
      <c r="SNJ89" s="21"/>
      <c r="SNK89" s="21"/>
      <c r="SNL89" s="21"/>
      <c r="SNM89" s="21"/>
      <c r="SNN89" s="21"/>
      <c r="SNO89" s="21"/>
      <c r="SNP89" s="21"/>
      <c r="SNQ89" s="21"/>
      <c r="SNR89" s="21"/>
      <c r="SNS89" s="21"/>
      <c r="SNT89" s="21"/>
      <c r="SNU89" s="21"/>
      <c r="SNV89" s="21"/>
      <c r="SNW89" s="21"/>
      <c r="SNX89" s="21"/>
      <c r="SNY89" s="21"/>
      <c r="SNZ89" s="21"/>
      <c r="SOA89" s="21"/>
      <c r="SOB89" s="21"/>
      <c r="SOC89" s="21"/>
      <c r="SOD89" s="21"/>
      <c r="SOE89" s="21"/>
      <c r="SOF89" s="21"/>
      <c r="SOG89" s="21"/>
      <c r="SOH89" s="21"/>
      <c r="SOI89" s="21"/>
      <c r="SOJ89" s="21"/>
      <c r="SOK89" s="21"/>
      <c r="SOL89" s="21"/>
      <c r="SOM89" s="21"/>
      <c r="SON89" s="21"/>
      <c r="SOO89" s="21"/>
      <c r="SOP89" s="21"/>
      <c r="SOQ89" s="21"/>
      <c r="SOR89" s="21"/>
      <c r="SOS89" s="21"/>
      <c r="SOT89" s="21"/>
      <c r="SOU89" s="21"/>
      <c r="SOV89" s="21"/>
      <c r="SOW89" s="21"/>
      <c r="SOX89" s="21"/>
      <c r="SOY89" s="21"/>
      <c r="SOZ89" s="21"/>
      <c r="SPA89" s="21"/>
      <c r="SPB89" s="21"/>
      <c r="SPC89" s="21"/>
      <c r="SPD89" s="21"/>
      <c r="SPE89" s="21"/>
      <c r="SPF89" s="21"/>
      <c r="SPG89" s="21"/>
      <c r="SPH89" s="21"/>
      <c r="SPI89" s="21"/>
      <c r="SPJ89" s="21"/>
      <c r="SPK89" s="21"/>
      <c r="SPL89" s="21"/>
      <c r="SPM89" s="21"/>
      <c r="SPN89" s="21"/>
      <c r="SPO89" s="21"/>
      <c r="SPP89" s="21"/>
      <c r="SPQ89" s="21"/>
      <c r="SPR89" s="21"/>
      <c r="SPS89" s="21"/>
      <c r="SPT89" s="21"/>
      <c r="SPU89" s="21"/>
      <c r="SPV89" s="21"/>
      <c r="SPW89" s="21"/>
      <c r="SPX89" s="21"/>
      <c r="SPY89" s="21"/>
      <c r="SPZ89" s="21"/>
      <c r="SQA89" s="21"/>
      <c r="SQB89" s="21"/>
      <c r="SQC89" s="21"/>
      <c r="SQD89" s="21"/>
      <c r="SQE89" s="21"/>
      <c r="SQF89" s="21"/>
      <c r="SQG89" s="21"/>
      <c r="SQH89" s="21"/>
      <c r="SQI89" s="21"/>
      <c r="SQJ89" s="21"/>
      <c r="SQK89" s="21"/>
      <c r="SQL89" s="21"/>
      <c r="SQM89" s="21"/>
      <c r="SQN89" s="21"/>
      <c r="SQO89" s="21"/>
      <c r="SQP89" s="21"/>
      <c r="SQQ89" s="21"/>
      <c r="SQR89" s="21"/>
      <c r="SQS89" s="21"/>
      <c r="SQT89" s="21"/>
      <c r="SQU89" s="21"/>
      <c r="SQV89" s="21"/>
      <c r="SQW89" s="21"/>
      <c r="SQX89" s="21"/>
      <c r="SQY89" s="21"/>
      <c r="SQZ89" s="21"/>
      <c r="SRA89" s="21"/>
      <c r="SRB89" s="21"/>
      <c r="SRC89" s="21"/>
      <c r="SRD89" s="21"/>
      <c r="SRE89" s="21"/>
      <c r="SRF89" s="21"/>
      <c r="SRG89" s="21"/>
      <c r="SRH89" s="21"/>
      <c r="SRI89" s="21"/>
      <c r="SRJ89" s="21"/>
      <c r="SRK89" s="21"/>
      <c r="SRL89" s="21"/>
      <c r="SRM89" s="21"/>
      <c r="SRN89" s="21"/>
      <c r="SRO89" s="21"/>
      <c r="SRP89" s="21"/>
      <c r="SRQ89" s="21"/>
      <c r="SRR89" s="21"/>
      <c r="SRS89" s="21"/>
      <c r="SRT89" s="21"/>
      <c r="SRU89" s="21"/>
      <c r="SRV89" s="21"/>
      <c r="SRW89" s="21"/>
      <c r="SRX89" s="21"/>
      <c r="SRY89" s="21"/>
      <c r="SRZ89" s="21"/>
      <c r="SSA89" s="21"/>
      <c r="SSB89" s="21"/>
      <c r="SSC89" s="21"/>
      <c r="SSD89" s="21"/>
      <c r="SSE89" s="21"/>
      <c r="SSF89" s="21"/>
      <c r="SSG89" s="21"/>
      <c r="SSH89" s="21"/>
      <c r="SSI89" s="21"/>
      <c r="SSJ89" s="21"/>
      <c r="SSK89" s="21"/>
      <c r="SSL89" s="21"/>
      <c r="SSM89" s="21"/>
      <c r="SSN89" s="21"/>
      <c r="SSO89" s="21"/>
      <c r="SSP89" s="21"/>
      <c r="SSQ89" s="21"/>
      <c r="SSR89" s="21"/>
      <c r="SSS89" s="21"/>
      <c r="SST89" s="21"/>
      <c r="SSU89" s="21"/>
      <c r="SSV89" s="21"/>
      <c r="SSW89" s="21"/>
      <c r="SSX89" s="21"/>
      <c r="SSY89" s="21"/>
      <c r="SSZ89" s="21"/>
      <c r="STA89" s="21"/>
      <c r="STB89" s="21"/>
      <c r="STC89" s="21"/>
      <c r="STD89" s="21"/>
      <c r="STE89" s="21"/>
      <c r="STF89" s="21"/>
      <c r="STG89" s="21"/>
      <c r="STH89" s="21"/>
      <c r="STI89" s="21"/>
      <c r="STJ89" s="21"/>
      <c r="STK89" s="21"/>
      <c r="STL89" s="21"/>
      <c r="STM89" s="21"/>
      <c r="STN89" s="21"/>
      <c r="STO89" s="21"/>
      <c r="STP89" s="21"/>
      <c r="STQ89" s="21"/>
      <c r="STR89" s="21"/>
      <c r="STS89" s="21"/>
      <c r="STT89" s="21"/>
      <c r="STU89" s="21"/>
      <c r="STV89" s="21"/>
      <c r="STW89" s="21"/>
      <c r="STX89" s="21"/>
      <c r="STY89" s="21"/>
      <c r="STZ89" s="21"/>
      <c r="SUA89" s="21"/>
      <c r="SUB89" s="21"/>
      <c r="SUC89" s="21"/>
      <c r="SUD89" s="21"/>
      <c r="SUE89" s="21"/>
      <c r="SUF89" s="21"/>
      <c r="SUG89" s="21"/>
      <c r="SUH89" s="21"/>
      <c r="SUI89" s="21"/>
      <c r="SUJ89" s="21"/>
      <c r="SUK89" s="21"/>
      <c r="SUL89" s="21"/>
      <c r="SUM89" s="21"/>
      <c r="SUN89" s="21"/>
      <c r="SUO89" s="21"/>
      <c r="SUP89" s="21"/>
      <c r="SUQ89" s="21"/>
      <c r="SUR89" s="21"/>
      <c r="SUS89" s="21"/>
      <c r="SUT89" s="21"/>
      <c r="SUU89" s="21"/>
      <c r="SUV89" s="21"/>
      <c r="SUW89" s="21"/>
      <c r="SUX89" s="21"/>
      <c r="SUY89" s="21"/>
      <c r="SUZ89" s="21"/>
      <c r="SVA89" s="21"/>
      <c r="SVB89" s="21"/>
      <c r="SVC89" s="21"/>
      <c r="SVD89" s="21"/>
      <c r="SVE89" s="21"/>
      <c r="SVF89" s="21"/>
      <c r="SVG89" s="21"/>
      <c r="SVH89" s="21"/>
      <c r="SVI89" s="21"/>
      <c r="SVJ89" s="21"/>
      <c r="SVK89" s="21"/>
      <c r="SVL89" s="21"/>
      <c r="SVM89" s="21"/>
      <c r="SVN89" s="21"/>
      <c r="SVO89" s="21"/>
      <c r="SVP89" s="21"/>
      <c r="SVQ89" s="21"/>
      <c r="SVR89" s="21"/>
      <c r="SVS89" s="21"/>
      <c r="SVT89" s="21"/>
      <c r="SVU89" s="21"/>
      <c r="SVV89" s="21"/>
      <c r="SVW89" s="21"/>
      <c r="SVX89" s="21"/>
      <c r="SVY89" s="21"/>
      <c r="SVZ89" s="21"/>
      <c r="SWA89" s="21"/>
      <c r="SWB89" s="21"/>
      <c r="SWC89" s="21"/>
      <c r="SWD89" s="21"/>
      <c r="SWE89" s="21"/>
      <c r="SWF89" s="21"/>
      <c r="SWG89" s="21"/>
      <c r="SWH89" s="21"/>
      <c r="SWI89" s="21"/>
      <c r="SWJ89" s="21"/>
      <c r="SWK89" s="21"/>
      <c r="SWL89" s="21"/>
      <c r="SWM89" s="21"/>
      <c r="SWN89" s="21"/>
      <c r="SWO89" s="21"/>
      <c r="SWP89" s="21"/>
      <c r="SWQ89" s="21"/>
      <c r="SWR89" s="21"/>
      <c r="SWS89" s="21"/>
      <c r="SWT89" s="21"/>
      <c r="SWU89" s="21"/>
      <c r="SWV89" s="21"/>
      <c r="SWW89" s="21"/>
      <c r="SWX89" s="21"/>
      <c r="SWY89" s="21"/>
      <c r="SWZ89" s="21"/>
      <c r="SXA89" s="21"/>
      <c r="SXB89" s="21"/>
      <c r="SXC89" s="21"/>
      <c r="SXD89" s="21"/>
      <c r="SXE89" s="21"/>
      <c r="SXF89" s="21"/>
      <c r="SXG89" s="21"/>
      <c r="SXH89" s="21"/>
      <c r="SXI89" s="21"/>
      <c r="SXJ89" s="21"/>
      <c r="SXK89" s="21"/>
      <c r="SXL89" s="21"/>
      <c r="SXM89" s="21"/>
      <c r="SXN89" s="21"/>
      <c r="SXO89" s="21"/>
      <c r="SXP89" s="21"/>
      <c r="SXQ89" s="21"/>
      <c r="SXR89" s="21"/>
      <c r="SXS89" s="21"/>
      <c r="SXT89" s="21"/>
      <c r="SXU89" s="21"/>
      <c r="SXV89" s="21"/>
      <c r="SXW89" s="21"/>
      <c r="SXX89" s="21"/>
      <c r="SXY89" s="21"/>
      <c r="SXZ89" s="21"/>
      <c r="SYA89" s="21"/>
      <c r="SYB89" s="21"/>
      <c r="SYC89" s="21"/>
      <c r="SYD89" s="21"/>
      <c r="SYE89" s="21"/>
      <c r="SYF89" s="21"/>
      <c r="SYG89" s="21"/>
      <c r="SYH89" s="21"/>
      <c r="SYI89" s="21"/>
      <c r="SYJ89" s="21"/>
      <c r="SYK89" s="21"/>
      <c r="SYL89" s="21"/>
      <c r="SYM89" s="21"/>
      <c r="SYN89" s="21"/>
      <c r="SYO89" s="21"/>
      <c r="SYP89" s="21"/>
      <c r="SYQ89" s="21"/>
      <c r="SYR89" s="21"/>
      <c r="SYS89" s="21"/>
      <c r="SYT89" s="21"/>
      <c r="SYU89" s="21"/>
      <c r="SYV89" s="21"/>
      <c r="SYW89" s="21"/>
      <c r="SYX89" s="21"/>
      <c r="SYY89" s="21"/>
      <c r="SYZ89" s="21"/>
      <c r="SZA89" s="21"/>
      <c r="SZB89" s="21"/>
      <c r="SZC89" s="21"/>
      <c r="SZD89" s="21"/>
      <c r="SZE89" s="21"/>
      <c r="SZF89" s="21"/>
      <c r="SZG89" s="21"/>
      <c r="SZH89" s="21"/>
      <c r="SZI89" s="21"/>
      <c r="SZJ89" s="21"/>
      <c r="SZK89" s="21"/>
      <c r="SZL89" s="21"/>
      <c r="SZM89" s="21"/>
      <c r="SZN89" s="21"/>
      <c r="SZO89" s="21"/>
      <c r="SZP89" s="21"/>
      <c r="SZQ89" s="21"/>
      <c r="SZR89" s="21"/>
      <c r="SZS89" s="21"/>
      <c r="SZT89" s="21"/>
      <c r="SZU89" s="21"/>
      <c r="SZV89" s="21"/>
      <c r="SZW89" s="21"/>
      <c r="SZX89" s="21"/>
      <c r="SZY89" s="21"/>
      <c r="SZZ89" s="21"/>
      <c r="TAA89" s="21"/>
      <c r="TAB89" s="21"/>
      <c r="TAC89" s="21"/>
      <c r="TAD89" s="21"/>
      <c r="TAE89" s="21"/>
      <c r="TAF89" s="21"/>
      <c r="TAG89" s="21"/>
      <c r="TAH89" s="21"/>
      <c r="TAI89" s="21"/>
      <c r="TAJ89" s="21"/>
      <c r="TAK89" s="21"/>
      <c r="TAL89" s="21"/>
      <c r="TAM89" s="21"/>
      <c r="TAN89" s="21"/>
      <c r="TAO89" s="21"/>
      <c r="TAP89" s="21"/>
      <c r="TAQ89" s="21"/>
      <c r="TAR89" s="21"/>
      <c r="TAS89" s="21"/>
      <c r="TAT89" s="21"/>
      <c r="TAU89" s="21"/>
      <c r="TAV89" s="21"/>
      <c r="TAW89" s="21"/>
      <c r="TAX89" s="21"/>
      <c r="TAY89" s="21"/>
      <c r="TAZ89" s="21"/>
      <c r="TBA89" s="21"/>
      <c r="TBB89" s="21"/>
      <c r="TBC89" s="21"/>
      <c r="TBD89" s="21"/>
      <c r="TBE89" s="21"/>
      <c r="TBF89" s="21"/>
      <c r="TBG89" s="21"/>
      <c r="TBH89" s="21"/>
      <c r="TBI89" s="21"/>
      <c r="TBJ89" s="21"/>
      <c r="TBK89" s="21"/>
      <c r="TBL89" s="21"/>
      <c r="TBM89" s="21"/>
      <c r="TBN89" s="21"/>
      <c r="TBO89" s="21"/>
      <c r="TBP89" s="21"/>
      <c r="TBQ89" s="21"/>
      <c r="TBR89" s="21"/>
      <c r="TBS89" s="21"/>
      <c r="TBT89" s="21"/>
      <c r="TBU89" s="21"/>
      <c r="TBV89" s="21"/>
      <c r="TBW89" s="21"/>
      <c r="TBX89" s="21"/>
      <c r="TBY89" s="21"/>
      <c r="TBZ89" s="21"/>
      <c r="TCA89" s="21"/>
      <c r="TCB89" s="21"/>
      <c r="TCC89" s="21"/>
      <c r="TCD89" s="21"/>
      <c r="TCE89" s="21"/>
      <c r="TCF89" s="21"/>
      <c r="TCG89" s="21"/>
      <c r="TCH89" s="21"/>
      <c r="TCI89" s="21"/>
      <c r="TCJ89" s="21"/>
      <c r="TCK89" s="21"/>
      <c r="TCL89" s="21"/>
      <c r="TCM89" s="21"/>
      <c r="TCN89" s="21"/>
      <c r="TCO89" s="21"/>
      <c r="TCP89" s="21"/>
      <c r="TCQ89" s="21"/>
      <c r="TCR89" s="21"/>
      <c r="TCS89" s="21"/>
      <c r="TCT89" s="21"/>
      <c r="TCU89" s="21"/>
      <c r="TCV89" s="21"/>
      <c r="TCW89" s="21"/>
      <c r="TCX89" s="21"/>
      <c r="TCY89" s="21"/>
      <c r="TCZ89" s="21"/>
      <c r="TDA89" s="21"/>
      <c r="TDB89" s="21"/>
      <c r="TDC89" s="21"/>
      <c r="TDD89" s="21"/>
      <c r="TDE89" s="21"/>
      <c r="TDF89" s="21"/>
      <c r="TDG89" s="21"/>
      <c r="TDH89" s="21"/>
      <c r="TDI89" s="21"/>
      <c r="TDJ89" s="21"/>
      <c r="TDK89" s="21"/>
      <c r="TDL89" s="21"/>
      <c r="TDM89" s="21"/>
      <c r="TDN89" s="21"/>
      <c r="TDO89" s="21"/>
      <c r="TDP89" s="21"/>
      <c r="TDQ89" s="21"/>
      <c r="TDR89" s="21"/>
      <c r="TDS89" s="21"/>
      <c r="TDT89" s="21"/>
      <c r="TDU89" s="21"/>
      <c r="TDV89" s="21"/>
      <c r="TDW89" s="21"/>
      <c r="TDX89" s="21"/>
      <c r="TDY89" s="21"/>
      <c r="TDZ89" s="21"/>
      <c r="TEA89" s="21"/>
      <c r="TEB89" s="21"/>
      <c r="TEC89" s="21"/>
      <c r="TED89" s="21"/>
      <c r="TEE89" s="21"/>
      <c r="TEF89" s="21"/>
      <c r="TEG89" s="21"/>
      <c r="TEH89" s="21"/>
      <c r="TEI89" s="21"/>
      <c r="TEJ89" s="21"/>
      <c r="TEK89" s="21"/>
      <c r="TEL89" s="21"/>
      <c r="TEM89" s="21"/>
      <c r="TEN89" s="21"/>
      <c r="TEO89" s="21"/>
      <c r="TEP89" s="21"/>
      <c r="TEQ89" s="21"/>
      <c r="TER89" s="21"/>
      <c r="TES89" s="21"/>
      <c r="TET89" s="21"/>
      <c r="TEU89" s="21"/>
      <c r="TEV89" s="21"/>
      <c r="TEW89" s="21"/>
      <c r="TEX89" s="21"/>
      <c r="TEY89" s="21"/>
      <c r="TEZ89" s="21"/>
      <c r="TFA89" s="21"/>
      <c r="TFB89" s="21"/>
      <c r="TFC89" s="21"/>
      <c r="TFD89" s="21"/>
      <c r="TFE89" s="21"/>
      <c r="TFF89" s="21"/>
      <c r="TFG89" s="21"/>
      <c r="TFH89" s="21"/>
      <c r="TFI89" s="21"/>
      <c r="TFJ89" s="21"/>
      <c r="TFK89" s="21"/>
      <c r="TFL89" s="21"/>
      <c r="TFM89" s="21"/>
      <c r="TFN89" s="21"/>
      <c r="TFO89" s="21"/>
      <c r="TFP89" s="21"/>
      <c r="TFQ89" s="21"/>
      <c r="TFR89" s="21"/>
      <c r="TFS89" s="21"/>
      <c r="TFT89" s="21"/>
      <c r="TFU89" s="21"/>
      <c r="TFV89" s="21"/>
      <c r="TFW89" s="21"/>
      <c r="TFX89" s="21"/>
      <c r="TFY89" s="21"/>
      <c r="TFZ89" s="21"/>
      <c r="TGA89" s="21"/>
      <c r="TGB89" s="21"/>
      <c r="TGC89" s="21"/>
      <c r="TGD89" s="21"/>
      <c r="TGE89" s="21"/>
      <c r="TGF89" s="21"/>
      <c r="TGG89" s="21"/>
      <c r="TGH89" s="21"/>
      <c r="TGI89" s="21"/>
      <c r="TGJ89" s="21"/>
      <c r="TGK89" s="21"/>
      <c r="TGL89" s="21"/>
      <c r="TGM89" s="21"/>
      <c r="TGN89" s="21"/>
      <c r="TGO89" s="21"/>
      <c r="TGP89" s="21"/>
      <c r="TGQ89" s="21"/>
      <c r="TGR89" s="21"/>
      <c r="TGS89" s="21"/>
      <c r="TGT89" s="21"/>
      <c r="TGU89" s="21"/>
      <c r="TGV89" s="21"/>
      <c r="TGW89" s="21"/>
      <c r="TGX89" s="21"/>
      <c r="TGY89" s="21"/>
      <c r="TGZ89" s="21"/>
      <c r="THA89" s="21"/>
      <c r="THB89" s="21"/>
      <c r="THC89" s="21"/>
      <c r="THD89" s="21"/>
      <c r="THE89" s="21"/>
      <c r="THF89" s="21"/>
      <c r="THG89" s="21"/>
      <c r="THH89" s="21"/>
      <c r="THI89" s="21"/>
      <c r="THJ89" s="21"/>
      <c r="THK89" s="21"/>
      <c r="THL89" s="21"/>
      <c r="THM89" s="21"/>
      <c r="THN89" s="21"/>
      <c r="THO89" s="21"/>
      <c r="THP89" s="21"/>
      <c r="THQ89" s="21"/>
      <c r="THR89" s="21"/>
      <c r="THS89" s="21"/>
      <c r="THT89" s="21"/>
      <c r="THU89" s="21"/>
      <c r="THV89" s="21"/>
      <c r="THW89" s="21"/>
      <c r="THX89" s="21"/>
      <c r="THY89" s="21"/>
      <c r="THZ89" s="21"/>
      <c r="TIA89" s="21"/>
      <c r="TIB89" s="21"/>
      <c r="TIC89" s="21"/>
      <c r="TID89" s="21"/>
      <c r="TIE89" s="21"/>
      <c r="TIF89" s="21"/>
      <c r="TIG89" s="21"/>
      <c r="TIH89" s="21"/>
      <c r="TII89" s="21"/>
      <c r="TIJ89" s="21"/>
      <c r="TIK89" s="21"/>
      <c r="TIL89" s="21"/>
      <c r="TIM89" s="21"/>
      <c r="TIN89" s="21"/>
      <c r="TIO89" s="21"/>
      <c r="TIP89" s="21"/>
      <c r="TIQ89" s="21"/>
      <c r="TIR89" s="21"/>
      <c r="TIS89" s="21"/>
      <c r="TIT89" s="21"/>
      <c r="TIU89" s="21"/>
      <c r="TIV89" s="21"/>
      <c r="TIW89" s="21"/>
      <c r="TIX89" s="21"/>
      <c r="TIY89" s="21"/>
      <c r="TIZ89" s="21"/>
      <c r="TJA89" s="21"/>
      <c r="TJB89" s="21"/>
      <c r="TJC89" s="21"/>
      <c r="TJD89" s="21"/>
      <c r="TJE89" s="21"/>
      <c r="TJF89" s="21"/>
      <c r="TJG89" s="21"/>
      <c r="TJH89" s="21"/>
      <c r="TJI89" s="21"/>
      <c r="TJJ89" s="21"/>
      <c r="TJK89" s="21"/>
      <c r="TJL89" s="21"/>
      <c r="TJM89" s="21"/>
      <c r="TJN89" s="21"/>
      <c r="TJO89" s="21"/>
      <c r="TJP89" s="21"/>
      <c r="TJQ89" s="21"/>
      <c r="TJR89" s="21"/>
      <c r="TJS89" s="21"/>
      <c r="TJT89" s="21"/>
      <c r="TJU89" s="21"/>
      <c r="TJV89" s="21"/>
      <c r="TJW89" s="21"/>
      <c r="TJX89" s="21"/>
      <c r="TJY89" s="21"/>
      <c r="TJZ89" s="21"/>
      <c r="TKA89" s="21"/>
      <c r="TKB89" s="21"/>
      <c r="TKC89" s="21"/>
      <c r="TKD89" s="21"/>
      <c r="TKE89" s="21"/>
      <c r="TKF89" s="21"/>
      <c r="TKG89" s="21"/>
      <c r="TKH89" s="21"/>
      <c r="TKI89" s="21"/>
      <c r="TKJ89" s="21"/>
      <c r="TKK89" s="21"/>
      <c r="TKL89" s="21"/>
      <c r="TKM89" s="21"/>
      <c r="TKN89" s="21"/>
      <c r="TKO89" s="21"/>
      <c r="TKP89" s="21"/>
      <c r="TKQ89" s="21"/>
      <c r="TKR89" s="21"/>
      <c r="TKS89" s="21"/>
      <c r="TKT89" s="21"/>
      <c r="TKU89" s="21"/>
      <c r="TKV89" s="21"/>
      <c r="TKW89" s="21"/>
      <c r="TKX89" s="21"/>
      <c r="TKY89" s="21"/>
      <c r="TKZ89" s="21"/>
      <c r="TLA89" s="21"/>
      <c r="TLB89" s="21"/>
      <c r="TLC89" s="21"/>
      <c r="TLD89" s="21"/>
      <c r="TLE89" s="21"/>
      <c r="TLF89" s="21"/>
      <c r="TLG89" s="21"/>
      <c r="TLH89" s="21"/>
      <c r="TLI89" s="21"/>
      <c r="TLJ89" s="21"/>
      <c r="TLK89" s="21"/>
      <c r="TLL89" s="21"/>
      <c r="TLM89" s="21"/>
      <c r="TLN89" s="21"/>
      <c r="TLO89" s="21"/>
      <c r="TLP89" s="21"/>
      <c r="TLQ89" s="21"/>
      <c r="TLR89" s="21"/>
      <c r="TLS89" s="21"/>
      <c r="TLT89" s="21"/>
      <c r="TLU89" s="21"/>
      <c r="TLV89" s="21"/>
      <c r="TLW89" s="21"/>
      <c r="TLX89" s="21"/>
      <c r="TLY89" s="21"/>
      <c r="TLZ89" s="21"/>
      <c r="TMA89" s="21"/>
      <c r="TMB89" s="21"/>
      <c r="TMC89" s="21"/>
      <c r="TMD89" s="21"/>
      <c r="TME89" s="21"/>
      <c r="TMF89" s="21"/>
      <c r="TMG89" s="21"/>
      <c r="TMH89" s="21"/>
      <c r="TMI89" s="21"/>
      <c r="TMJ89" s="21"/>
      <c r="TMK89" s="21"/>
      <c r="TML89" s="21"/>
      <c r="TMM89" s="21"/>
      <c r="TMN89" s="21"/>
      <c r="TMO89" s="21"/>
      <c r="TMP89" s="21"/>
      <c r="TMQ89" s="21"/>
      <c r="TMR89" s="21"/>
      <c r="TMS89" s="21"/>
      <c r="TMT89" s="21"/>
      <c r="TMU89" s="21"/>
      <c r="TMV89" s="21"/>
      <c r="TMW89" s="21"/>
      <c r="TMX89" s="21"/>
      <c r="TMY89" s="21"/>
      <c r="TMZ89" s="21"/>
      <c r="TNA89" s="21"/>
      <c r="TNB89" s="21"/>
      <c r="TNC89" s="21"/>
      <c r="TND89" s="21"/>
      <c r="TNE89" s="21"/>
      <c r="TNF89" s="21"/>
      <c r="TNG89" s="21"/>
      <c r="TNH89" s="21"/>
      <c r="TNI89" s="21"/>
      <c r="TNJ89" s="21"/>
      <c r="TNK89" s="21"/>
      <c r="TNL89" s="21"/>
      <c r="TNM89" s="21"/>
      <c r="TNN89" s="21"/>
      <c r="TNO89" s="21"/>
      <c r="TNP89" s="21"/>
      <c r="TNQ89" s="21"/>
      <c r="TNR89" s="21"/>
      <c r="TNS89" s="21"/>
      <c r="TNT89" s="21"/>
      <c r="TNU89" s="21"/>
      <c r="TNV89" s="21"/>
      <c r="TNW89" s="21"/>
      <c r="TNX89" s="21"/>
      <c r="TNY89" s="21"/>
      <c r="TNZ89" s="21"/>
      <c r="TOA89" s="21"/>
      <c r="TOB89" s="21"/>
      <c r="TOC89" s="21"/>
      <c r="TOD89" s="21"/>
      <c r="TOE89" s="21"/>
      <c r="TOF89" s="21"/>
      <c r="TOG89" s="21"/>
      <c r="TOH89" s="21"/>
      <c r="TOI89" s="21"/>
      <c r="TOJ89" s="21"/>
      <c r="TOK89" s="21"/>
      <c r="TOL89" s="21"/>
      <c r="TOM89" s="21"/>
      <c r="TON89" s="21"/>
      <c r="TOO89" s="21"/>
      <c r="TOP89" s="21"/>
      <c r="TOQ89" s="21"/>
      <c r="TOR89" s="21"/>
      <c r="TOS89" s="21"/>
      <c r="TOT89" s="21"/>
      <c r="TOU89" s="21"/>
      <c r="TOV89" s="21"/>
      <c r="TOW89" s="21"/>
      <c r="TOX89" s="21"/>
      <c r="TOY89" s="21"/>
      <c r="TOZ89" s="21"/>
      <c r="TPA89" s="21"/>
      <c r="TPB89" s="21"/>
      <c r="TPC89" s="21"/>
      <c r="TPD89" s="21"/>
      <c r="TPE89" s="21"/>
      <c r="TPF89" s="21"/>
      <c r="TPG89" s="21"/>
      <c r="TPH89" s="21"/>
      <c r="TPI89" s="21"/>
      <c r="TPJ89" s="21"/>
      <c r="TPK89" s="21"/>
      <c r="TPL89" s="21"/>
      <c r="TPM89" s="21"/>
      <c r="TPN89" s="21"/>
      <c r="TPO89" s="21"/>
      <c r="TPP89" s="21"/>
      <c r="TPQ89" s="21"/>
      <c r="TPR89" s="21"/>
      <c r="TPS89" s="21"/>
      <c r="TPT89" s="21"/>
      <c r="TPU89" s="21"/>
      <c r="TPV89" s="21"/>
      <c r="TPW89" s="21"/>
      <c r="TPX89" s="21"/>
      <c r="TPY89" s="21"/>
      <c r="TPZ89" s="21"/>
      <c r="TQA89" s="21"/>
      <c r="TQB89" s="21"/>
      <c r="TQC89" s="21"/>
      <c r="TQD89" s="21"/>
      <c r="TQE89" s="21"/>
      <c r="TQF89" s="21"/>
      <c r="TQG89" s="21"/>
      <c r="TQH89" s="21"/>
      <c r="TQI89" s="21"/>
      <c r="TQJ89" s="21"/>
      <c r="TQK89" s="21"/>
      <c r="TQL89" s="21"/>
      <c r="TQM89" s="21"/>
      <c r="TQN89" s="21"/>
      <c r="TQO89" s="21"/>
      <c r="TQP89" s="21"/>
      <c r="TQQ89" s="21"/>
      <c r="TQR89" s="21"/>
      <c r="TQS89" s="21"/>
      <c r="TQT89" s="21"/>
      <c r="TQU89" s="21"/>
      <c r="TQV89" s="21"/>
      <c r="TQW89" s="21"/>
      <c r="TQX89" s="21"/>
      <c r="TQY89" s="21"/>
      <c r="TQZ89" s="21"/>
      <c r="TRA89" s="21"/>
      <c r="TRB89" s="21"/>
      <c r="TRC89" s="21"/>
      <c r="TRD89" s="21"/>
      <c r="TRE89" s="21"/>
      <c r="TRF89" s="21"/>
      <c r="TRG89" s="21"/>
      <c r="TRH89" s="21"/>
      <c r="TRI89" s="21"/>
      <c r="TRJ89" s="21"/>
      <c r="TRK89" s="21"/>
      <c r="TRL89" s="21"/>
      <c r="TRM89" s="21"/>
      <c r="TRN89" s="21"/>
      <c r="TRO89" s="21"/>
      <c r="TRP89" s="21"/>
      <c r="TRQ89" s="21"/>
      <c r="TRR89" s="21"/>
      <c r="TRS89" s="21"/>
      <c r="TRT89" s="21"/>
      <c r="TRU89" s="21"/>
      <c r="TRV89" s="21"/>
      <c r="TRW89" s="21"/>
      <c r="TRX89" s="21"/>
      <c r="TRY89" s="21"/>
      <c r="TRZ89" s="21"/>
      <c r="TSA89" s="21"/>
      <c r="TSB89" s="21"/>
      <c r="TSC89" s="21"/>
      <c r="TSD89" s="21"/>
      <c r="TSE89" s="21"/>
      <c r="TSF89" s="21"/>
      <c r="TSG89" s="21"/>
      <c r="TSH89" s="21"/>
      <c r="TSI89" s="21"/>
      <c r="TSJ89" s="21"/>
      <c r="TSK89" s="21"/>
      <c r="TSL89" s="21"/>
      <c r="TSM89" s="21"/>
      <c r="TSN89" s="21"/>
      <c r="TSO89" s="21"/>
      <c r="TSP89" s="21"/>
      <c r="TSQ89" s="21"/>
      <c r="TSR89" s="21"/>
      <c r="TSS89" s="21"/>
      <c r="TST89" s="21"/>
      <c r="TSU89" s="21"/>
      <c r="TSV89" s="21"/>
      <c r="TSW89" s="21"/>
      <c r="TSX89" s="21"/>
      <c r="TSY89" s="21"/>
      <c r="TSZ89" s="21"/>
      <c r="TTA89" s="21"/>
      <c r="TTB89" s="21"/>
      <c r="TTC89" s="21"/>
      <c r="TTD89" s="21"/>
      <c r="TTE89" s="21"/>
      <c r="TTF89" s="21"/>
      <c r="TTG89" s="21"/>
      <c r="TTH89" s="21"/>
      <c r="TTI89" s="21"/>
      <c r="TTJ89" s="21"/>
      <c r="TTK89" s="21"/>
      <c r="TTL89" s="21"/>
      <c r="TTM89" s="21"/>
      <c r="TTN89" s="21"/>
      <c r="TTO89" s="21"/>
      <c r="TTP89" s="21"/>
      <c r="TTQ89" s="21"/>
      <c r="TTR89" s="21"/>
      <c r="TTS89" s="21"/>
      <c r="TTT89" s="21"/>
      <c r="TTU89" s="21"/>
      <c r="TTV89" s="21"/>
      <c r="TTW89" s="21"/>
      <c r="TTX89" s="21"/>
      <c r="TTY89" s="21"/>
      <c r="TTZ89" s="21"/>
      <c r="TUA89" s="21"/>
      <c r="TUB89" s="21"/>
      <c r="TUC89" s="21"/>
      <c r="TUD89" s="21"/>
      <c r="TUE89" s="21"/>
      <c r="TUF89" s="21"/>
      <c r="TUG89" s="21"/>
      <c r="TUH89" s="21"/>
      <c r="TUI89" s="21"/>
      <c r="TUJ89" s="21"/>
      <c r="TUK89" s="21"/>
      <c r="TUL89" s="21"/>
      <c r="TUM89" s="21"/>
      <c r="TUN89" s="21"/>
      <c r="TUO89" s="21"/>
      <c r="TUP89" s="21"/>
      <c r="TUQ89" s="21"/>
      <c r="TUR89" s="21"/>
      <c r="TUS89" s="21"/>
      <c r="TUT89" s="21"/>
      <c r="TUU89" s="21"/>
      <c r="TUV89" s="21"/>
      <c r="TUW89" s="21"/>
      <c r="TUX89" s="21"/>
      <c r="TUY89" s="21"/>
      <c r="TUZ89" s="21"/>
      <c r="TVA89" s="21"/>
      <c r="TVB89" s="21"/>
      <c r="TVC89" s="21"/>
      <c r="TVD89" s="21"/>
      <c r="TVE89" s="21"/>
      <c r="TVF89" s="21"/>
      <c r="TVG89" s="21"/>
      <c r="TVH89" s="21"/>
      <c r="TVI89" s="21"/>
      <c r="TVJ89" s="21"/>
      <c r="TVK89" s="21"/>
      <c r="TVL89" s="21"/>
      <c r="TVM89" s="21"/>
      <c r="TVN89" s="21"/>
      <c r="TVO89" s="21"/>
      <c r="TVP89" s="21"/>
      <c r="TVQ89" s="21"/>
      <c r="TVR89" s="21"/>
      <c r="TVS89" s="21"/>
      <c r="TVT89" s="21"/>
      <c r="TVU89" s="21"/>
      <c r="TVV89" s="21"/>
      <c r="TVW89" s="21"/>
      <c r="TVX89" s="21"/>
      <c r="TVY89" s="21"/>
      <c r="TVZ89" s="21"/>
      <c r="TWA89" s="21"/>
      <c r="TWB89" s="21"/>
      <c r="TWC89" s="21"/>
      <c r="TWD89" s="21"/>
      <c r="TWE89" s="21"/>
      <c r="TWF89" s="21"/>
      <c r="TWG89" s="21"/>
      <c r="TWH89" s="21"/>
      <c r="TWI89" s="21"/>
      <c r="TWJ89" s="21"/>
      <c r="TWK89" s="21"/>
      <c r="TWL89" s="21"/>
      <c r="TWM89" s="21"/>
      <c r="TWN89" s="21"/>
      <c r="TWO89" s="21"/>
      <c r="TWP89" s="21"/>
      <c r="TWQ89" s="21"/>
      <c r="TWR89" s="21"/>
      <c r="TWS89" s="21"/>
      <c r="TWT89" s="21"/>
      <c r="TWU89" s="21"/>
      <c r="TWV89" s="21"/>
      <c r="TWW89" s="21"/>
      <c r="TWX89" s="21"/>
      <c r="TWY89" s="21"/>
      <c r="TWZ89" s="21"/>
      <c r="TXA89" s="21"/>
      <c r="TXB89" s="21"/>
      <c r="TXC89" s="21"/>
      <c r="TXD89" s="21"/>
      <c r="TXE89" s="21"/>
      <c r="TXF89" s="21"/>
      <c r="TXG89" s="21"/>
      <c r="TXH89" s="21"/>
      <c r="TXI89" s="21"/>
      <c r="TXJ89" s="21"/>
      <c r="TXK89" s="21"/>
      <c r="TXL89" s="21"/>
      <c r="TXM89" s="21"/>
      <c r="TXN89" s="21"/>
      <c r="TXO89" s="21"/>
      <c r="TXP89" s="21"/>
      <c r="TXQ89" s="21"/>
      <c r="TXR89" s="21"/>
      <c r="TXS89" s="21"/>
      <c r="TXT89" s="21"/>
      <c r="TXU89" s="21"/>
      <c r="TXV89" s="21"/>
      <c r="TXW89" s="21"/>
      <c r="TXX89" s="21"/>
      <c r="TXY89" s="21"/>
      <c r="TXZ89" s="21"/>
      <c r="TYA89" s="21"/>
      <c r="TYB89" s="21"/>
      <c r="TYC89" s="21"/>
      <c r="TYD89" s="21"/>
      <c r="TYE89" s="21"/>
      <c r="TYF89" s="21"/>
      <c r="TYG89" s="21"/>
      <c r="TYH89" s="21"/>
      <c r="TYI89" s="21"/>
      <c r="TYJ89" s="21"/>
      <c r="TYK89" s="21"/>
      <c r="TYL89" s="21"/>
      <c r="TYM89" s="21"/>
      <c r="TYN89" s="21"/>
      <c r="TYO89" s="21"/>
      <c r="TYP89" s="21"/>
      <c r="TYQ89" s="21"/>
      <c r="TYR89" s="21"/>
      <c r="TYS89" s="21"/>
      <c r="TYT89" s="21"/>
      <c r="TYU89" s="21"/>
      <c r="TYV89" s="21"/>
      <c r="TYW89" s="21"/>
      <c r="TYX89" s="21"/>
      <c r="TYY89" s="21"/>
      <c r="TYZ89" s="21"/>
      <c r="TZA89" s="21"/>
      <c r="TZB89" s="21"/>
      <c r="TZC89" s="21"/>
      <c r="TZD89" s="21"/>
      <c r="TZE89" s="21"/>
      <c r="TZF89" s="21"/>
      <c r="TZG89" s="21"/>
      <c r="TZH89" s="21"/>
      <c r="TZI89" s="21"/>
      <c r="TZJ89" s="21"/>
      <c r="TZK89" s="21"/>
      <c r="TZL89" s="21"/>
      <c r="TZM89" s="21"/>
      <c r="TZN89" s="21"/>
      <c r="TZO89" s="21"/>
      <c r="TZP89" s="21"/>
      <c r="TZQ89" s="21"/>
      <c r="TZR89" s="21"/>
      <c r="TZS89" s="21"/>
      <c r="TZT89" s="21"/>
      <c r="TZU89" s="21"/>
      <c r="TZV89" s="21"/>
      <c r="TZW89" s="21"/>
      <c r="TZX89" s="21"/>
      <c r="TZY89" s="21"/>
      <c r="TZZ89" s="21"/>
      <c r="UAA89" s="21"/>
      <c r="UAB89" s="21"/>
      <c r="UAC89" s="21"/>
      <c r="UAD89" s="21"/>
      <c r="UAE89" s="21"/>
      <c r="UAF89" s="21"/>
      <c r="UAG89" s="21"/>
      <c r="UAH89" s="21"/>
      <c r="UAI89" s="21"/>
      <c r="UAJ89" s="21"/>
      <c r="UAK89" s="21"/>
      <c r="UAL89" s="21"/>
      <c r="UAM89" s="21"/>
      <c r="UAN89" s="21"/>
      <c r="UAO89" s="21"/>
      <c r="UAP89" s="21"/>
      <c r="UAQ89" s="21"/>
      <c r="UAR89" s="21"/>
      <c r="UAS89" s="21"/>
      <c r="UAT89" s="21"/>
      <c r="UAU89" s="21"/>
      <c r="UAV89" s="21"/>
      <c r="UAW89" s="21"/>
      <c r="UAX89" s="21"/>
      <c r="UAY89" s="21"/>
      <c r="UAZ89" s="21"/>
      <c r="UBA89" s="21"/>
      <c r="UBB89" s="21"/>
      <c r="UBC89" s="21"/>
      <c r="UBD89" s="21"/>
      <c r="UBE89" s="21"/>
      <c r="UBF89" s="21"/>
      <c r="UBG89" s="21"/>
      <c r="UBH89" s="21"/>
      <c r="UBI89" s="21"/>
      <c r="UBJ89" s="21"/>
      <c r="UBK89" s="21"/>
      <c r="UBL89" s="21"/>
      <c r="UBM89" s="21"/>
      <c r="UBN89" s="21"/>
      <c r="UBO89" s="21"/>
      <c r="UBP89" s="21"/>
      <c r="UBQ89" s="21"/>
      <c r="UBR89" s="21"/>
      <c r="UBS89" s="21"/>
      <c r="UBT89" s="21"/>
      <c r="UBU89" s="21"/>
      <c r="UBV89" s="21"/>
      <c r="UBW89" s="21"/>
      <c r="UBX89" s="21"/>
      <c r="UBY89" s="21"/>
      <c r="UBZ89" s="21"/>
      <c r="UCA89" s="21"/>
      <c r="UCB89" s="21"/>
      <c r="UCC89" s="21"/>
      <c r="UCD89" s="21"/>
      <c r="UCE89" s="21"/>
      <c r="UCF89" s="21"/>
      <c r="UCG89" s="21"/>
      <c r="UCH89" s="21"/>
      <c r="UCI89" s="21"/>
      <c r="UCJ89" s="21"/>
      <c r="UCK89" s="21"/>
      <c r="UCL89" s="21"/>
      <c r="UCM89" s="21"/>
      <c r="UCN89" s="21"/>
      <c r="UCO89" s="21"/>
      <c r="UCP89" s="21"/>
      <c r="UCQ89" s="21"/>
      <c r="UCR89" s="21"/>
      <c r="UCS89" s="21"/>
      <c r="UCT89" s="21"/>
      <c r="UCU89" s="21"/>
      <c r="UCV89" s="21"/>
      <c r="UCW89" s="21"/>
      <c r="UCX89" s="21"/>
      <c r="UCY89" s="21"/>
      <c r="UCZ89" s="21"/>
      <c r="UDA89" s="21"/>
      <c r="UDB89" s="21"/>
      <c r="UDC89" s="21"/>
      <c r="UDD89" s="21"/>
      <c r="UDE89" s="21"/>
      <c r="UDF89" s="21"/>
      <c r="UDG89" s="21"/>
      <c r="UDH89" s="21"/>
      <c r="UDI89" s="21"/>
      <c r="UDJ89" s="21"/>
      <c r="UDK89" s="21"/>
      <c r="UDL89" s="21"/>
      <c r="UDM89" s="21"/>
      <c r="UDN89" s="21"/>
      <c r="UDO89" s="21"/>
      <c r="UDP89" s="21"/>
      <c r="UDQ89" s="21"/>
      <c r="UDR89" s="21"/>
      <c r="UDS89" s="21"/>
      <c r="UDT89" s="21"/>
      <c r="UDU89" s="21"/>
      <c r="UDV89" s="21"/>
      <c r="UDW89" s="21"/>
      <c r="UDX89" s="21"/>
      <c r="UDY89" s="21"/>
      <c r="UDZ89" s="21"/>
      <c r="UEA89" s="21"/>
      <c r="UEB89" s="21"/>
      <c r="UEC89" s="21"/>
      <c r="UED89" s="21"/>
      <c r="UEE89" s="21"/>
      <c r="UEF89" s="21"/>
      <c r="UEG89" s="21"/>
      <c r="UEH89" s="21"/>
      <c r="UEI89" s="21"/>
      <c r="UEJ89" s="21"/>
      <c r="UEK89" s="21"/>
      <c r="UEL89" s="21"/>
      <c r="UEM89" s="21"/>
      <c r="UEN89" s="21"/>
      <c r="UEO89" s="21"/>
      <c r="UEP89" s="21"/>
      <c r="UEQ89" s="21"/>
      <c r="UER89" s="21"/>
      <c r="UES89" s="21"/>
      <c r="UET89" s="21"/>
      <c r="UEU89" s="21"/>
      <c r="UEV89" s="21"/>
      <c r="UEW89" s="21"/>
      <c r="UEX89" s="21"/>
      <c r="UEY89" s="21"/>
      <c r="UEZ89" s="21"/>
      <c r="UFA89" s="21"/>
      <c r="UFB89" s="21"/>
      <c r="UFC89" s="21"/>
      <c r="UFD89" s="21"/>
      <c r="UFE89" s="21"/>
      <c r="UFF89" s="21"/>
      <c r="UFG89" s="21"/>
      <c r="UFH89" s="21"/>
      <c r="UFI89" s="21"/>
      <c r="UFJ89" s="21"/>
      <c r="UFK89" s="21"/>
      <c r="UFL89" s="21"/>
      <c r="UFM89" s="21"/>
      <c r="UFN89" s="21"/>
      <c r="UFO89" s="21"/>
      <c r="UFP89" s="21"/>
      <c r="UFQ89" s="21"/>
      <c r="UFR89" s="21"/>
      <c r="UFS89" s="21"/>
      <c r="UFT89" s="21"/>
      <c r="UFU89" s="21"/>
      <c r="UFV89" s="21"/>
      <c r="UFW89" s="21"/>
      <c r="UFX89" s="21"/>
      <c r="UFY89" s="21"/>
      <c r="UFZ89" s="21"/>
      <c r="UGA89" s="21"/>
      <c r="UGB89" s="21"/>
      <c r="UGC89" s="21"/>
      <c r="UGD89" s="21"/>
      <c r="UGE89" s="21"/>
      <c r="UGF89" s="21"/>
      <c r="UGG89" s="21"/>
      <c r="UGH89" s="21"/>
      <c r="UGI89" s="21"/>
      <c r="UGJ89" s="21"/>
      <c r="UGK89" s="21"/>
      <c r="UGL89" s="21"/>
      <c r="UGM89" s="21"/>
      <c r="UGN89" s="21"/>
      <c r="UGO89" s="21"/>
      <c r="UGP89" s="21"/>
      <c r="UGQ89" s="21"/>
      <c r="UGR89" s="21"/>
      <c r="UGS89" s="21"/>
      <c r="UGT89" s="21"/>
      <c r="UGU89" s="21"/>
      <c r="UGV89" s="21"/>
      <c r="UGW89" s="21"/>
      <c r="UGX89" s="21"/>
      <c r="UGY89" s="21"/>
      <c r="UGZ89" s="21"/>
      <c r="UHA89" s="21"/>
      <c r="UHB89" s="21"/>
      <c r="UHC89" s="21"/>
      <c r="UHD89" s="21"/>
      <c r="UHE89" s="21"/>
      <c r="UHF89" s="21"/>
      <c r="UHG89" s="21"/>
      <c r="UHH89" s="21"/>
      <c r="UHI89" s="21"/>
      <c r="UHJ89" s="21"/>
      <c r="UHK89" s="21"/>
      <c r="UHL89" s="21"/>
      <c r="UHM89" s="21"/>
      <c r="UHN89" s="21"/>
      <c r="UHO89" s="21"/>
      <c r="UHP89" s="21"/>
      <c r="UHQ89" s="21"/>
      <c r="UHR89" s="21"/>
      <c r="UHS89" s="21"/>
      <c r="UHT89" s="21"/>
      <c r="UHU89" s="21"/>
      <c r="UHV89" s="21"/>
      <c r="UHW89" s="21"/>
      <c r="UHX89" s="21"/>
      <c r="UHY89" s="21"/>
      <c r="UHZ89" s="21"/>
      <c r="UIA89" s="21"/>
      <c r="UIB89" s="21"/>
      <c r="UIC89" s="21"/>
      <c r="UID89" s="21"/>
      <c r="UIE89" s="21"/>
      <c r="UIF89" s="21"/>
      <c r="UIG89" s="21"/>
      <c r="UIH89" s="21"/>
      <c r="UII89" s="21"/>
      <c r="UIJ89" s="21"/>
      <c r="UIK89" s="21"/>
      <c r="UIL89" s="21"/>
      <c r="UIM89" s="21"/>
      <c r="UIN89" s="21"/>
      <c r="UIO89" s="21"/>
      <c r="UIP89" s="21"/>
      <c r="UIQ89" s="21"/>
      <c r="UIR89" s="21"/>
      <c r="UIS89" s="21"/>
      <c r="UIT89" s="21"/>
      <c r="UIU89" s="21"/>
      <c r="UIV89" s="21"/>
      <c r="UIW89" s="21"/>
      <c r="UIX89" s="21"/>
      <c r="UIY89" s="21"/>
      <c r="UIZ89" s="21"/>
      <c r="UJA89" s="21"/>
      <c r="UJB89" s="21"/>
      <c r="UJC89" s="21"/>
      <c r="UJD89" s="21"/>
      <c r="UJE89" s="21"/>
      <c r="UJF89" s="21"/>
      <c r="UJG89" s="21"/>
      <c r="UJH89" s="21"/>
      <c r="UJI89" s="21"/>
      <c r="UJJ89" s="21"/>
      <c r="UJK89" s="21"/>
      <c r="UJL89" s="21"/>
      <c r="UJM89" s="21"/>
      <c r="UJN89" s="21"/>
      <c r="UJO89" s="21"/>
      <c r="UJP89" s="21"/>
      <c r="UJQ89" s="21"/>
      <c r="UJR89" s="21"/>
      <c r="UJS89" s="21"/>
      <c r="UJT89" s="21"/>
      <c r="UJU89" s="21"/>
      <c r="UJV89" s="21"/>
      <c r="UJW89" s="21"/>
      <c r="UJX89" s="21"/>
      <c r="UJY89" s="21"/>
      <c r="UJZ89" s="21"/>
      <c r="UKA89" s="21"/>
      <c r="UKB89" s="21"/>
      <c r="UKC89" s="21"/>
      <c r="UKD89" s="21"/>
      <c r="UKE89" s="21"/>
      <c r="UKF89" s="21"/>
      <c r="UKG89" s="21"/>
      <c r="UKH89" s="21"/>
      <c r="UKI89" s="21"/>
      <c r="UKJ89" s="21"/>
      <c r="UKK89" s="21"/>
      <c r="UKL89" s="21"/>
      <c r="UKM89" s="21"/>
      <c r="UKN89" s="21"/>
      <c r="UKO89" s="21"/>
      <c r="UKP89" s="21"/>
      <c r="UKQ89" s="21"/>
      <c r="UKR89" s="21"/>
      <c r="UKS89" s="21"/>
      <c r="UKT89" s="21"/>
      <c r="UKU89" s="21"/>
      <c r="UKV89" s="21"/>
      <c r="UKW89" s="21"/>
      <c r="UKX89" s="21"/>
      <c r="UKY89" s="21"/>
      <c r="UKZ89" s="21"/>
      <c r="ULA89" s="21"/>
      <c r="ULB89" s="21"/>
      <c r="ULC89" s="21"/>
      <c r="ULD89" s="21"/>
      <c r="ULE89" s="21"/>
      <c r="ULF89" s="21"/>
      <c r="ULG89" s="21"/>
      <c r="ULH89" s="21"/>
      <c r="ULI89" s="21"/>
      <c r="ULJ89" s="21"/>
      <c r="ULK89" s="21"/>
      <c r="ULL89" s="21"/>
      <c r="ULM89" s="21"/>
      <c r="ULN89" s="21"/>
      <c r="ULO89" s="21"/>
      <c r="ULP89" s="21"/>
      <c r="ULQ89" s="21"/>
      <c r="ULR89" s="21"/>
      <c r="ULS89" s="21"/>
      <c r="ULT89" s="21"/>
      <c r="ULU89" s="21"/>
      <c r="ULV89" s="21"/>
      <c r="ULW89" s="21"/>
      <c r="ULX89" s="21"/>
      <c r="ULY89" s="21"/>
      <c r="ULZ89" s="21"/>
      <c r="UMA89" s="21"/>
      <c r="UMB89" s="21"/>
      <c r="UMC89" s="21"/>
      <c r="UMD89" s="21"/>
      <c r="UME89" s="21"/>
      <c r="UMF89" s="21"/>
      <c r="UMG89" s="21"/>
      <c r="UMH89" s="21"/>
      <c r="UMI89" s="21"/>
      <c r="UMJ89" s="21"/>
      <c r="UMK89" s="21"/>
      <c r="UML89" s="21"/>
      <c r="UMM89" s="21"/>
      <c r="UMN89" s="21"/>
      <c r="UMO89" s="21"/>
      <c r="UMP89" s="21"/>
      <c r="UMQ89" s="21"/>
      <c r="UMR89" s="21"/>
      <c r="UMS89" s="21"/>
      <c r="UMT89" s="21"/>
      <c r="UMU89" s="21"/>
      <c r="UMV89" s="21"/>
      <c r="UMW89" s="21"/>
      <c r="UMX89" s="21"/>
      <c r="UMY89" s="21"/>
      <c r="UMZ89" s="21"/>
      <c r="UNA89" s="21"/>
      <c r="UNB89" s="21"/>
      <c r="UNC89" s="21"/>
      <c r="UND89" s="21"/>
      <c r="UNE89" s="21"/>
      <c r="UNF89" s="21"/>
      <c r="UNG89" s="21"/>
      <c r="UNH89" s="21"/>
      <c r="UNI89" s="21"/>
      <c r="UNJ89" s="21"/>
      <c r="UNK89" s="21"/>
      <c r="UNL89" s="21"/>
      <c r="UNM89" s="21"/>
      <c r="UNN89" s="21"/>
      <c r="UNO89" s="21"/>
      <c r="UNP89" s="21"/>
      <c r="UNQ89" s="21"/>
      <c r="UNR89" s="21"/>
      <c r="UNS89" s="21"/>
      <c r="UNT89" s="21"/>
      <c r="UNU89" s="21"/>
      <c r="UNV89" s="21"/>
      <c r="UNW89" s="21"/>
      <c r="UNX89" s="21"/>
      <c r="UNY89" s="21"/>
      <c r="UNZ89" s="21"/>
      <c r="UOA89" s="21"/>
      <c r="UOB89" s="21"/>
      <c r="UOC89" s="21"/>
      <c r="UOD89" s="21"/>
      <c r="UOE89" s="21"/>
      <c r="UOF89" s="21"/>
      <c r="UOG89" s="21"/>
      <c r="UOH89" s="21"/>
      <c r="UOI89" s="21"/>
      <c r="UOJ89" s="21"/>
      <c r="UOK89" s="21"/>
      <c r="UOL89" s="21"/>
      <c r="UOM89" s="21"/>
      <c r="UON89" s="21"/>
      <c r="UOO89" s="21"/>
      <c r="UOP89" s="21"/>
      <c r="UOQ89" s="21"/>
      <c r="UOR89" s="21"/>
      <c r="UOS89" s="21"/>
      <c r="UOT89" s="21"/>
      <c r="UOU89" s="21"/>
      <c r="UOV89" s="21"/>
      <c r="UOW89" s="21"/>
      <c r="UOX89" s="21"/>
      <c r="UOY89" s="21"/>
      <c r="UOZ89" s="21"/>
      <c r="UPA89" s="21"/>
      <c r="UPB89" s="21"/>
      <c r="UPC89" s="21"/>
      <c r="UPD89" s="21"/>
      <c r="UPE89" s="21"/>
      <c r="UPF89" s="21"/>
      <c r="UPG89" s="21"/>
      <c r="UPH89" s="21"/>
      <c r="UPI89" s="21"/>
      <c r="UPJ89" s="21"/>
      <c r="UPK89" s="21"/>
      <c r="UPL89" s="21"/>
      <c r="UPM89" s="21"/>
      <c r="UPN89" s="21"/>
      <c r="UPO89" s="21"/>
      <c r="UPP89" s="21"/>
      <c r="UPQ89" s="21"/>
      <c r="UPR89" s="21"/>
      <c r="UPS89" s="21"/>
      <c r="UPT89" s="21"/>
      <c r="UPU89" s="21"/>
      <c r="UPV89" s="21"/>
      <c r="UPW89" s="21"/>
      <c r="UPX89" s="21"/>
      <c r="UPY89" s="21"/>
      <c r="UPZ89" s="21"/>
      <c r="UQA89" s="21"/>
      <c r="UQB89" s="21"/>
      <c r="UQC89" s="21"/>
      <c r="UQD89" s="21"/>
      <c r="UQE89" s="21"/>
      <c r="UQF89" s="21"/>
      <c r="UQG89" s="21"/>
      <c r="UQH89" s="21"/>
      <c r="UQI89" s="21"/>
      <c r="UQJ89" s="21"/>
      <c r="UQK89" s="21"/>
      <c r="UQL89" s="21"/>
      <c r="UQM89" s="21"/>
      <c r="UQN89" s="21"/>
      <c r="UQO89" s="21"/>
      <c r="UQP89" s="21"/>
      <c r="UQQ89" s="21"/>
      <c r="UQR89" s="21"/>
      <c r="UQS89" s="21"/>
      <c r="UQT89" s="21"/>
      <c r="UQU89" s="21"/>
      <c r="UQV89" s="21"/>
      <c r="UQW89" s="21"/>
      <c r="UQX89" s="21"/>
      <c r="UQY89" s="21"/>
      <c r="UQZ89" s="21"/>
      <c r="URA89" s="21"/>
      <c r="URB89" s="21"/>
      <c r="URC89" s="21"/>
      <c r="URD89" s="21"/>
      <c r="URE89" s="21"/>
      <c r="URF89" s="21"/>
      <c r="URG89" s="21"/>
      <c r="URH89" s="21"/>
      <c r="URI89" s="21"/>
      <c r="URJ89" s="21"/>
      <c r="URK89" s="21"/>
      <c r="URL89" s="21"/>
      <c r="URM89" s="21"/>
      <c r="URN89" s="21"/>
      <c r="URO89" s="21"/>
      <c r="URP89" s="21"/>
      <c r="URQ89" s="21"/>
      <c r="URR89" s="21"/>
      <c r="URS89" s="21"/>
      <c r="URT89" s="21"/>
      <c r="URU89" s="21"/>
      <c r="URV89" s="21"/>
      <c r="URW89" s="21"/>
      <c r="URX89" s="21"/>
      <c r="URY89" s="21"/>
      <c r="URZ89" s="21"/>
      <c r="USA89" s="21"/>
      <c r="USB89" s="21"/>
      <c r="USC89" s="21"/>
      <c r="USD89" s="21"/>
      <c r="USE89" s="21"/>
      <c r="USF89" s="21"/>
      <c r="USG89" s="21"/>
      <c r="USH89" s="21"/>
      <c r="USI89" s="21"/>
      <c r="USJ89" s="21"/>
      <c r="USK89" s="21"/>
      <c r="USL89" s="21"/>
      <c r="USM89" s="21"/>
      <c r="USN89" s="21"/>
      <c r="USO89" s="21"/>
      <c r="USP89" s="21"/>
      <c r="USQ89" s="21"/>
      <c r="USR89" s="21"/>
      <c r="USS89" s="21"/>
      <c r="UST89" s="21"/>
      <c r="USU89" s="21"/>
      <c r="USV89" s="21"/>
      <c r="USW89" s="21"/>
      <c r="USX89" s="21"/>
      <c r="USY89" s="21"/>
      <c r="USZ89" s="21"/>
      <c r="UTA89" s="21"/>
      <c r="UTB89" s="21"/>
      <c r="UTC89" s="21"/>
      <c r="UTD89" s="21"/>
      <c r="UTE89" s="21"/>
      <c r="UTF89" s="21"/>
      <c r="UTG89" s="21"/>
      <c r="UTH89" s="21"/>
      <c r="UTI89" s="21"/>
      <c r="UTJ89" s="21"/>
      <c r="UTK89" s="21"/>
      <c r="UTL89" s="21"/>
      <c r="UTM89" s="21"/>
      <c r="UTN89" s="21"/>
      <c r="UTO89" s="21"/>
      <c r="UTP89" s="21"/>
      <c r="UTQ89" s="21"/>
      <c r="UTR89" s="21"/>
      <c r="UTS89" s="21"/>
      <c r="UTT89" s="21"/>
      <c r="UTU89" s="21"/>
      <c r="UTV89" s="21"/>
      <c r="UTW89" s="21"/>
      <c r="UTX89" s="21"/>
      <c r="UTY89" s="21"/>
      <c r="UTZ89" s="21"/>
      <c r="UUA89" s="21"/>
      <c r="UUB89" s="21"/>
      <c r="UUC89" s="21"/>
      <c r="UUD89" s="21"/>
      <c r="UUE89" s="21"/>
      <c r="UUF89" s="21"/>
      <c r="UUG89" s="21"/>
      <c r="UUH89" s="21"/>
      <c r="UUI89" s="21"/>
      <c r="UUJ89" s="21"/>
      <c r="UUK89" s="21"/>
      <c r="UUL89" s="21"/>
      <c r="UUM89" s="21"/>
      <c r="UUN89" s="21"/>
      <c r="UUO89" s="21"/>
      <c r="UUP89" s="21"/>
      <c r="UUQ89" s="21"/>
      <c r="UUR89" s="21"/>
      <c r="UUS89" s="21"/>
      <c r="UUT89" s="21"/>
      <c r="UUU89" s="21"/>
      <c r="UUV89" s="21"/>
      <c r="UUW89" s="21"/>
      <c r="UUX89" s="21"/>
      <c r="UUY89" s="21"/>
      <c r="UUZ89" s="21"/>
      <c r="UVA89" s="21"/>
      <c r="UVB89" s="21"/>
      <c r="UVC89" s="21"/>
      <c r="UVD89" s="21"/>
      <c r="UVE89" s="21"/>
      <c r="UVF89" s="21"/>
      <c r="UVG89" s="21"/>
      <c r="UVH89" s="21"/>
      <c r="UVI89" s="21"/>
      <c r="UVJ89" s="21"/>
      <c r="UVK89" s="21"/>
      <c r="UVL89" s="21"/>
      <c r="UVM89" s="21"/>
      <c r="UVN89" s="21"/>
      <c r="UVO89" s="21"/>
      <c r="UVP89" s="21"/>
      <c r="UVQ89" s="21"/>
      <c r="UVR89" s="21"/>
      <c r="UVS89" s="21"/>
      <c r="UVT89" s="21"/>
      <c r="UVU89" s="21"/>
      <c r="UVV89" s="21"/>
      <c r="UVW89" s="21"/>
      <c r="UVX89" s="21"/>
      <c r="UVY89" s="21"/>
      <c r="UVZ89" s="21"/>
      <c r="UWA89" s="21"/>
      <c r="UWB89" s="21"/>
      <c r="UWC89" s="21"/>
      <c r="UWD89" s="21"/>
      <c r="UWE89" s="21"/>
      <c r="UWF89" s="21"/>
      <c r="UWG89" s="21"/>
      <c r="UWH89" s="21"/>
      <c r="UWI89" s="21"/>
      <c r="UWJ89" s="21"/>
      <c r="UWK89" s="21"/>
      <c r="UWL89" s="21"/>
      <c r="UWM89" s="21"/>
      <c r="UWN89" s="21"/>
      <c r="UWO89" s="21"/>
      <c r="UWP89" s="21"/>
      <c r="UWQ89" s="21"/>
      <c r="UWR89" s="21"/>
      <c r="UWS89" s="21"/>
      <c r="UWT89" s="21"/>
      <c r="UWU89" s="21"/>
      <c r="UWV89" s="21"/>
      <c r="UWW89" s="21"/>
      <c r="UWX89" s="21"/>
      <c r="UWY89" s="21"/>
      <c r="UWZ89" s="21"/>
      <c r="UXA89" s="21"/>
      <c r="UXB89" s="21"/>
      <c r="UXC89" s="21"/>
      <c r="UXD89" s="21"/>
      <c r="UXE89" s="21"/>
      <c r="UXF89" s="21"/>
      <c r="UXG89" s="21"/>
      <c r="UXH89" s="21"/>
      <c r="UXI89" s="21"/>
      <c r="UXJ89" s="21"/>
      <c r="UXK89" s="21"/>
      <c r="UXL89" s="21"/>
      <c r="UXM89" s="21"/>
      <c r="UXN89" s="21"/>
      <c r="UXO89" s="21"/>
      <c r="UXP89" s="21"/>
      <c r="UXQ89" s="21"/>
      <c r="UXR89" s="21"/>
      <c r="UXS89" s="21"/>
      <c r="UXT89" s="21"/>
      <c r="UXU89" s="21"/>
      <c r="UXV89" s="21"/>
      <c r="UXW89" s="21"/>
      <c r="UXX89" s="21"/>
      <c r="UXY89" s="21"/>
      <c r="UXZ89" s="21"/>
      <c r="UYA89" s="21"/>
      <c r="UYB89" s="21"/>
      <c r="UYC89" s="21"/>
      <c r="UYD89" s="21"/>
      <c r="UYE89" s="21"/>
      <c r="UYF89" s="21"/>
      <c r="UYG89" s="21"/>
      <c r="UYH89" s="21"/>
      <c r="UYI89" s="21"/>
      <c r="UYJ89" s="21"/>
      <c r="UYK89" s="21"/>
      <c r="UYL89" s="21"/>
      <c r="UYM89" s="21"/>
      <c r="UYN89" s="21"/>
      <c r="UYO89" s="21"/>
      <c r="UYP89" s="21"/>
      <c r="UYQ89" s="21"/>
      <c r="UYR89" s="21"/>
      <c r="UYS89" s="21"/>
      <c r="UYT89" s="21"/>
      <c r="UYU89" s="21"/>
      <c r="UYV89" s="21"/>
      <c r="UYW89" s="21"/>
      <c r="UYX89" s="21"/>
      <c r="UYY89" s="21"/>
      <c r="UYZ89" s="21"/>
      <c r="UZA89" s="21"/>
      <c r="UZB89" s="21"/>
      <c r="UZC89" s="21"/>
      <c r="UZD89" s="21"/>
      <c r="UZE89" s="21"/>
      <c r="UZF89" s="21"/>
      <c r="UZG89" s="21"/>
      <c r="UZH89" s="21"/>
      <c r="UZI89" s="21"/>
      <c r="UZJ89" s="21"/>
      <c r="UZK89" s="21"/>
      <c r="UZL89" s="21"/>
      <c r="UZM89" s="21"/>
      <c r="UZN89" s="21"/>
      <c r="UZO89" s="21"/>
      <c r="UZP89" s="21"/>
      <c r="UZQ89" s="21"/>
      <c r="UZR89" s="21"/>
      <c r="UZS89" s="21"/>
      <c r="UZT89" s="21"/>
      <c r="UZU89" s="21"/>
      <c r="UZV89" s="21"/>
      <c r="UZW89" s="21"/>
      <c r="UZX89" s="21"/>
      <c r="UZY89" s="21"/>
      <c r="UZZ89" s="21"/>
      <c r="VAA89" s="21"/>
      <c r="VAB89" s="21"/>
      <c r="VAC89" s="21"/>
      <c r="VAD89" s="21"/>
      <c r="VAE89" s="21"/>
      <c r="VAF89" s="21"/>
      <c r="VAG89" s="21"/>
      <c r="VAH89" s="21"/>
      <c r="VAI89" s="21"/>
      <c r="VAJ89" s="21"/>
      <c r="VAK89" s="21"/>
      <c r="VAL89" s="21"/>
      <c r="VAM89" s="21"/>
      <c r="VAN89" s="21"/>
      <c r="VAO89" s="21"/>
      <c r="VAP89" s="21"/>
      <c r="VAQ89" s="21"/>
      <c r="VAR89" s="21"/>
      <c r="VAS89" s="21"/>
      <c r="VAT89" s="21"/>
      <c r="VAU89" s="21"/>
      <c r="VAV89" s="21"/>
      <c r="VAW89" s="21"/>
      <c r="VAX89" s="21"/>
      <c r="VAY89" s="21"/>
      <c r="VAZ89" s="21"/>
      <c r="VBA89" s="21"/>
      <c r="VBB89" s="21"/>
      <c r="VBC89" s="21"/>
      <c r="VBD89" s="21"/>
      <c r="VBE89" s="21"/>
      <c r="VBF89" s="21"/>
      <c r="VBG89" s="21"/>
      <c r="VBH89" s="21"/>
      <c r="VBI89" s="21"/>
      <c r="VBJ89" s="21"/>
      <c r="VBK89" s="21"/>
      <c r="VBL89" s="21"/>
      <c r="VBM89" s="21"/>
      <c r="VBN89" s="21"/>
      <c r="VBO89" s="21"/>
      <c r="VBP89" s="21"/>
      <c r="VBQ89" s="21"/>
      <c r="VBR89" s="21"/>
      <c r="VBS89" s="21"/>
      <c r="VBT89" s="21"/>
      <c r="VBU89" s="21"/>
      <c r="VBV89" s="21"/>
      <c r="VBW89" s="21"/>
      <c r="VBX89" s="21"/>
      <c r="VBY89" s="21"/>
      <c r="VBZ89" s="21"/>
      <c r="VCA89" s="21"/>
      <c r="VCB89" s="21"/>
      <c r="VCC89" s="21"/>
      <c r="VCD89" s="21"/>
      <c r="VCE89" s="21"/>
      <c r="VCF89" s="21"/>
      <c r="VCG89" s="21"/>
      <c r="VCH89" s="21"/>
      <c r="VCI89" s="21"/>
      <c r="VCJ89" s="21"/>
      <c r="VCK89" s="21"/>
      <c r="VCL89" s="21"/>
      <c r="VCM89" s="21"/>
      <c r="VCN89" s="21"/>
      <c r="VCO89" s="21"/>
      <c r="VCP89" s="21"/>
      <c r="VCQ89" s="21"/>
      <c r="VCR89" s="21"/>
      <c r="VCS89" s="21"/>
      <c r="VCT89" s="21"/>
      <c r="VCU89" s="21"/>
      <c r="VCV89" s="21"/>
      <c r="VCW89" s="21"/>
      <c r="VCX89" s="21"/>
      <c r="VCY89" s="21"/>
      <c r="VCZ89" s="21"/>
      <c r="VDA89" s="21"/>
      <c r="VDB89" s="21"/>
      <c r="VDC89" s="21"/>
      <c r="VDD89" s="21"/>
      <c r="VDE89" s="21"/>
      <c r="VDF89" s="21"/>
      <c r="VDG89" s="21"/>
      <c r="VDH89" s="21"/>
      <c r="VDI89" s="21"/>
      <c r="VDJ89" s="21"/>
      <c r="VDK89" s="21"/>
      <c r="VDL89" s="21"/>
      <c r="VDM89" s="21"/>
      <c r="VDN89" s="21"/>
      <c r="VDO89" s="21"/>
      <c r="VDP89" s="21"/>
      <c r="VDQ89" s="21"/>
      <c r="VDR89" s="21"/>
      <c r="VDS89" s="21"/>
      <c r="VDT89" s="21"/>
      <c r="VDU89" s="21"/>
      <c r="VDV89" s="21"/>
      <c r="VDW89" s="21"/>
      <c r="VDX89" s="21"/>
      <c r="VDY89" s="21"/>
      <c r="VDZ89" s="21"/>
      <c r="VEA89" s="21"/>
      <c r="VEB89" s="21"/>
      <c r="VEC89" s="21"/>
      <c r="VED89" s="21"/>
      <c r="VEE89" s="21"/>
      <c r="VEF89" s="21"/>
      <c r="VEG89" s="21"/>
      <c r="VEH89" s="21"/>
      <c r="VEI89" s="21"/>
      <c r="VEJ89" s="21"/>
      <c r="VEK89" s="21"/>
      <c r="VEL89" s="21"/>
      <c r="VEM89" s="21"/>
      <c r="VEN89" s="21"/>
      <c r="VEO89" s="21"/>
      <c r="VEP89" s="21"/>
      <c r="VEQ89" s="21"/>
      <c r="VER89" s="21"/>
      <c r="VES89" s="21"/>
      <c r="VET89" s="21"/>
      <c r="VEU89" s="21"/>
      <c r="VEV89" s="21"/>
      <c r="VEW89" s="21"/>
      <c r="VEX89" s="21"/>
      <c r="VEY89" s="21"/>
      <c r="VEZ89" s="21"/>
      <c r="VFA89" s="21"/>
      <c r="VFB89" s="21"/>
      <c r="VFC89" s="21"/>
      <c r="VFD89" s="21"/>
      <c r="VFE89" s="21"/>
      <c r="VFF89" s="21"/>
      <c r="VFG89" s="21"/>
      <c r="VFH89" s="21"/>
      <c r="VFI89" s="21"/>
      <c r="VFJ89" s="21"/>
      <c r="VFK89" s="21"/>
      <c r="VFL89" s="21"/>
      <c r="VFM89" s="21"/>
      <c r="VFN89" s="21"/>
      <c r="VFO89" s="21"/>
      <c r="VFP89" s="21"/>
      <c r="VFQ89" s="21"/>
      <c r="VFR89" s="21"/>
      <c r="VFS89" s="21"/>
      <c r="VFT89" s="21"/>
      <c r="VFU89" s="21"/>
      <c r="VFV89" s="21"/>
      <c r="VFW89" s="21"/>
      <c r="VFX89" s="21"/>
      <c r="VFY89" s="21"/>
      <c r="VFZ89" s="21"/>
      <c r="VGA89" s="21"/>
      <c r="VGB89" s="21"/>
      <c r="VGC89" s="21"/>
      <c r="VGD89" s="21"/>
      <c r="VGE89" s="21"/>
      <c r="VGF89" s="21"/>
      <c r="VGG89" s="21"/>
      <c r="VGH89" s="21"/>
      <c r="VGI89" s="21"/>
      <c r="VGJ89" s="21"/>
      <c r="VGK89" s="21"/>
      <c r="VGL89" s="21"/>
      <c r="VGM89" s="21"/>
      <c r="VGN89" s="21"/>
      <c r="VGO89" s="21"/>
      <c r="VGP89" s="21"/>
      <c r="VGQ89" s="21"/>
      <c r="VGR89" s="21"/>
      <c r="VGS89" s="21"/>
      <c r="VGT89" s="21"/>
      <c r="VGU89" s="21"/>
      <c r="VGV89" s="21"/>
      <c r="VGW89" s="21"/>
      <c r="VGX89" s="21"/>
      <c r="VGY89" s="21"/>
      <c r="VGZ89" s="21"/>
      <c r="VHA89" s="21"/>
      <c r="VHB89" s="21"/>
      <c r="VHC89" s="21"/>
      <c r="VHD89" s="21"/>
      <c r="VHE89" s="21"/>
      <c r="VHF89" s="21"/>
      <c r="VHG89" s="21"/>
      <c r="VHH89" s="21"/>
      <c r="VHI89" s="21"/>
      <c r="VHJ89" s="21"/>
      <c r="VHK89" s="21"/>
      <c r="VHL89" s="21"/>
      <c r="VHM89" s="21"/>
      <c r="VHN89" s="21"/>
      <c r="VHO89" s="21"/>
      <c r="VHP89" s="21"/>
      <c r="VHQ89" s="21"/>
      <c r="VHR89" s="21"/>
      <c r="VHS89" s="21"/>
      <c r="VHT89" s="21"/>
      <c r="VHU89" s="21"/>
      <c r="VHV89" s="21"/>
      <c r="VHW89" s="21"/>
      <c r="VHX89" s="21"/>
      <c r="VHY89" s="21"/>
      <c r="VHZ89" s="21"/>
      <c r="VIA89" s="21"/>
      <c r="VIB89" s="21"/>
      <c r="VIC89" s="21"/>
      <c r="VID89" s="21"/>
      <c r="VIE89" s="21"/>
      <c r="VIF89" s="21"/>
      <c r="VIG89" s="21"/>
      <c r="VIH89" s="21"/>
      <c r="VII89" s="21"/>
      <c r="VIJ89" s="21"/>
      <c r="VIK89" s="21"/>
      <c r="VIL89" s="21"/>
      <c r="VIM89" s="21"/>
      <c r="VIN89" s="21"/>
      <c r="VIO89" s="21"/>
      <c r="VIP89" s="21"/>
      <c r="VIQ89" s="21"/>
      <c r="VIR89" s="21"/>
      <c r="VIS89" s="21"/>
      <c r="VIT89" s="21"/>
      <c r="VIU89" s="21"/>
      <c r="VIV89" s="21"/>
      <c r="VIW89" s="21"/>
      <c r="VIX89" s="21"/>
      <c r="VIY89" s="21"/>
      <c r="VIZ89" s="21"/>
      <c r="VJA89" s="21"/>
      <c r="VJB89" s="21"/>
      <c r="VJC89" s="21"/>
      <c r="VJD89" s="21"/>
      <c r="VJE89" s="21"/>
      <c r="VJF89" s="21"/>
      <c r="VJG89" s="21"/>
      <c r="VJH89" s="21"/>
      <c r="VJI89" s="21"/>
      <c r="VJJ89" s="21"/>
      <c r="VJK89" s="21"/>
      <c r="VJL89" s="21"/>
      <c r="VJM89" s="21"/>
      <c r="VJN89" s="21"/>
      <c r="VJO89" s="21"/>
      <c r="VJP89" s="21"/>
      <c r="VJQ89" s="21"/>
      <c r="VJR89" s="21"/>
      <c r="VJS89" s="21"/>
      <c r="VJT89" s="21"/>
      <c r="VJU89" s="21"/>
      <c r="VJV89" s="21"/>
      <c r="VJW89" s="21"/>
      <c r="VJX89" s="21"/>
      <c r="VJY89" s="21"/>
      <c r="VJZ89" s="21"/>
      <c r="VKA89" s="21"/>
      <c r="VKB89" s="21"/>
      <c r="VKC89" s="21"/>
      <c r="VKD89" s="21"/>
      <c r="VKE89" s="21"/>
      <c r="VKF89" s="21"/>
      <c r="VKG89" s="21"/>
      <c r="VKH89" s="21"/>
      <c r="VKI89" s="21"/>
      <c r="VKJ89" s="21"/>
      <c r="VKK89" s="21"/>
      <c r="VKL89" s="21"/>
      <c r="VKM89" s="21"/>
      <c r="VKN89" s="21"/>
      <c r="VKO89" s="21"/>
      <c r="VKP89" s="21"/>
      <c r="VKQ89" s="21"/>
      <c r="VKR89" s="21"/>
      <c r="VKS89" s="21"/>
      <c r="VKT89" s="21"/>
      <c r="VKU89" s="21"/>
      <c r="VKV89" s="21"/>
      <c r="VKW89" s="21"/>
      <c r="VKX89" s="21"/>
      <c r="VKY89" s="21"/>
      <c r="VKZ89" s="21"/>
      <c r="VLA89" s="21"/>
      <c r="VLB89" s="21"/>
      <c r="VLC89" s="21"/>
      <c r="VLD89" s="21"/>
      <c r="VLE89" s="21"/>
      <c r="VLF89" s="21"/>
      <c r="VLG89" s="21"/>
      <c r="VLH89" s="21"/>
      <c r="VLI89" s="21"/>
      <c r="VLJ89" s="21"/>
      <c r="VLK89" s="21"/>
      <c r="VLL89" s="21"/>
      <c r="VLM89" s="21"/>
      <c r="VLN89" s="21"/>
      <c r="VLO89" s="21"/>
      <c r="VLP89" s="21"/>
      <c r="VLQ89" s="21"/>
      <c r="VLR89" s="21"/>
      <c r="VLS89" s="21"/>
      <c r="VLT89" s="21"/>
      <c r="VLU89" s="21"/>
      <c r="VLV89" s="21"/>
      <c r="VLW89" s="21"/>
      <c r="VLX89" s="21"/>
      <c r="VLY89" s="21"/>
      <c r="VLZ89" s="21"/>
      <c r="VMA89" s="21"/>
      <c r="VMB89" s="21"/>
      <c r="VMC89" s="21"/>
      <c r="VMD89" s="21"/>
      <c r="VME89" s="21"/>
      <c r="VMF89" s="21"/>
      <c r="VMG89" s="21"/>
      <c r="VMH89" s="21"/>
      <c r="VMI89" s="21"/>
      <c r="VMJ89" s="21"/>
      <c r="VMK89" s="21"/>
      <c r="VML89" s="21"/>
      <c r="VMM89" s="21"/>
      <c r="VMN89" s="21"/>
      <c r="VMO89" s="21"/>
      <c r="VMP89" s="21"/>
      <c r="VMQ89" s="21"/>
      <c r="VMR89" s="21"/>
      <c r="VMS89" s="21"/>
      <c r="VMT89" s="21"/>
      <c r="VMU89" s="21"/>
      <c r="VMV89" s="21"/>
      <c r="VMW89" s="21"/>
      <c r="VMX89" s="21"/>
      <c r="VMY89" s="21"/>
      <c r="VMZ89" s="21"/>
      <c r="VNA89" s="21"/>
      <c r="VNB89" s="21"/>
      <c r="VNC89" s="21"/>
      <c r="VND89" s="21"/>
      <c r="VNE89" s="21"/>
      <c r="VNF89" s="21"/>
      <c r="VNG89" s="21"/>
      <c r="VNH89" s="21"/>
      <c r="VNI89" s="21"/>
      <c r="VNJ89" s="21"/>
      <c r="VNK89" s="21"/>
      <c r="VNL89" s="21"/>
      <c r="VNM89" s="21"/>
      <c r="VNN89" s="21"/>
      <c r="VNO89" s="21"/>
      <c r="VNP89" s="21"/>
      <c r="VNQ89" s="21"/>
      <c r="VNR89" s="21"/>
      <c r="VNS89" s="21"/>
      <c r="VNT89" s="21"/>
      <c r="VNU89" s="21"/>
      <c r="VNV89" s="21"/>
      <c r="VNW89" s="21"/>
      <c r="VNX89" s="21"/>
      <c r="VNY89" s="21"/>
      <c r="VNZ89" s="21"/>
      <c r="VOA89" s="21"/>
      <c r="VOB89" s="21"/>
      <c r="VOC89" s="21"/>
      <c r="VOD89" s="21"/>
      <c r="VOE89" s="21"/>
      <c r="VOF89" s="21"/>
      <c r="VOG89" s="21"/>
      <c r="VOH89" s="21"/>
      <c r="VOI89" s="21"/>
      <c r="VOJ89" s="21"/>
      <c r="VOK89" s="21"/>
      <c r="VOL89" s="21"/>
      <c r="VOM89" s="21"/>
      <c r="VON89" s="21"/>
      <c r="VOO89" s="21"/>
      <c r="VOP89" s="21"/>
      <c r="VOQ89" s="21"/>
      <c r="VOR89" s="21"/>
      <c r="VOS89" s="21"/>
      <c r="VOT89" s="21"/>
      <c r="VOU89" s="21"/>
      <c r="VOV89" s="21"/>
      <c r="VOW89" s="21"/>
      <c r="VOX89" s="21"/>
      <c r="VOY89" s="21"/>
      <c r="VOZ89" s="21"/>
      <c r="VPA89" s="21"/>
      <c r="VPB89" s="21"/>
      <c r="VPC89" s="21"/>
      <c r="VPD89" s="21"/>
      <c r="VPE89" s="21"/>
      <c r="VPF89" s="21"/>
      <c r="VPG89" s="21"/>
      <c r="VPH89" s="21"/>
      <c r="VPI89" s="21"/>
      <c r="VPJ89" s="21"/>
      <c r="VPK89" s="21"/>
      <c r="VPL89" s="21"/>
      <c r="VPM89" s="21"/>
      <c r="VPN89" s="21"/>
      <c r="VPO89" s="21"/>
      <c r="VPP89" s="21"/>
      <c r="VPQ89" s="21"/>
      <c r="VPR89" s="21"/>
      <c r="VPS89" s="21"/>
      <c r="VPT89" s="21"/>
      <c r="VPU89" s="21"/>
      <c r="VPV89" s="21"/>
      <c r="VPW89" s="21"/>
      <c r="VPX89" s="21"/>
      <c r="VPY89" s="21"/>
      <c r="VPZ89" s="21"/>
      <c r="VQA89" s="21"/>
      <c r="VQB89" s="21"/>
      <c r="VQC89" s="21"/>
      <c r="VQD89" s="21"/>
      <c r="VQE89" s="21"/>
      <c r="VQF89" s="21"/>
      <c r="VQG89" s="21"/>
      <c r="VQH89" s="21"/>
      <c r="VQI89" s="21"/>
      <c r="VQJ89" s="21"/>
      <c r="VQK89" s="21"/>
      <c r="VQL89" s="21"/>
      <c r="VQM89" s="21"/>
      <c r="VQN89" s="21"/>
      <c r="VQO89" s="21"/>
      <c r="VQP89" s="21"/>
      <c r="VQQ89" s="21"/>
      <c r="VQR89" s="21"/>
      <c r="VQS89" s="21"/>
      <c r="VQT89" s="21"/>
      <c r="VQU89" s="21"/>
      <c r="VQV89" s="21"/>
      <c r="VQW89" s="21"/>
      <c r="VQX89" s="21"/>
      <c r="VQY89" s="21"/>
      <c r="VQZ89" s="21"/>
      <c r="VRA89" s="21"/>
      <c r="VRB89" s="21"/>
      <c r="VRC89" s="21"/>
      <c r="VRD89" s="21"/>
      <c r="VRE89" s="21"/>
      <c r="VRF89" s="21"/>
      <c r="VRG89" s="21"/>
      <c r="VRH89" s="21"/>
      <c r="VRI89" s="21"/>
      <c r="VRJ89" s="21"/>
      <c r="VRK89" s="21"/>
      <c r="VRL89" s="21"/>
      <c r="VRM89" s="21"/>
      <c r="VRN89" s="21"/>
      <c r="VRO89" s="21"/>
      <c r="VRP89" s="21"/>
      <c r="VRQ89" s="21"/>
      <c r="VRR89" s="21"/>
      <c r="VRS89" s="21"/>
      <c r="VRT89" s="21"/>
      <c r="VRU89" s="21"/>
      <c r="VRV89" s="21"/>
      <c r="VRW89" s="21"/>
      <c r="VRX89" s="21"/>
      <c r="VRY89" s="21"/>
      <c r="VRZ89" s="21"/>
      <c r="VSA89" s="21"/>
      <c r="VSB89" s="21"/>
      <c r="VSC89" s="21"/>
      <c r="VSD89" s="21"/>
      <c r="VSE89" s="21"/>
      <c r="VSF89" s="21"/>
      <c r="VSG89" s="21"/>
      <c r="VSH89" s="21"/>
      <c r="VSI89" s="21"/>
      <c r="VSJ89" s="21"/>
      <c r="VSK89" s="21"/>
      <c r="VSL89" s="21"/>
      <c r="VSM89" s="21"/>
      <c r="VSN89" s="21"/>
      <c r="VSO89" s="21"/>
      <c r="VSP89" s="21"/>
      <c r="VSQ89" s="21"/>
      <c r="VSR89" s="21"/>
      <c r="VSS89" s="21"/>
      <c r="VST89" s="21"/>
      <c r="VSU89" s="21"/>
      <c r="VSV89" s="21"/>
      <c r="VSW89" s="21"/>
      <c r="VSX89" s="21"/>
      <c r="VSY89" s="21"/>
      <c r="VSZ89" s="21"/>
      <c r="VTA89" s="21"/>
      <c r="VTB89" s="21"/>
      <c r="VTC89" s="21"/>
      <c r="VTD89" s="21"/>
      <c r="VTE89" s="21"/>
      <c r="VTF89" s="21"/>
      <c r="VTG89" s="21"/>
      <c r="VTH89" s="21"/>
      <c r="VTI89" s="21"/>
      <c r="VTJ89" s="21"/>
      <c r="VTK89" s="21"/>
      <c r="VTL89" s="21"/>
      <c r="VTM89" s="21"/>
      <c r="VTN89" s="21"/>
      <c r="VTO89" s="21"/>
      <c r="VTP89" s="21"/>
      <c r="VTQ89" s="21"/>
      <c r="VTR89" s="21"/>
      <c r="VTS89" s="21"/>
      <c r="VTT89" s="21"/>
      <c r="VTU89" s="21"/>
      <c r="VTV89" s="21"/>
      <c r="VTW89" s="21"/>
      <c r="VTX89" s="21"/>
      <c r="VTY89" s="21"/>
      <c r="VTZ89" s="21"/>
      <c r="VUA89" s="21"/>
      <c r="VUB89" s="21"/>
      <c r="VUC89" s="21"/>
      <c r="VUD89" s="21"/>
      <c r="VUE89" s="21"/>
      <c r="VUF89" s="21"/>
      <c r="VUG89" s="21"/>
      <c r="VUH89" s="21"/>
      <c r="VUI89" s="21"/>
      <c r="VUJ89" s="21"/>
      <c r="VUK89" s="21"/>
      <c r="VUL89" s="21"/>
      <c r="VUM89" s="21"/>
      <c r="VUN89" s="21"/>
      <c r="VUO89" s="21"/>
      <c r="VUP89" s="21"/>
      <c r="VUQ89" s="21"/>
      <c r="VUR89" s="21"/>
      <c r="VUS89" s="21"/>
      <c r="VUT89" s="21"/>
      <c r="VUU89" s="21"/>
      <c r="VUV89" s="21"/>
      <c r="VUW89" s="21"/>
      <c r="VUX89" s="21"/>
      <c r="VUY89" s="21"/>
      <c r="VUZ89" s="21"/>
      <c r="VVA89" s="21"/>
      <c r="VVB89" s="21"/>
      <c r="VVC89" s="21"/>
      <c r="VVD89" s="21"/>
      <c r="VVE89" s="21"/>
      <c r="VVF89" s="21"/>
      <c r="VVG89" s="21"/>
      <c r="VVH89" s="21"/>
      <c r="VVI89" s="21"/>
      <c r="VVJ89" s="21"/>
      <c r="VVK89" s="21"/>
      <c r="VVL89" s="21"/>
      <c r="VVM89" s="21"/>
      <c r="VVN89" s="21"/>
      <c r="VVO89" s="21"/>
      <c r="VVP89" s="21"/>
      <c r="VVQ89" s="21"/>
      <c r="VVR89" s="21"/>
      <c r="VVS89" s="21"/>
      <c r="VVT89" s="21"/>
      <c r="VVU89" s="21"/>
      <c r="VVV89" s="21"/>
      <c r="VVW89" s="21"/>
      <c r="VVX89" s="21"/>
      <c r="VVY89" s="21"/>
      <c r="VVZ89" s="21"/>
      <c r="VWA89" s="21"/>
      <c r="VWB89" s="21"/>
      <c r="VWC89" s="21"/>
      <c r="VWD89" s="21"/>
      <c r="VWE89" s="21"/>
      <c r="VWF89" s="21"/>
      <c r="VWG89" s="21"/>
      <c r="VWH89" s="21"/>
      <c r="VWI89" s="21"/>
      <c r="VWJ89" s="21"/>
      <c r="VWK89" s="21"/>
      <c r="VWL89" s="21"/>
      <c r="VWM89" s="21"/>
      <c r="VWN89" s="21"/>
      <c r="VWO89" s="21"/>
      <c r="VWP89" s="21"/>
      <c r="VWQ89" s="21"/>
      <c r="VWR89" s="21"/>
      <c r="VWS89" s="21"/>
      <c r="VWT89" s="21"/>
      <c r="VWU89" s="21"/>
      <c r="VWV89" s="21"/>
      <c r="VWW89" s="21"/>
      <c r="VWX89" s="21"/>
      <c r="VWY89" s="21"/>
      <c r="VWZ89" s="21"/>
      <c r="VXA89" s="21"/>
      <c r="VXB89" s="21"/>
      <c r="VXC89" s="21"/>
      <c r="VXD89" s="21"/>
      <c r="VXE89" s="21"/>
      <c r="VXF89" s="21"/>
      <c r="VXG89" s="21"/>
      <c r="VXH89" s="21"/>
      <c r="VXI89" s="21"/>
      <c r="VXJ89" s="21"/>
      <c r="VXK89" s="21"/>
      <c r="VXL89" s="21"/>
      <c r="VXM89" s="21"/>
      <c r="VXN89" s="21"/>
      <c r="VXO89" s="21"/>
      <c r="VXP89" s="21"/>
      <c r="VXQ89" s="21"/>
      <c r="VXR89" s="21"/>
      <c r="VXS89" s="21"/>
      <c r="VXT89" s="21"/>
      <c r="VXU89" s="21"/>
      <c r="VXV89" s="21"/>
      <c r="VXW89" s="21"/>
      <c r="VXX89" s="21"/>
      <c r="VXY89" s="21"/>
      <c r="VXZ89" s="21"/>
      <c r="VYA89" s="21"/>
      <c r="VYB89" s="21"/>
      <c r="VYC89" s="21"/>
      <c r="VYD89" s="21"/>
      <c r="VYE89" s="21"/>
      <c r="VYF89" s="21"/>
      <c r="VYG89" s="21"/>
      <c r="VYH89" s="21"/>
      <c r="VYI89" s="21"/>
      <c r="VYJ89" s="21"/>
      <c r="VYK89" s="21"/>
      <c r="VYL89" s="21"/>
      <c r="VYM89" s="21"/>
      <c r="VYN89" s="21"/>
      <c r="VYO89" s="21"/>
      <c r="VYP89" s="21"/>
      <c r="VYQ89" s="21"/>
      <c r="VYR89" s="21"/>
      <c r="VYS89" s="21"/>
      <c r="VYT89" s="21"/>
      <c r="VYU89" s="21"/>
      <c r="VYV89" s="21"/>
      <c r="VYW89" s="21"/>
      <c r="VYX89" s="21"/>
      <c r="VYY89" s="21"/>
      <c r="VYZ89" s="21"/>
      <c r="VZA89" s="21"/>
      <c r="VZB89" s="21"/>
      <c r="VZC89" s="21"/>
      <c r="VZD89" s="21"/>
      <c r="VZE89" s="21"/>
      <c r="VZF89" s="21"/>
      <c r="VZG89" s="21"/>
      <c r="VZH89" s="21"/>
      <c r="VZI89" s="21"/>
      <c r="VZJ89" s="21"/>
      <c r="VZK89" s="21"/>
      <c r="VZL89" s="21"/>
      <c r="VZM89" s="21"/>
      <c r="VZN89" s="21"/>
      <c r="VZO89" s="21"/>
      <c r="VZP89" s="21"/>
      <c r="VZQ89" s="21"/>
      <c r="VZR89" s="21"/>
      <c r="VZS89" s="21"/>
      <c r="VZT89" s="21"/>
      <c r="VZU89" s="21"/>
      <c r="VZV89" s="21"/>
      <c r="VZW89" s="21"/>
      <c r="VZX89" s="21"/>
      <c r="VZY89" s="21"/>
      <c r="VZZ89" s="21"/>
      <c r="WAA89" s="21"/>
      <c r="WAB89" s="21"/>
      <c r="WAC89" s="21"/>
      <c r="WAD89" s="21"/>
      <c r="WAE89" s="21"/>
      <c r="WAF89" s="21"/>
      <c r="WAG89" s="21"/>
      <c r="WAH89" s="21"/>
      <c r="WAI89" s="21"/>
      <c r="WAJ89" s="21"/>
      <c r="WAK89" s="21"/>
      <c r="WAL89" s="21"/>
      <c r="WAM89" s="21"/>
      <c r="WAN89" s="21"/>
      <c r="WAO89" s="21"/>
      <c r="WAP89" s="21"/>
      <c r="WAQ89" s="21"/>
      <c r="WAR89" s="21"/>
      <c r="WAS89" s="21"/>
      <c r="WAT89" s="21"/>
      <c r="WAU89" s="21"/>
      <c r="WAV89" s="21"/>
      <c r="WAW89" s="21"/>
      <c r="WAX89" s="21"/>
      <c r="WAY89" s="21"/>
      <c r="WAZ89" s="21"/>
      <c r="WBA89" s="21"/>
      <c r="WBB89" s="21"/>
      <c r="WBC89" s="21"/>
      <c r="WBD89" s="21"/>
      <c r="WBE89" s="21"/>
      <c r="WBF89" s="21"/>
      <c r="WBG89" s="21"/>
      <c r="WBH89" s="21"/>
      <c r="WBI89" s="21"/>
      <c r="WBJ89" s="21"/>
      <c r="WBK89" s="21"/>
      <c r="WBL89" s="21"/>
      <c r="WBM89" s="21"/>
      <c r="WBN89" s="21"/>
      <c r="WBO89" s="21"/>
      <c r="WBP89" s="21"/>
      <c r="WBQ89" s="21"/>
      <c r="WBR89" s="21"/>
      <c r="WBS89" s="21"/>
      <c r="WBT89" s="21"/>
      <c r="WBU89" s="21"/>
      <c r="WBV89" s="21"/>
      <c r="WBW89" s="21"/>
      <c r="WBX89" s="21"/>
      <c r="WBY89" s="21"/>
      <c r="WBZ89" s="21"/>
      <c r="WCA89" s="21"/>
      <c r="WCB89" s="21"/>
      <c r="WCC89" s="21"/>
      <c r="WCD89" s="21"/>
      <c r="WCE89" s="21"/>
      <c r="WCF89" s="21"/>
      <c r="WCG89" s="21"/>
      <c r="WCH89" s="21"/>
      <c r="WCI89" s="21"/>
      <c r="WCJ89" s="21"/>
      <c r="WCK89" s="21"/>
      <c r="WCL89" s="21"/>
      <c r="WCM89" s="21"/>
      <c r="WCN89" s="21"/>
      <c r="WCO89" s="21"/>
      <c r="WCP89" s="21"/>
      <c r="WCQ89" s="21"/>
      <c r="WCR89" s="21"/>
      <c r="WCS89" s="21"/>
      <c r="WCT89" s="21"/>
      <c r="WCU89" s="21"/>
      <c r="WCV89" s="21"/>
      <c r="WCW89" s="21"/>
      <c r="WCX89" s="21"/>
      <c r="WCY89" s="21"/>
      <c r="WCZ89" s="21"/>
      <c r="WDA89" s="21"/>
      <c r="WDB89" s="21"/>
      <c r="WDC89" s="21"/>
      <c r="WDD89" s="21"/>
      <c r="WDE89" s="21"/>
      <c r="WDF89" s="21"/>
      <c r="WDG89" s="21"/>
      <c r="WDH89" s="21"/>
      <c r="WDI89" s="21"/>
      <c r="WDJ89" s="21"/>
      <c r="WDK89" s="21"/>
      <c r="WDL89" s="21"/>
      <c r="WDM89" s="21"/>
      <c r="WDN89" s="21"/>
      <c r="WDO89" s="21"/>
      <c r="WDP89" s="21"/>
      <c r="WDQ89" s="21"/>
      <c r="WDR89" s="21"/>
      <c r="WDS89" s="21"/>
      <c r="WDT89" s="21"/>
      <c r="WDU89" s="21"/>
      <c r="WDV89" s="21"/>
      <c r="WDW89" s="21"/>
      <c r="WDX89" s="21"/>
      <c r="WDY89" s="21"/>
      <c r="WDZ89" s="21"/>
      <c r="WEA89" s="21"/>
      <c r="WEB89" s="21"/>
      <c r="WEC89" s="21"/>
      <c r="WED89" s="21"/>
      <c r="WEE89" s="21"/>
      <c r="WEF89" s="21"/>
      <c r="WEG89" s="21"/>
      <c r="WEH89" s="21"/>
      <c r="WEI89" s="21"/>
      <c r="WEJ89" s="21"/>
      <c r="WEK89" s="21"/>
      <c r="WEL89" s="21"/>
      <c r="WEM89" s="21"/>
      <c r="WEN89" s="21"/>
      <c r="WEO89" s="21"/>
      <c r="WEP89" s="21"/>
      <c r="WEQ89" s="21"/>
      <c r="WER89" s="21"/>
      <c r="WES89" s="21"/>
      <c r="WET89" s="21"/>
      <c r="WEU89" s="21"/>
      <c r="WEV89" s="21"/>
      <c r="WEW89" s="21"/>
      <c r="WEX89" s="21"/>
      <c r="WEY89" s="21"/>
      <c r="WEZ89" s="21"/>
      <c r="WFA89" s="21"/>
      <c r="WFB89" s="21"/>
      <c r="WFC89" s="21"/>
      <c r="WFD89" s="21"/>
      <c r="WFE89" s="21"/>
      <c r="WFF89" s="21"/>
      <c r="WFG89" s="21"/>
      <c r="WFH89" s="21"/>
      <c r="WFI89" s="21"/>
      <c r="WFJ89" s="21"/>
      <c r="WFK89" s="21"/>
      <c r="WFL89" s="21"/>
      <c r="WFM89" s="21"/>
      <c r="WFN89" s="21"/>
      <c r="WFO89" s="21"/>
      <c r="WFP89" s="21"/>
      <c r="WFQ89" s="21"/>
      <c r="WFR89" s="21"/>
      <c r="WFS89" s="21"/>
      <c r="WFT89" s="21"/>
      <c r="WFU89" s="21"/>
      <c r="WFV89" s="21"/>
      <c r="WFW89" s="21"/>
      <c r="WFX89" s="21"/>
      <c r="WFY89" s="21"/>
      <c r="WFZ89" s="21"/>
      <c r="WGA89" s="21"/>
      <c r="WGB89" s="21"/>
      <c r="WGC89" s="21"/>
      <c r="WGD89" s="21"/>
      <c r="WGE89" s="21"/>
      <c r="WGF89" s="21"/>
      <c r="WGG89" s="21"/>
      <c r="WGH89" s="21"/>
      <c r="WGI89" s="21"/>
      <c r="WGJ89" s="21"/>
      <c r="WGK89" s="21"/>
      <c r="WGL89" s="21"/>
      <c r="WGM89" s="21"/>
      <c r="WGN89" s="21"/>
      <c r="WGO89" s="21"/>
      <c r="WGP89" s="21"/>
      <c r="WGQ89" s="21"/>
      <c r="WGR89" s="21"/>
      <c r="WGS89" s="21"/>
      <c r="WGT89" s="21"/>
      <c r="WGU89" s="21"/>
      <c r="WGV89" s="21"/>
      <c r="WGW89" s="21"/>
      <c r="WGX89" s="21"/>
      <c r="WGY89" s="21"/>
      <c r="WGZ89" s="21"/>
      <c r="WHA89" s="21"/>
      <c r="WHB89" s="21"/>
      <c r="WHC89" s="21"/>
      <c r="WHD89" s="21"/>
      <c r="WHE89" s="21"/>
      <c r="WHF89" s="21"/>
      <c r="WHG89" s="21"/>
      <c r="WHH89" s="21"/>
      <c r="WHI89" s="21"/>
      <c r="WHJ89" s="21"/>
      <c r="WHK89" s="21"/>
      <c r="WHL89" s="21"/>
      <c r="WHM89" s="21"/>
      <c r="WHN89" s="21"/>
      <c r="WHO89" s="21"/>
      <c r="WHP89" s="21"/>
      <c r="WHQ89" s="21"/>
      <c r="WHR89" s="21"/>
      <c r="WHS89" s="21"/>
      <c r="WHT89" s="21"/>
      <c r="WHU89" s="21"/>
      <c r="WHV89" s="21"/>
      <c r="WHW89" s="21"/>
      <c r="WHX89" s="21"/>
      <c r="WHY89" s="21"/>
      <c r="WHZ89" s="21"/>
      <c r="WIA89" s="21"/>
      <c r="WIB89" s="21"/>
      <c r="WIC89" s="21"/>
      <c r="WID89" s="21"/>
      <c r="WIE89" s="21"/>
      <c r="WIF89" s="21"/>
      <c r="WIG89" s="21"/>
      <c r="WIH89" s="21"/>
      <c r="WII89" s="21"/>
      <c r="WIJ89" s="21"/>
      <c r="WIK89" s="21"/>
      <c r="WIL89" s="21"/>
      <c r="WIM89" s="21"/>
      <c r="WIN89" s="21"/>
      <c r="WIO89" s="21"/>
      <c r="WIP89" s="21"/>
      <c r="WIQ89" s="21"/>
      <c r="WIR89" s="21"/>
      <c r="WIS89" s="21"/>
      <c r="WIT89" s="21"/>
      <c r="WIU89" s="21"/>
      <c r="WIV89" s="21"/>
      <c r="WIW89" s="21"/>
      <c r="WIX89" s="21"/>
      <c r="WIY89" s="21"/>
      <c r="WIZ89" s="21"/>
      <c r="WJA89" s="21"/>
      <c r="WJB89" s="21"/>
      <c r="WJC89" s="21"/>
      <c r="WJD89" s="21"/>
      <c r="WJE89" s="21"/>
      <c r="WJF89" s="21"/>
      <c r="WJG89" s="21"/>
      <c r="WJH89" s="21"/>
      <c r="WJI89" s="21"/>
      <c r="WJJ89" s="21"/>
      <c r="WJK89" s="21"/>
      <c r="WJL89" s="21"/>
      <c r="WJM89" s="21"/>
      <c r="WJN89" s="21"/>
      <c r="WJO89" s="21"/>
      <c r="WJP89" s="21"/>
      <c r="WJQ89" s="21"/>
      <c r="WJR89" s="21"/>
      <c r="WJS89" s="21"/>
      <c r="WJT89" s="21"/>
      <c r="WJU89" s="21"/>
      <c r="WJV89" s="21"/>
      <c r="WJW89" s="21"/>
      <c r="WJX89" s="21"/>
      <c r="WJY89" s="21"/>
      <c r="WJZ89" s="21"/>
      <c r="WKA89" s="21"/>
      <c r="WKB89" s="21"/>
      <c r="WKC89" s="21"/>
      <c r="WKD89" s="21"/>
      <c r="WKE89" s="21"/>
      <c r="WKF89" s="21"/>
      <c r="WKG89" s="21"/>
      <c r="WKH89" s="21"/>
      <c r="WKI89" s="21"/>
      <c r="WKJ89" s="21"/>
      <c r="WKK89" s="21"/>
      <c r="WKL89" s="21"/>
      <c r="WKM89" s="21"/>
      <c r="WKN89" s="21"/>
      <c r="WKO89" s="21"/>
      <c r="WKP89" s="21"/>
      <c r="WKQ89" s="21"/>
      <c r="WKR89" s="21"/>
      <c r="WKS89" s="21"/>
      <c r="WKT89" s="21"/>
      <c r="WKU89" s="21"/>
      <c r="WKV89" s="21"/>
      <c r="WKW89" s="21"/>
      <c r="WKX89" s="21"/>
      <c r="WKY89" s="21"/>
      <c r="WKZ89" s="21"/>
      <c r="WLA89" s="21"/>
      <c r="WLB89" s="21"/>
      <c r="WLC89" s="21"/>
      <c r="WLD89" s="21"/>
      <c r="WLE89" s="21"/>
      <c r="WLF89" s="21"/>
      <c r="WLG89" s="21"/>
      <c r="WLH89" s="21"/>
      <c r="WLI89" s="21"/>
      <c r="WLJ89" s="21"/>
      <c r="WLK89" s="21"/>
      <c r="WLL89" s="21"/>
      <c r="WLM89" s="21"/>
      <c r="WLN89" s="21"/>
      <c r="WLO89" s="21"/>
      <c r="WLP89" s="21"/>
      <c r="WLQ89" s="21"/>
      <c r="WLR89" s="21"/>
      <c r="WLS89" s="21"/>
      <c r="WLT89" s="21"/>
      <c r="WLU89" s="21"/>
      <c r="WLV89" s="21"/>
      <c r="WLW89" s="21"/>
      <c r="WLX89" s="21"/>
      <c r="WLY89" s="21"/>
      <c r="WLZ89" s="21"/>
      <c r="WMA89" s="21"/>
      <c r="WMB89" s="21"/>
      <c r="WMC89" s="21"/>
      <c r="WMD89" s="21"/>
      <c r="WME89" s="21"/>
      <c r="WMF89" s="21"/>
      <c r="WMG89" s="21"/>
      <c r="WMH89" s="21"/>
      <c r="WMI89" s="21"/>
      <c r="WMJ89" s="21"/>
      <c r="WMK89" s="21"/>
      <c r="WML89" s="21"/>
      <c r="WMM89" s="21"/>
      <c r="WMN89" s="21"/>
      <c r="WMO89" s="21"/>
      <c r="WMP89" s="21"/>
      <c r="WMQ89" s="21"/>
      <c r="WMR89" s="21"/>
      <c r="WMS89" s="21"/>
      <c r="WMT89" s="21"/>
      <c r="WMU89" s="21"/>
      <c r="WMV89" s="21"/>
      <c r="WMW89" s="21"/>
      <c r="WMX89" s="21"/>
      <c r="WMY89" s="21"/>
      <c r="WMZ89" s="21"/>
      <c r="WNA89" s="21"/>
      <c r="WNB89" s="21"/>
      <c r="WNC89" s="21"/>
      <c r="WND89" s="21"/>
      <c r="WNE89" s="21"/>
      <c r="WNF89" s="21"/>
      <c r="WNG89" s="21"/>
      <c r="WNH89" s="21"/>
      <c r="WNI89" s="21"/>
      <c r="WNJ89" s="21"/>
      <c r="WNK89" s="21"/>
      <c r="WNL89" s="21"/>
      <c r="WNM89" s="21"/>
      <c r="WNN89" s="21"/>
      <c r="WNO89" s="21"/>
      <c r="WNP89" s="21"/>
      <c r="WNQ89" s="21"/>
      <c r="WNR89" s="21"/>
      <c r="WNS89" s="21"/>
      <c r="WNT89" s="21"/>
      <c r="WNU89" s="21"/>
      <c r="WNV89" s="21"/>
      <c r="WNW89" s="21"/>
      <c r="WNX89" s="21"/>
      <c r="WNY89" s="21"/>
      <c r="WNZ89" s="21"/>
      <c r="WOA89" s="21"/>
      <c r="WOB89" s="21"/>
      <c r="WOC89" s="21"/>
      <c r="WOD89" s="21"/>
      <c r="WOE89" s="21"/>
      <c r="WOF89" s="21"/>
      <c r="WOG89" s="21"/>
      <c r="WOH89" s="21"/>
      <c r="WOI89" s="21"/>
      <c r="WOJ89" s="21"/>
      <c r="WOK89" s="21"/>
      <c r="WOL89" s="21"/>
      <c r="WOM89" s="21"/>
      <c r="WON89" s="21"/>
      <c r="WOO89" s="21"/>
      <c r="WOP89" s="21"/>
      <c r="WOQ89" s="21"/>
      <c r="WOR89" s="21"/>
      <c r="WOS89" s="21"/>
      <c r="WOT89" s="21"/>
      <c r="WOU89" s="21"/>
      <c r="WOV89" s="21"/>
      <c r="WOW89" s="21"/>
      <c r="WOX89" s="21"/>
      <c r="WOY89" s="21"/>
      <c r="WOZ89" s="21"/>
      <c r="WPA89" s="21"/>
      <c r="WPB89" s="21"/>
      <c r="WPC89" s="21"/>
      <c r="WPD89" s="21"/>
      <c r="WPE89" s="21"/>
      <c r="WPF89" s="21"/>
      <c r="WPG89" s="21"/>
      <c r="WPH89" s="21"/>
      <c r="WPI89" s="21"/>
      <c r="WPJ89" s="21"/>
      <c r="WPK89" s="21"/>
      <c r="WPL89" s="21"/>
      <c r="WPM89" s="21"/>
      <c r="WPN89" s="21"/>
      <c r="WPO89" s="21"/>
      <c r="WPP89" s="21"/>
      <c r="WPQ89" s="21"/>
      <c r="WPR89" s="21"/>
      <c r="WPS89" s="21"/>
      <c r="WPT89" s="21"/>
      <c r="WPU89" s="21"/>
      <c r="WPV89" s="21"/>
      <c r="WPW89" s="21"/>
      <c r="WPX89" s="21"/>
      <c r="WPY89" s="21"/>
      <c r="WPZ89" s="21"/>
      <c r="WQA89" s="21"/>
      <c r="WQB89" s="21"/>
      <c r="WQC89" s="21"/>
      <c r="WQD89" s="21"/>
      <c r="WQE89" s="21"/>
      <c r="WQF89" s="21"/>
      <c r="WQG89" s="21"/>
      <c r="WQH89" s="21"/>
      <c r="WQI89" s="21"/>
      <c r="WQJ89" s="21"/>
      <c r="WQK89" s="21"/>
      <c r="WQL89" s="21"/>
      <c r="WQM89" s="21"/>
      <c r="WQN89" s="21"/>
      <c r="WQO89" s="21"/>
      <c r="WQP89" s="21"/>
      <c r="WQQ89" s="21"/>
      <c r="WQR89" s="21"/>
      <c r="WQS89" s="21"/>
      <c r="WQT89" s="21"/>
      <c r="WQU89" s="21"/>
      <c r="WQV89" s="21"/>
      <c r="WQW89" s="21"/>
      <c r="WQX89" s="21"/>
      <c r="WQY89" s="21"/>
      <c r="WQZ89" s="21"/>
      <c r="WRA89" s="21"/>
      <c r="WRB89" s="21"/>
      <c r="WRC89" s="21"/>
      <c r="WRD89" s="21"/>
      <c r="WRE89" s="21"/>
      <c r="WRF89" s="21"/>
      <c r="WRG89" s="21"/>
      <c r="WRH89" s="21"/>
      <c r="WRI89" s="21"/>
      <c r="WRJ89" s="21"/>
      <c r="WRK89" s="21"/>
      <c r="WRL89" s="21"/>
      <c r="WRM89" s="21"/>
      <c r="WRN89" s="21"/>
      <c r="WRO89" s="21"/>
      <c r="WRP89" s="21"/>
      <c r="WRQ89" s="21"/>
      <c r="WRR89" s="21"/>
      <c r="WRS89" s="21"/>
      <c r="WRT89" s="21"/>
      <c r="WRU89" s="21"/>
      <c r="WRV89" s="21"/>
      <c r="WRW89" s="21"/>
      <c r="WRX89" s="21"/>
      <c r="WRY89" s="21"/>
      <c r="WRZ89" s="21"/>
      <c r="WSA89" s="21"/>
      <c r="WSB89" s="21"/>
      <c r="WSC89" s="21"/>
      <c r="WSD89" s="21"/>
      <c r="WSE89" s="21"/>
      <c r="WSF89" s="21"/>
      <c r="WSG89" s="21"/>
      <c r="WSH89" s="21"/>
      <c r="WSI89" s="21"/>
      <c r="WSJ89" s="21"/>
      <c r="WSK89" s="21"/>
      <c r="WSL89" s="21"/>
      <c r="WSM89" s="21"/>
      <c r="WSN89" s="21"/>
      <c r="WSO89" s="21"/>
      <c r="WSP89" s="21"/>
      <c r="WSQ89" s="21"/>
      <c r="WSR89" s="21"/>
      <c r="WSS89" s="21"/>
      <c r="WST89" s="21"/>
      <c r="WSU89" s="21"/>
      <c r="WSV89" s="21"/>
      <c r="WSW89" s="21"/>
      <c r="WSX89" s="21"/>
      <c r="WSY89" s="21"/>
      <c r="WSZ89" s="21"/>
      <c r="WTA89" s="21"/>
      <c r="WTB89" s="21"/>
      <c r="WTC89" s="21"/>
      <c r="WTD89" s="21"/>
      <c r="WTE89" s="21"/>
      <c r="WTF89" s="21"/>
      <c r="WTG89" s="21"/>
      <c r="WTH89" s="21"/>
      <c r="WTI89" s="21"/>
      <c r="WTJ89" s="21"/>
      <c r="WTK89" s="21"/>
      <c r="WTL89" s="21"/>
      <c r="WTM89" s="21"/>
      <c r="WTN89" s="21"/>
      <c r="WTO89" s="21"/>
      <c r="WTP89" s="21"/>
      <c r="WTQ89" s="21"/>
      <c r="WTR89" s="21"/>
      <c r="WTS89" s="21"/>
      <c r="WTT89" s="21"/>
      <c r="WTU89" s="21"/>
      <c r="WTV89" s="21"/>
      <c r="WTW89" s="21"/>
      <c r="WTX89" s="21"/>
      <c r="WTY89" s="21"/>
      <c r="WTZ89" s="21"/>
      <c r="WUA89" s="21"/>
      <c r="WUB89" s="21"/>
      <c r="WUC89" s="21"/>
      <c r="WUD89" s="21"/>
      <c r="WUE89" s="21"/>
      <c r="WUF89" s="21"/>
      <c r="WUG89" s="21"/>
      <c r="WUH89" s="21"/>
      <c r="WUI89" s="21"/>
      <c r="WUJ89" s="21"/>
      <c r="WUK89" s="21"/>
      <c r="WUL89" s="21"/>
      <c r="WUM89" s="21"/>
      <c r="WUN89" s="21"/>
      <c r="WUO89" s="21"/>
      <c r="WUP89" s="21"/>
      <c r="WUQ89" s="21"/>
      <c r="WUR89" s="21"/>
      <c r="WUS89" s="21"/>
      <c r="WUT89" s="21"/>
      <c r="WUU89" s="21"/>
      <c r="WUV89" s="21"/>
      <c r="WUW89" s="21"/>
      <c r="WUX89" s="21"/>
      <c r="WUY89" s="21"/>
      <c r="WUZ89" s="21"/>
      <c r="WVA89" s="21"/>
      <c r="WVB89" s="21"/>
      <c r="WVC89" s="21"/>
      <c r="WVD89" s="21"/>
      <c r="WVE89" s="21"/>
      <c r="WVF89" s="21"/>
      <c r="WVG89" s="21"/>
      <c r="WVH89" s="21"/>
      <c r="WVI89" s="21"/>
      <c r="WVJ89" s="21"/>
      <c r="WVK89" s="21"/>
      <c r="WVL89" s="21"/>
      <c r="WVM89" s="21"/>
      <c r="WVN89" s="21"/>
      <c r="WVO89" s="21"/>
      <c r="WVP89" s="21"/>
      <c r="WVQ89" s="21"/>
      <c r="WVR89" s="21"/>
      <c r="WVS89" s="21"/>
      <c r="WVT89" s="21"/>
      <c r="WVU89" s="21"/>
      <c r="WVV89" s="21"/>
      <c r="WVW89" s="21"/>
      <c r="WVX89" s="21"/>
      <c r="WVY89" s="21"/>
      <c r="WVZ89" s="21"/>
      <c r="WWA89" s="21"/>
      <c r="WWB89" s="21"/>
      <c r="WWC89" s="21"/>
      <c r="WWD89" s="21"/>
      <c r="WWE89" s="21"/>
      <c r="WWF89" s="21"/>
      <c r="WWG89" s="21"/>
      <c r="WWH89" s="21"/>
      <c r="WWI89" s="21"/>
      <c r="WWJ89" s="21"/>
      <c r="WWK89" s="21"/>
      <c r="WWL89" s="21"/>
      <c r="WWM89" s="21"/>
      <c r="WWN89" s="21"/>
      <c r="WWO89" s="21"/>
      <c r="WWP89" s="21"/>
      <c r="WWQ89" s="21"/>
      <c r="WWR89" s="21"/>
      <c r="WWS89" s="21"/>
      <c r="WWT89" s="21"/>
      <c r="WWU89" s="21"/>
      <c r="WWV89" s="21"/>
      <c r="WWW89" s="21"/>
      <c r="WWX89" s="21"/>
      <c r="WWY89" s="21"/>
      <c r="WWZ89" s="21"/>
      <c r="WXA89" s="21"/>
      <c r="WXB89" s="21"/>
      <c r="WXC89" s="21"/>
      <c r="WXD89" s="21"/>
      <c r="WXE89" s="21"/>
      <c r="WXF89" s="21"/>
      <c r="WXG89" s="21"/>
      <c r="WXH89" s="21"/>
      <c r="WXI89" s="21"/>
      <c r="WXJ89" s="21"/>
      <c r="WXK89" s="21"/>
      <c r="WXL89" s="21"/>
      <c r="WXM89" s="21"/>
      <c r="WXN89" s="21"/>
      <c r="WXO89" s="21"/>
      <c r="WXP89" s="21"/>
      <c r="WXQ89" s="21"/>
      <c r="WXR89" s="21"/>
      <c r="WXS89" s="21"/>
      <c r="WXT89" s="21"/>
      <c r="WXU89" s="21"/>
      <c r="WXV89" s="21"/>
      <c r="WXW89" s="21"/>
      <c r="WXX89" s="21"/>
      <c r="WXY89" s="21"/>
      <c r="WXZ89" s="21"/>
      <c r="WYA89" s="21"/>
      <c r="WYB89" s="21"/>
      <c r="WYC89" s="21"/>
      <c r="WYD89" s="21"/>
      <c r="WYE89" s="21"/>
      <c r="WYF89" s="21"/>
      <c r="WYG89" s="21"/>
      <c r="WYH89" s="21"/>
      <c r="WYI89" s="21"/>
      <c r="WYJ89" s="21"/>
      <c r="WYK89" s="21"/>
      <c r="WYL89" s="21"/>
      <c r="WYM89" s="21"/>
      <c r="WYN89" s="21"/>
      <c r="WYO89" s="21"/>
      <c r="WYP89" s="21"/>
      <c r="WYQ89" s="21"/>
      <c r="WYR89" s="21"/>
      <c r="WYS89" s="21"/>
      <c r="WYT89" s="21"/>
      <c r="WYU89" s="21"/>
      <c r="WYV89" s="21"/>
      <c r="WYW89" s="21"/>
      <c r="WYX89" s="21"/>
      <c r="WYY89" s="21"/>
      <c r="WYZ89" s="21"/>
      <c r="WZA89" s="21"/>
      <c r="WZB89" s="21"/>
      <c r="WZC89" s="21"/>
      <c r="WZD89" s="21"/>
      <c r="WZE89" s="21"/>
      <c r="WZF89" s="21"/>
      <c r="WZG89" s="21"/>
      <c r="WZH89" s="21"/>
      <c r="WZI89" s="21"/>
      <c r="WZJ89" s="21"/>
      <c r="WZK89" s="21"/>
      <c r="WZL89" s="21"/>
      <c r="WZM89" s="21"/>
      <c r="WZN89" s="21"/>
      <c r="WZO89" s="21"/>
      <c r="WZP89" s="21"/>
      <c r="WZQ89" s="21"/>
      <c r="WZR89" s="21"/>
      <c r="WZS89" s="21"/>
      <c r="WZT89" s="21"/>
      <c r="WZU89" s="21"/>
      <c r="WZV89" s="21"/>
      <c r="WZW89" s="21"/>
      <c r="WZX89" s="21"/>
      <c r="WZY89" s="21"/>
      <c r="WZZ89" s="21"/>
      <c r="XAA89" s="21"/>
      <c r="XAB89" s="21"/>
      <c r="XAC89" s="21"/>
      <c r="XAD89" s="21"/>
      <c r="XAE89" s="21"/>
      <c r="XAF89" s="21"/>
      <c r="XAG89" s="21"/>
      <c r="XAH89" s="21"/>
      <c r="XAI89" s="21"/>
      <c r="XAJ89" s="21"/>
      <c r="XAK89" s="21"/>
      <c r="XAL89" s="21"/>
      <c r="XAM89" s="21"/>
      <c r="XAN89" s="21"/>
      <c r="XAO89" s="21"/>
      <c r="XAP89" s="21"/>
      <c r="XAQ89" s="21"/>
      <c r="XAR89" s="21"/>
      <c r="XAS89" s="21"/>
      <c r="XAT89" s="21"/>
      <c r="XAU89" s="21"/>
      <c r="XAV89" s="21"/>
      <c r="XAW89" s="21"/>
      <c r="XAX89" s="21"/>
      <c r="XAY89" s="21"/>
      <c r="XAZ89" s="21"/>
      <c r="XBA89" s="21"/>
      <c r="XBB89" s="21"/>
      <c r="XBC89" s="21"/>
      <c r="XBD89" s="21"/>
      <c r="XBE89" s="21"/>
      <c r="XBF89" s="21"/>
      <c r="XBG89" s="21"/>
      <c r="XBH89" s="21"/>
      <c r="XBI89" s="21"/>
      <c r="XBJ89" s="21"/>
      <c r="XBK89" s="21"/>
      <c r="XBL89" s="21"/>
      <c r="XBM89" s="21"/>
      <c r="XBN89" s="21"/>
      <c r="XBO89" s="21"/>
      <c r="XBP89" s="21"/>
      <c r="XBQ89" s="21"/>
      <c r="XBR89" s="21"/>
      <c r="XBS89" s="21"/>
      <c r="XBT89" s="21"/>
      <c r="XBU89" s="21"/>
      <c r="XBV89" s="21"/>
      <c r="XBW89" s="21"/>
      <c r="XBX89" s="21"/>
      <c r="XBY89" s="21"/>
      <c r="XBZ89" s="21"/>
      <c r="XCA89" s="21"/>
      <c r="XCB89" s="21"/>
      <c r="XCC89" s="21"/>
      <c r="XCD89" s="21"/>
      <c r="XCE89" s="21"/>
      <c r="XCF89" s="21"/>
      <c r="XCG89" s="21"/>
      <c r="XCH89" s="21"/>
      <c r="XCI89" s="21"/>
      <c r="XCJ89" s="21"/>
      <c r="XCK89" s="21"/>
      <c r="XCL89" s="21"/>
      <c r="XCM89" s="21"/>
      <c r="XCN89" s="21"/>
      <c r="XCO89" s="21"/>
      <c r="XCP89" s="21"/>
      <c r="XCQ89" s="21"/>
      <c r="XCR89" s="21"/>
      <c r="XCS89" s="21"/>
      <c r="XCT89" s="21"/>
      <c r="XCU89" s="21"/>
      <c r="XCV89" s="21"/>
      <c r="XCW89" s="21"/>
      <c r="XCX89" s="21"/>
      <c r="XCY89" s="21"/>
      <c r="XCZ89" s="21"/>
      <c r="XDA89" s="21"/>
      <c r="XDB89" s="21"/>
      <c r="XDC89" s="21"/>
      <c r="XDD89" s="21"/>
      <c r="XDE89" s="21"/>
      <c r="XDF89" s="21"/>
      <c r="XDG89" s="21"/>
      <c r="XDH89" s="21"/>
      <c r="XDI89" s="21"/>
      <c r="XDJ89" s="21"/>
      <c r="XDK89" s="21"/>
      <c r="XDL89" s="21"/>
      <c r="XDM89" s="21"/>
      <c r="XDN89" s="21"/>
      <c r="XDO89" s="21"/>
      <c r="XDP89" s="21"/>
      <c r="XDQ89" s="21"/>
      <c r="XDR89" s="21"/>
      <c r="XDS89" s="21"/>
      <c r="XDT89" s="21"/>
      <c r="XDU89" s="21"/>
      <c r="XDV89" s="21"/>
      <c r="XDW89" s="21"/>
      <c r="XDX89" s="21"/>
      <c r="XDY89" s="21"/>
      <c r="XDZ89" s="21"/>
      <c r="XEA89" s="21"/>
      <c r="XEB89" s="21"/>
      <c r="XEC89" s="21"/>
      <c r="XED89" s="21"/>
      <c r="XEE89" s="21"/>
      <c r="XEF89" s="21"/>
      <c r="XEG89" s="21"/>
      <c r="XEH89" s="21"/>
      <c r="XEI89" s="21"/>
      <c r="XEJ89" s="21"/>
      <c r="XEK89" s="21"/>
      <c r="XEL89" s="21"/>
      <c r="XEM89" s="21"/>
      <c r="XEN89" s="21"/>
      <c r="XEO89" s="21"/>
      <c r="XEP89" s="21"/>
      <c r="XEQ89" s="21"/>
      <c r="XER89" s="21"/>
      <c r="XES89" s="21"/>
      <c r="XET89" s="21"/>
      <c r="XEU89" s="21"/>
      <c r="XEV89" s="21"/>
      <c r="XEW89" s="21"/>
      <c r="XEX89" s="21"/>
      <c r="XEY89" s="21"/>
      <c r="XEZ89" s="21"/>
      <c r="XFA89" s="21"/>
      <c r="XFB89" s="21"/>
      <c r="XFC89" s="21"/>
      <c r="XFD89" s="21"/>
    </row>
    <row r="90" spans="2:16384" ht="17" thickTop="1">
      <c r="B90" s="30"/>
      <c r="C90" s="28"/>
      <c r="D90" s="31"/>
      <c r="E90" s="31"/>
      <c r="F90" s="24"/>
      <c r="G90" s="24"/>
      <c r="H90" s="24"/>
      <c r="I90" s="24"/>
      <c r="J90" s="24"/>
      <c r="K90" s="25"/>
      <c r="L90" s="25"/>
    </row>
    <row r="92" spans="2:16384">
      <c r="B92" s="225" t="s">
        <v>172</v>
      </c>
      <c r="C92" s="226"/>
      <c r="H92" s="1" t="s">
        <v>124</v>
      </c>
      <c r="I92" s="1"/>
    </row>
    <row r="93" spans="2:16384">
      <c r="H93" t="s">
        <v>125</v>
      </c>
      <c r="I93" s="6">
        <f ca="1">OFFSET($E$74,0,Years_Forecasted)</f>
        <v>8230.0406107419676</v>
      </c>
    </row>
    <row r="94" spans="2:16384">
      <c r="B94" t="s">
        <v>9</v>
      </c>
      <c r="C94" s="6">
        <f ca="1">SUM(F79:O79)</f>
        <v>17719.9118537422</v>
      </c>
      <c r="H94" t="s">
        <v>126</v>
      </c>
      <c r="I94" s="13">
        <f>Perpetuity_Growth_Rate</f>
        <v>1.4999999999999999E-2</v>
      </c>
    </row>
    <row r="95" spans="2:16384" ht="16" customHeight="1">
      <c r="B95" t="s">
        <v>135</v>
      </c>
      <c r="C95" s="6">
        <f ca="1">I96</f>
        <v>144073.57029985753</v>
      </c>
      <c r="H95" t="s">
        <v>127</v>
      </c>
      <c r="I95" s="6">
        <f ca="1">$I$93*(1+$I$94)/(WACC-$I$94)</f>
        <v>173171.38893127366</v>
      </c>
    </row>
    <row r="96" spans="2:16384">
      <c r="B96" s="14" t="s">
        <v>129</v>
      </c>
      <c r="C96" s="15">
        <f ca="1">SUM(C94:C95)</f>
        <v>161793.48215359973</v>
      </c>
      <c r="H96" s="14" t="s">
        <v>136</v>
      </c>
      <c r="I96" s="15">
        <f ca="1">$I$95/((1+WACC)^Years_Forecasted)</f>
        <v>144073.57029985753</v>
      </c>
    </row>
    <row r="97" spans="2:22">
      <c r="B97" t="s">
        <v>130</v>
      </c>
      <c r="C97" s="6">
        <f>-'Balance Sheet Historic'!C62</f>
        <v>-9573</v>
      </c>
    </row>
    <row r="98" spans="2:22">
      <c r="B98" t="s">
        <v>131</v>
      </c>
      <c r="C98" s="6">
        <f>'Balance Sheet Historic'!C53</f>
        <v>28352</v>
      </c>
    </row>
    <row r="99" spans="2:22">
      <c r="B99" t="s">
        <v>132</v>
      </c>
      <c r="C99" s="6">
        <f>'Balance Sheet Historic'!C58</f>
        <v>-3805</v>
      </c>
    </row>
    <row r="100" spans="2:22">
      <c r="B100" s="14" t="s">
        <v>133</v>
      </c>
      <c r="C100" s="15">
        <f ca="1">SUM(C96:C99)</f>
        <v>176767.48215359973</v>
      </c>
      <c r="L100" s="3"/>
    </row>
    <row r="101" spans="2:22" ht="24" customHeight="1">
      <c r="B101" t="s">
        <v>203</v>
      </c>
      <c r="C101" s="6">
        <f>Shares_Outstanding / 1000000</f>
        <v>15171.99</v>
      </c>
    </row>
    <row r="102" spans="2:22">
      <c r="B102" s="14" t="s">
        <v>134</v>
      </c>
      <c r="C102" s="278">
        <f ca="1">C100/C101</f>
        <v>11.650909482118017</v>
      </c>
    </row>
    <row r="104" spans="2:22">
      <c r="B104" s="1" t="s">
        <v>255</v>
      </c>
      <c r="C104" s="267">
        <f ca="1">$C$96/EBITDA_FY0</f>
        <v>10.934947428602307</v>
      </c>
    </row>
    <row r="105" spans="2:22">
      <c r="B105" s="266" t="s">
        <v>256</v>
      </c>
      <c r="C105" s="268">
        <f ca="1">$C$96/Revenue_FY0</f>
        <v>1.6718866021886243</v>
      </c>
    </row>
    <row r="108" spans="2:22">
      <c r="B108" s="215" t="s">
        <v>120</v>
      </c>
      <c r="C108" s="215"/>
      <c r="D108" s="215"/>
      <c r="E108" s="215"/>
      <c r="F108" s="215"/>
      <c r="G108" s="215"/>
      <c r="H108" s="215"/>
      <c r="I108" s="8"/>
      <c r="J108" s="9"/>
      <c r="K108" s="10" t="s">
        <v>121</v>
      </c>
    </row>
    <row r="109" spans="2:22">
      <c r="B109" s="325" t="s">
        <v>110</v>
      </c>
      <c r="C109" s="326" t="s">
        <v>122</v>
      </c>
      <c r="D109" s="326"/>
      <c r="E109" s="326"/>
      <c r="F109" s="326"/>
      <c r="G109" s="326"/>
      <c r="H109" s="326"/>
      <c r="I109" s="8"/>
      <c r="J109" s="11" t="s">
        <v>123</v>
      </c>
      <c r="K109" s="16">
        <v>2.5000000000000001E-3</v>
      </c>
      <c r="O109" s="323" t="s">
        <v>277</v>
      </c>
      <c r="P109" s="323"/>
      <c r="Q109" s="323"/>
      <c r="R109" s="323"/>
    </row>
    <row r="110" spans="2:22" ht="17" thickBot="1">
      <c r="B110" s="325"/>
      <c r="C110" s="279">
        <f ca="1">$C$102</f>
        <v>11.650909482118017</v>
      </c>
      <c r="D110" s="217">
        <f>E110-$K$109</f>
        <v>9.9999999999999985E-3</v>
      </c>
      <c r="E110" s="217">
        <f>F110-$K$109</f>
        <v>1.2499999999999999E-2</v>
      </c>
      <c r="F110" s="218">
        <f>Perpetuity_Growth_Rate</f>
        <v>1.4999999999999999E-2</v>
      </c>
      <c r="G110" s="217">
        <f>F110+$K$109</f>
        <v>1.7499999999999998E-2</v>
      </c>
      <c r="H110" s="217">
        <f>G110+$K$109</f>
        <v>1.9999999999999997E-2</v>
      </c>
      <c r="I110" s="8"/>
      <c r="O110" s="25"/>
      <c r="P110" s="252" t="s">
        <v>223</v>
      </c>
      <c r="Q110" s="252" t="s">
        <v>233</v>
      </c>
      <c r="R110" s="252" t="s">
        <v>224</v>
      </c>
      <c r="T110" s="253" t="s">
        <v>230</v>
      </c>
      <c r="U110" s="253" t="s">
        <v>231</v>
      </c>
      <c r="V110" s="253" t="s">
        <v>232</v>
      </c>
    </row>
    <row r="111" spans="2:22">
      <c r="B111" s="325"/>
      <c r="C111" s="217">
        <f>C112-$K$111</f>
        <v>5.823828734906282E-2</v>
      </c>
      <c r="D111" s="280">
        <f t="dataTable" ref="D111:H115" dt2D="1" dtr="1" r1="I94" r2="E57" ca="1"/>
        <v>11.750365923122569</v>
      </c>
      <c r="E111" s="281">
        <v>12.299224834060901</v>
      </c>
      <c r="F111" s="282">
        <v>12.911552830454372</v>
      </c>
      <c r="G111" s="281">
        <v>13.599034697596851</v>
      </c>
      <c r="H111" s="281">
        <v>14.37641100233099</v>
      </c>
      <c r="I111" s="8"/>
      <c r="J111" s="11" t="s">
        <v>110</v>
      </c>
      <c r="K111" s="16">
        <v>2.5000000000000001E-3</v>
      </c>
      <c r="O111" s="254" t="s">
        <v>274</v>
      </c>
      <c r="P111" s="285">
        <f>MIN(D110:H110)</f>
        <v>9.9999999999999985E-3</v>
      </c>
      <c r="Q111" s="289">
        <f>I94</f>
        <v>1.4999999999999999E-2</v>
      </c>
      <c r="R111" s="287">
        <f>MAX(D110:H110)</f>
        <v>1.9999999999999997E-2</v>
      </c>
      <c r="T111" s="291">
        <f>P111</f>
        <v>9.9999999999999985E-3</v>
      </c>
      <c r="U111" s="292">
        <f>Q111-P111</f>
        <v>5.000000000000001E-3</v>
      </c>
      <c r="V111" s="291">
        <f>R111-Q111</f>
        <v>4.9999999999999975E-3</v>
      </c>
    </row>
    <row r="112" spans="2:22">
      <c r="B112" s="325"/>
      <c r="C112" s="217">
        <f>C113-$K$111</f>
        <v>6.0738287349062822E-2</v>
      </c>
      <c r="D112" s="283">
        <v>11.208020607872035</v>
      </c>
      <c r="E112" s="284">
        <v>11.700462810523559</v>
      </c>
      <c r="F112" s="284">
        <v>12.246737615049016</v>
      </c>
      <c r="G112" s="284">
        <v>12.856182683479174</v>
      </c>
      <c r="H112" s="282">
        <v>13.540427787464102</v>
      </c>
      <c r="I112" s="8"/>
      <c r="J112" s="8"/>
      <c r="K112" s="8"/>
      <c r="O112" s="254" t="s">
        <v>275</v>
      </c>
      <c r="P112" s="286">
        <f>MIN(D176:H180)</f>
        <v>5.669542531989568E-2</v>
      </c>
      <c r="Q112" s="290">
        <f>F178</f>
        <v>6.1766313943727155E-2</v>
      </c>
      <c r="R112" s="288">
        <f>MAX(D176:H180)</f>
        <v>6.6830974595499401E-2</v>
      </c>
      <c r="T112" s="291">
        <f t="shared" ref="T112" si="34">P112</f>
        <v>5.669542531989568E-2</v>
      </c>
      <c r="U112" s="292">
        <f t="shared" ref="U112:V113" si="35">Q112-P112</f>
        <v>5.0708886238314752E-3</v>
      </c>
      <c r="V112" s="291">
        <f t="shared" si="35"/>
        <v>5.0646606517722459E-3</v>
      </c>
    </row>
    <row r="113" spans="2:22">
      <c r="B113" s="325"/>
      <c r="C113" s="224">
        <f>$E$46*$E$54+$E$53*$E$50</f>
        <v>6.3238287349062824E-2</v>
      </c>
      <c r="D113" s="282">
        <v>10.716682805850986</v>
      </c>
      <c r="E113" s="284">
        <v>11.160780322868984</v>
      </c>
      <c r="F113" s="284">
        <v>11.650909482118017</v>
      </c>
      <c r="G113" s="284">
        <v>12.194618386877469</v>
      </c>
      <c r="H113" s="282">
        <v>12.801200839375994</v>
      </c>
      <c r="I113" s="8"/>
      <c r="J113" s="12"/>
      <c r="K113" s="8"/>
      <c r="O113" s="254" t="s">
        <v>276</v>
      </c>
      <c r="P113" s="286">
        <f>MIN(D229:H233)</f>
        <v>5.6766313943727151E-2</v>
      </c>
      <c r="Q113" s="290">
        <f>F231</f>
        <v>6.1766313943727155E-2</v>
      </c>
      <c r="R113" s="288">
        <f>MAX(D229:H233)</f>
        <v>6.676631394372716E-2</v>
      </c>
      <c r="T113" s="291">
        <f>P113</f>
        <v>5.6766313943727151E-2</v>
      </c>
      <c r="U113" s="292">
        <f t="shared" si="35"/>
        <v>5.0000000000000044E-3</v>
      </c>
      <c r="V113" s="291">
        <f t="shared" si="35"/>
        <v>5.0000000000000044E-3</v>
      </c>
    </row>
    <row r="114" spans="2:22">
      <c r="B114" s="325"/>
      <c r="C114" s="217">
        <f>C113+$K$111</f>
        <v>6.5738287349062827E-2</v>
      </c>
      <c r="D114" s="283">
        <v>10.269488473619571</v>
      </c>
      <c r="E114" s="284">
        <v>10.671853853421338</v>
      </c>
      <c r="F114" s="284">
        <v>11.113870293677078</v>
      </c>
      <c r="G114" s="284">
        <v>11.601702668177877</v>
      </c>
      <c r="H114" s="282">
        <v>12.142863709182709</v>
      </c>
      <c r="I114" s="8"/>
      <c r="J114" s="8"/>
      <c r="K114" s="8"/>
    </row>
    <row r="115" spans="2:22">
      <c r="B115" s="325"/>
      <c r="C115" s="217">
        <f>C114+$K$111</f>
        <v>6.8238287349062829E-2</v>
      </c>
      <c r="D115" s="283">
        <v>9.8607521877802</v>
      </c>
      <c r="E115" s="282">
        <v>10.226853212607313</v>
      </c>
      <c r="F115" s="282">
        <v>10.627337483314099</v>
      </c>
      <c r="G115" s="282">
        <v>11.067287440746925</v>
      </c>
      <c r="H115" s="282">
        <v>11.55283913713135</v>
      </c>
      <c r="I115" s="8"/>
      <c r="J115" s="8"/>
      <c r="K115" s="8"/>
    </row>
    <row r="119" spans="2:22">
      <c r="B119" s="215" t="s">
        <v>255</v>
      </c>
      <c r="C119" s="215"/>
      <c r="D119" s="215"/>
      <c r="E119" s="215"/>
      <c r="F119" s="215"/>
      <c r="G119" s="215"/>
      <c r="H119" s="215"/>
    </row>
    <row r="120" spans="2:22">
      <c r="B120" s="325" t="s">
        <v>110</v>
      </c>
      <c r="C120" s="326" t="s">
        <v>259</v>
      </c>
      <c r="D120" s="326"/>
      <c r="E120" s="326"/>
      <c r="F120" s="326"/>
      <c r="G120" s="326"/>
      <c r="H120" s="326"/>
    </row>
    <row r="121" spans="2:22" ht="17" thickBot="1">
      <c r="B121" s="325"/>
      <c r="C121" s="216">
        <f ca="1">$C$104</f>
        <v>10.934947428602307</v>
      </c>
      <c r="D121" s="217">
        <f>E121-$K$109</f>
        <v>9.9999999999999985E-3</v>
      </c>
      <c r="E121" s="217">
        <f>F121-$K$109</f>
        <v>1.2499999999999999E-2</v>
      </c>
      <c r="F121" s="218">
        <f>Perpetuity_Growth_Rate</f>
        <v>1.4999999999999999E-2</v>
      </c>
      <c r="G121" s="217">
        <f>F121+$K$109</f>
        <v>1.7499999999999998E-2</v>
      </c>
      <c r="H121" s="217">
        <f>G121+$K$109</f>
        <v>1.9999999999999997E-2</v>
      </c>
    </row>
    <row r="122" spans="2:22">
      <c r="B122" s="325"/>
      <c r="C122" s="217">
        <f>C123-$K$111</f>
        <v>5.823828734906282E-2</v>
      </c>
      <c r="D122" s="219">
        <f t="dataTable" ref="D122:H126" dt2D="1" dtr="1" r1="I94" r2="E57" ca="1"/>
        <v>11.036931216677235</v>
      </c>
      <c r="E122" s="220">
        <v>11.599737509470373</v>
      </c>
      <c r="F122" s="221">
        <v>12.22762573858647</v>
      </c>
      <c r="G122" s="220">
        <v>12.932577618382837</v>
      </c>
      <c r="H122" s="220">
        <v>13.729708297057025</v>
      </c>
    </row>
    <row r="123" spans="2:22">
      <c r="B123" s="325"/>
      <c r="C123" s="217">
        <f>C124-$K$111</f>
        <v>6.0738287349062822E-2</v>
      </c>
      <c r="D123" s="222">
        <v>10.480804040445285</v>
      </c>
      <c r="E123" s="223">
        <v>10.985759986255429</v>
      </c>
      <c r="F123" s="223">
        <v>11.545916506363039</v>
      </c>
      <c r="G123" s="223">
        <v>12.170848547710136</v>
      </c>
      <c r="H123" s="221">
        <v>12.872481413025648</v>
      </c>
    </row>
    <row r="124" spans="2:22">
      <c r="B124" s="325"/>
      <c r="C124" s="224">
        <f>$E$46*$E$54+$E$53*$E$50</f>
        <v>6.3238287349062824E-2</v>
      </c>
      <c r="D124" s="221">
        <v>9.9769805598501708</v>
      </c>
      <c r="E124" s="223">
        <v>10.432363304323127</v>
      </c>
      <c r="F124" s="223">
        <v>10.934947428602307</v>
      </c>
      <c r="G124" s="223">
        <v>11.492472845331244</v>
      </c>
      <c r="H124" s="221">
        <v>12.114469527102202</v>
      </c>
    </row>
    <row r="125" spans="2:22">
      <c r="B125" s="325"/>
      <c r="C125" s="217">
        <f>C124+$K$111</f>
        <v>6.5738287349062827E-2</v>
      </c>
      <c r="D125" s="222">
        <v>9.5184223051413479</v>
      </c>
      <c r="E125" s="223">
        <v>9.9310124321147608</v>
      </c>
      <c r="F125" s="223">
        <v>10.384261216339937</v>
      </c>
      <c r="G125" s="223">
        <v>10.88449019090079</v>
      </c>
      <c r="H125" s="221">
        <v>11.439402998586306</v>
      </c>
    </row>
    <row r="126" spans="2:22">
      <c r="B126" s="325"/>
      <c r="C126" s="217">
        <f>C125+$K$111</f>
        <v>6.8238287349062829E-2</v>
      </c>
      <c r="D126" s="222">
        <v>9.0992993772289346</v>
      </c>
      <c r="E126" s="221">
        <v>9.4747036140271703</v>
      </c>
      <c r="F126" s="221">
        <v>9.8853648299179948</v>
      </c>
      <c r="G126" s="221">
        <v>10.336494618690049</v>
      </c>
      <c r="H126" s="221">
        <v>10.834384959459683</v>
      </c>
    </row>
    <row r="130" spans="2:16384">
      <c r="B130" s="215" t="s">
        <v>256</v>
      </c>
      <c r="C130" s="215"/>
      <c r="D130" s="215"/>
      <c r="E130" s="215"/>
      <c r="F130" s="215"/>
      <c r="G130" s="215"/>
      <c r="H130" s="215"/>
    </row>
    <row r="131" spans="2:16384">
      <c r="B131" s="325" t="s">
        <v>110</v>
      </c>
      <c r="C131" s="326" t="s">
        <v>260</v>
      </c>
      <c r="D131" s="326"/>
      <c r="E131" s="326"/>
      <c r="F131" s="326"/>
      <c r="G131" s="326"/>
      <c r="H131" s="326"/>
    </row>
    <row r="132" spans="2:16384" ht="17" thickBot="1">
      <c r="B132" s="325"/>
      <c r="C132" s="216">
        <f ca="1">$C$105</f>
        <v>1.6718866021886243</v>
      </c>
      <c r="D132" s="217">
        <f>E132-$K$109</f>
        <v>9.9999999999999985E-3</v>
      </c>
      <c r="E132" s="217">
        <f>F132-$K$109</f>
        <v>1.2499999999999999E-2</v>
      </c>
      <c r="F132" s="218">
        <f>Perpetuity_Growth_Rate</f>
        <v>1.4999999999999999E-2</v>
      </c>
      <c r="G132" s="217">
        <f>F132+$K$109</f>
        <v>1.7499999999999998E-2</v>
      </c>
      <c r="H132" s="217">
        <f>G132+$K$109</f>
        <v>1.9999999999999997E-2</v>
      </c>
    </row>
    <row r="133" spans="2:16384">
      <c r="B133" s="325"/>
      <c r="C133" s="217">
        <f>C134-$K$111</f>
        <v>5.823828734906282E-2</v>
      </c>
      <c r="D133" s="219">
        <f t="dataTable" ref="D133:H137" dt2D="1" dtr="1" r1="I94" r2="E57" ca="1"/>
        <v>1.6874792998249137</v>
      </c>
      <c r="E133" s="220">
        <v>1.7735289408215478</v>
      </c>
      <c r="F133" s="221">
        <v>1.8695292119509102</v>
      </c>
      <c r="G133" s="220">
        <v>1.9773120440783323</v>
      </c>
      <c r="H133" s="220">
        <v>2.0991884509445375</v>
      </c>
    </row>
    <row r="134" spans="2:16384">
      <c r="B134" s="325"/>
      <c r="C134" s="217">
        <f>C135-$K$111</f>
        <v>6.0738287349062822E-2</v>
      </c>
      <c r="D134" s="222">
        <v>1.6024508549123044</v>
      </c>
      <c r="E134" s="223">
        <v>1.6796555315701212</v>
      </c>
      <c r="F134" s="223">
        <v>1.765300038524666</v>
      </c>
      <c r="G134" s="223">
        <v>1.8608483266191933</v>
      </c>
      <c r="H134" s="221">
        <v>1.9681237017259718</v>
      </c>
    </row>
    <row r="135" spans="2:16384">
      <c r="B135" s="325"/>
      <c r="C135" s="224">
        <f>$E$46*$E$54+$E$53*$E$50</f>
        <v>6.3238287349062824E-2</v>
      </c>
      <c r="D135" s="221">
        <v>1.5254193252616237</v>
      </c>
      <c r="E135" s="223">
        <v>1.5950445625408429</v>
      </c>
      <c r="F135" s="223">
        <v>1.6718866021886243</v>
      </c>
      <c r="G135" s="223">
        <v>1.7571288295239487</v>
      </c>
      <c r="H135" s="221">
        <v>1.8522283190869786</v>
      </c>
    </row>
    <row r="136" spans="2:16384">
      <c r="B136" s="325"/>
      <c r="C136" s="217">
        <f>C135+$K$111</f>
        <v>6.5738287349062827E-2</v>
      </c>
      <c r="D136" s="222">
        <v>1.4553085718833909</v>
      </c>
      <c r="E136" s="223">
        <v>1.5183910795942051</v>
      </c>
      <c r="F136" s="223">
        <v>1.5876900473992301</v>
      </c>
      <c r="G136" s="223">
        <v>1.6641719990551918</v>
      </c>
      <c r="H136" s="221">
        <v>1.7490147744420756</v>
      </c>
    </row>
    <row r="137" spans="2:16384">
      <c r="B137" s="325"/>
      <c r="C137" s="217">
        <f>C136+$K$111</f>
        <v>6.8238287349062829E-2</v>
      </c>
      <c r="D137" s="222">
        <v>1.3912272388525655</v>
      </c>
      <c r="E137" s="221">
        <v>1.4486242513216085</v>
      </c>
      <c r="F137" s="221">
        <v>1.5114118403218528</v>
      </c>
      <c r="G137" s="221">
        <v>1.5803868266782879</v>
      </c>
      <c r="H137" s="221">
        <v>1.6565112155267012</v>
      </c>
    </row>
    <row r="143" spans="2:16384" ht="21" thickBot="1">
      <c r="B143" s="22" t="s">
        <v>257</v>
      </c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K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O143" s="21"/>
      <c r="CP143" s="21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1"/>
      <c r="ED143" s="21"/>
      <c r="EE143" s="21"/>
      <c r="EF143" s="21"/>
      <c r="EG143" s="21"/>
      <c r="EH143" s="21"/>
      <c r="EI143" s="21"/>
      <c r="EJ143" s="21"/>
      <c r="EK143" s="21"/>
      <c r="EL143" s="21"/>
      <c r="EM143" s="21"/>
      <c r="EN143" s="21"/>
      <c r="EO143" s="21"/>
      <c r="EP143" s="21"/>
      <c r="EQ143" s="21"/>
      <c r="ER143" s="21"/>
      <c r="ES143" s="21"/>
      <c r="ET143" s="21"/>
      <c r="EU143" s="21"/>
      <c r="EV143" s="21"/>
      <c r="EW143" s="21"/>
      <c r="EX143" s="21"/>
      <c r="EY143" s="21"/>
      <c r="EZ143" s="21"/>
      <c r="FA143" s="21"/>
      <c r="FB143" s="21"/>
      <c r="FC143" s="21"/>
      <c r="FD143" s="21"/>
      <c r="FE143" s="21"/>
      <c r="FF143" s="21"/>
      <c r="FG143" s="21"/>
      <c r="FH143" s="21"/>
      <c r="FI143" s="21"/>
      <c r="FJ143" s="21"/>
      <c r="FK143" s="21"/>
      <c r="FL143" s="21"/>
      <c r="FM143" s="21"/>
      <c r="FN143" s="21"/>
      <c r="FO143" s="21"/>
      <c r="FP143" s="21"/>
      <c r="FQ143" s="21"/>
      <c r="FR143" s="21"/>
      <c r="FS143" s="21"/>
      <c r="FT143" s="21"/>
      <c r="FU143" s="21"/>
      <c r="FV143" s="21"/>
      <c r="FW143" s="21"/>
      <c r="FX143" s="21"/>
      <c r="FY143" s="21"/>
      <c r="FZ143" s="21"/>
      <c r="GA143" s="21"/>
      <c r="GB143" s="21"/>
      <c r="GC143" s="21"/>
      <c r="GD143" s="21"/>
      <c r="GE143" s="21"/>
      <c r="GF143" s="21"/>
      <c r="GG143" s="21"/>
      <c r="GH143" s="21"/>
      <c r="GI143" s="21"/>
      <c r="GJ143" s="21"/>
      <c r="GK143" s="21"/>
      <c r="GL143" s="21"/>
      <c r="GM143" s="21"/>
      <c r="GN143" s="21"/>
      <c r="GO143" s="21"/>
      <c r="GP143" s="21"/>
      <c r="GQ143" s="21"/>
      <c r="GR143" s="21"/>
      <c r="GS143" s="21"/>
      <c r="GT143" s="21"/>
      <c r="GU143" s="21"/>
      <c r="GV143" s="21"/>
      <c r="GW143" s="21"/>
      <c r="GX143" s="21"/>
      <c r="GY143" s="21"/>
      <c r="GZ143" s="21"/>
      <c r="HA143" s="21"/>
      <c r="HB143" s="21"/>
      <c r="HC143" s="21"/>
      <c r="HD143" s="21"/>
      <c r="HE143" s="21"/>
      <c r="HF143" s="21"/>
      <c r="HG143" s="21"/>
      <c r="HH143" s="21"/>
      <c r="HI143" s="21"/>
      <c r="HJ143" s="21"/>
      <c r="HK143" s="21"/>
      <c r="HL143" s="21"/>
      <c r="HM143" s="21"/>
      <c r="HN143" s="21"/>
      <c r="HO143" s="21"/>
      <c r="HP143" s="21"/>
      <c r="HQ143" s="21"/>
      <c r="HR143" s="21"/>
      <c r="HS143" s="21"/>
      <c r="HT143" s="21"/>
      <c r="HU143" s="21"/>
      <c r="HV143" s="21"/>
      <c r="HW143" s="21"/>
      <c r="HX143" s="21"/>
      <c r="HY143" s="21"/>
      <c r="HZ143" s="21"/>
      <c r="IA143" s="21"/>
      <c r="IB143" s="21"/>
      <c r="IC143" s="21"/>
      <c r="ID143" s="21"/>
      <c r="IE143" s="21"/>
      <c r="IF143" s="21"/>
      <c r="IG143" s="21"/>
      <c r="IH143" s="21"/>
      <c r="II143" s="21"/>
      <c r="IJ143" s="21"/>
      <c r="IK143" s="21"/>
      <c r="IL143" s="21"/>
      <c r="IM143" s="21"/>
      <c r="IN143" s="21"/>
      <c r="IO143" s="21"/>
      <c r="IP143" s="21"/>
      <c r="IQ143" s="21"/>
      <c r="IR143" s="21"/>
      <c r="IS143" s="21"/>
      <c r="IT143" s="21"/>
      <c r="IU143" s="21"/>
      <c r="IV143" s="21"/>
      <c r="IW143" s="21"/>
      <c r="IX143" s="21"/>
      <c r="IY143" s="21"/>
      <c r="IZ143" s="21"/>
      <c r="JA143" s="21"/>
      <c r="JB143" s="21"/>
      <c r="JC143" s="21"/>
      <c r="JD143" s="21"/>
      <c r="JE143" s="21"/>
      <c r="JF143" s="21"/>
      <c r="JG143" s="21"/>
      <c r="JH143" s="21"/>
      <c r="JI143" s="21"/>
      <c r="JJ143" s="21"/>
      <c r="JK143" s="21"/>
      <c r="JL143" s="21"/>
      <c r="JM143" s="21"/>
      <c r="JN143" s="21"/>
      <c r="JO143" s="21"/>
      <c r="JP143" s="21"/>
      <c r="JQ143" s="21"/>
      <c r="JR143" s="21"/>
      <c r="JS143" s="21"/>
      <c r="JT143" s="21"/>
      <c r="JU143" s="21"/>
      <c r="JV143" s="21"/>
      <c r="JW143" s="21"/>
      <c r="JX143" s="21"/>
      <c r="JY143" s="21"/>
      <c r="JZ143" s="21"/>
      <c r="KA143" s="21"/>
      <c r="KB143" s="21"/>
      <c r="KC143" s="21"/>
      <c r="KD143" s="21"/>
      <c r="KE143" s="21"/>
      <c r="KF143" s="21"/>
      <c r="KG143" s="21"/>
      <c r="KH143" s="21"/>
      <c r="KI143" s="21"/>
      <c r="KJ143" s="21"/>
      <c r="KK143" s="21"/>
      <c r="KL143" s="21"/>
      <c r="KM143" s="21"/>
      <c r="KN143" s="21"/>
      <c r="KO143" s="21"/>
      <c r="KP143" s="21"/>
      <c r="KQ143" s="21"/>
      <c r="KR143" s="21"/>
      <c r="KS143" s="21"/>
      <c r="KT143" s="21"/>
      <c r="KU143" s="21"/>
      <c r="KV143" s="21"/>
      <c r="KW143" s="21"/>
      <c r="KX143" s="21"/>
      <c r="KY143" s="21"/>
      <c r="KZ143" s="21"/>
      <c r="LA143" s="21"/>
      <c r="LB143" s="21"/>
      <c r="LC143" s="21"/>
      <c r="LD143" s="21"/>
      <c r="LE143" s="21"/>
      <c r="LF143" s="21"/>
      <c r="LG143" s="21"/>
      <c r="LH143" s="21"/>
      <c r="LI143" s="21"/>
      <c r="LJ143" s="21"/>
      <c r="LK143" s="21"/>
      <c r="LL143" s="21"/>
      <c r="LM143" s="21"/>
      <c r="LN143" s="21"/>
      <c r="LO143" s="21"/>
      <c r="LP143" s="21"/>
      <c r="LQ143" s="21"/>
      <c r="LR143" s="21"/>
      <c r="LS143" s="21"/>
      <c r="LT143" s="21"/>
      <c r="LU143" s="21"/>
      <c r="LV143" s="21"/>
      <c r="LW143" s="21"/>
      <c r="LX143" s="21"/>
      <c r="LY143" s="21"/>
      <c r="LZ143" s="21"/>
      <c r="MA143" s="21"/>
      <c r="MB143" s="21"/>
      <c r="MC143" s="21"/>
      <c r="MD143" s="21"/>
      <c r="ME143" s="21"/>
      <c r="MF143" s="21"/>
      <c r="MG143" s="21"/>
      <c r="MH143" s="21"/>
      <c r="MI143" s="21"/>
      <c r="MJ143" s="21"/>
      <c r="MK143" s="21"/>
      <c r="ML143" s="21"/>
      <c r="MM143" s="21"/>
      <c r="MN143" s="21"/>
      <c r="MO143" s="21"/>
      <c r="MP143" s="21"/>
      <c r="MQ143" s="21"/>
      <c r="MR143" s="21"/>
      <c r="MS143" s="21"/>
      <c r="MT143" s="21"/>
      <c r="MU143" s="21"/>
      <c r="MV143" s="21"/>
      <c r="MW143" s="21"/>
      <c r="MX143" s="21"/>
      <c r="MY143" s="21"/>
      <c r="MZ143" s="21"/>
      <c r="NA143" s="21"/>
      <c r="NB143" s="21"/>
      <c r="NC143" s="21"/>
      <c r="ND143" s="21"/>
      <c r="NE143" s="21"/>
      <c r="NF143" s="21"/>
      <c r="NG143" s="21"/>
      <c r="NH143" s="21"/>
      <c r="NI143" s="21"/>
      <c r="NJ143" s="21"/>
      <c r="NK143" s="21"/>
      <c r="NL143" s="21"/>
      <c r="NM143" s="21"/>
      <c r="NN143" s="21"/>
      <c r="NO143" s="21"/>
      <c r="NP143" s="21"/>
      <c r="NQ143" s="21"/>
      <c r="NR143" s="21"/>
      <c r="NS143" s="21"/>
      <c r="NT143" s="21"/>
      <c r="NU143" s="21"/>
      <c r="NV143" s="21"/>
      <c r="NW143" s="21"/>
      <c r="NX143" s="21"/>
      <c r="NY143" s="21"/>
      <c r="NZ143" s="21"/>
      <c r="OA143" s="21"/>
      <c r="OB143" s="21"/>
      <c r="OC143" s="21"/>
      <c r="OD143" s="21"/>
      <c r="OE143" s="21"/>
      <c r="OF143" s="21"/>
      <c r="OG143" s="21"/>
      <c r="OH143" s="21"/>
      <c r="OI143" s="21"/>
      <c r="OJ143" s="21"/>
      <c r="OK143" s="21"/>
      <c r="OL143" s="21"/>
      <c r="OM143" s="21"/>
      <c r="ON143" s="21"/>
      <c r="OO143" s="21"/>
      <c r="OP143" s="21"/>
      <c r="OQ143" s="21"/>
      <c r="OR143" s="21"/>
      <c r="OS143" s="21"/>
      <c r="OT143" s="21"/>
      <c r="OU143" s="21"/>
      <c r="OV143" s="21"/>
      <c r="OW143" s="21"/>
      <c r="OX143" s="21"/>
      <c r="OY143" s="21"/>
      <c r="OZ143" s="21"/>
      <c r="PA143" s="21"/>
      <c r="PB143" s="21"/>
      <c r="PC143" s="21"/>
      <c r="PD143" s="21"/>
      <c r="PE143" s="21"/>
      <c r="PF143" s="21"/>
      <c r="PG143" s="21"/>
      <c r="PH143" s="21"/>
      <c r="PI143" s="21"/>
      <c r="PJ143" s="21"/>
      <c r="PK143" s="21"/>
      <c r="PL143" s="21"/>
      <c r="PM143" s="21"/>
      <c r="PN143" s="21"/>
      <c r="PO143" s="21"/>
      <c r="PP143" s="21"/>
      <c r="PQ143" s="21"/>
      <c r="PR143" s="21"/>
      <c r="PS143" s="21"/>
      <c r="PT143" s="21"/>
      <c r="PU143" s="21"/>
      <c r="PV143" s="21"/>
      <c r="PW143" s="21"/>
      <c r="PX143" s="21"/>
      <c r="PY143" s="21"/>
      <c r="PZ143" s="21"/>
      <c r="QA143" s="21"/>
      <c r="QB143" s="21"/>
      <c r="QC143" s="21"/>
      <c r="QD143" s="21"/>
      <c r="QE143" s="21"/>
      <c r="QF143" s="21"/>
      <c r="QG143" s="21"/>
      <c r="QH143" s="21"/>
      <c r="QI143" s="21"/>
      <c r="QJ143" s="21"/>
      <c r="QK143" s="21"/>
      <c r="QL143" s="21"/>
      <c r="QM143" s="21"/>
      <c r="QN143" s="21"/>
      <c r="QO143" s="21"/>
      <c r="QP143" s="21"/>
      <c r="QQ143" s="21"/>
      <c r="QR143" s="21"/>
      <c r="QS143" s="21"/>
      <c r="QT143" s="21"/>
      <c r="QU143" s="21"/>
      <c r="QV143" s="21"/>
      <c r="QW143" s="21"/>
      <c r="QX143" s="21"/>
      <c r="QY143" s="21"/>
      <c r="QZ143" s="21"/>
      <c r="RA143" s="21"/>
      <c r="RB143" s="21"/>
      <c r="RC143" s="21"/>
      <c r="RD143" s="21"/>
      <c r="RE143" s="21"/>
      <c r="RF143" s="21"/>
      <c r="RG143" s="21"/>
      <c r="RH143" s="21"/>
      <c r="RI143" s="21"/>
      <c r="RJ143" s="21"/>
      <c r="RK143" s="21"/>
      <c r="RL143" s="21"/>
      <c r="RM143" s="21"/>
      <c r="RN143" s="21"/>
      <c r="RO143" s="21"/>
      <c r="RP143" s="21"/>
      <c r="RQ143" s="21"/>
      <c r="RR143" s="21"/>
      <c r="RS143" s="21"/>
      <c r="RT143" s="21"/>
      <c r="RU143" s="21"/>
      <c r="RV143" s="21"/>
      <c r="RW143" s="21"/>
      <c r="RX143" s="21"/>
      <c r="RY143" s="21"/>
      <c r="RZ143" s="21"/>
      <c r="SA143" s="21"/>
      <c r="SB143" s="21"/>
      <c r="SC143" s="21"/>
      <c r="SD143" s="21"/>
      <c r="SE143" s="21"/>
      <c r="SF143" s="21"/>
      <c r="SG143" s="21"/>
      <c r="SH143" s="21"/>
      <c r="SI143" s="21"/>
      <c r="SJ143" s="21"/>
      <c r="SK143" s="21"/>
      <c r="SL143" s="21"/>
      <c r="SM143" s="21"/>
      <c r="SN143" s="21"/>
      <c r="SO143" s="21"/>
      <c r="SP143" s="21"/>
      <c r="SQ143" s="21"/>
      <c r="SR143" s="21"/>
      <c r="SS143" s="21"/>
      <c r="ST143" s="21"/>
      <c r="SU143" s="21"/>
      <c r="SV143" s="21"/>
      <c r="SW143" s="21"/>
      <c r="SX143" s="21"/>
      <c r="SY143" s="21"/>
      <c r="SZ143" s="21"/>
      <c r="TA143" s="21"/>
      <c r="TB143" s="21"/>
      <c r="TC143" s="21"/>
      <c r="TD143" s="21"/>
      <c r="TE143" s="21"/>
      <c r="TF143" s="21"/>
      <c r="TG143" s="21"/>
      <c r="TH143" s="21"/>
      <c r="TI143" s="21"/>
      <c r="TJ143" s="21"/>
      <c r="TK143" s="21"/>
      <c r="TL143" s="21"/>
      <c r="TM143" s="21"/>
      <c r="TN143" s="21"/>
      <c r="TO143" s="21"/>
      <c r="TP143" s="21"/>
      <c r="TQ143" s="21"/>
      <c r="TR143" s="21"/>
      <c r="TS143" s="21"/>
      <c r="TT143" s="21"/>
      <c r="TU143" s="21"/>
      <c r="TV143" s="21"/>
      <c r="TW143" s="21"/>
      <c r="TX143" s="21"/>
      <c r="TY143" s="21"/>
      <c r="TZ143" s="21"/>
      <c r="UA143" s="21"/>
      <c r="UB143" s="21"/>
      <c r="UC143" s="21"/>
      <c r="UD143" s="21"/>
      <c r="UE143" s="21"/>
      <c r="UF143" s="21"/>
      <c r="UG143" s="21"/>
      <c r="UH143" s="21"/>
      <c r="UI143" s="21"/>
      <c r="UJ143" s="21"/>
      <c r="UK143" s="21"/>
      <c r="UL143" s="21"/>
      <c r="UM143" s="21"/>
      <c r="UN143" s="21"/>
      <c r="UO143" s="21"/>
      <c r="UP143" s="21"/>
      <c r="UQ143" s="21"/>
      <c r="UR143" s="21"/>
      <c r="US143" s="21"/>
      <c r="UT143" s="21"/>
      <c r="UU143" s="21"/>
      <c r="UV143" s="21"/>
      <c r="UW143" s="21"/>
      <c r="UX143" s="21"/>
      <c r="UY143" s="21"/>
      <c r="UZ143" s="21"/>
      <c r="VA143" s="21"/>
      <c r="VB143" s="21"/>
      <c r="VC143" s="21"/>
      <c r="VD143" s="21"/>
      <c r="VE143" s="21"/>
      <c r="VF143" s="21"/>
      <c r="VG143" s="21"/>
      <c r="VH143" s="21"/>
      <c r="VI143" s="21"/>
      <c r="VJ143" s="21"/>
      <c r="VK143" s="21"/>
      <c r="VL143" s="21"/>
      <c r="VM143" s="21"/>
      <c r="VN143" s="21"/>
      <c r="VO143" s="21"/>
      <c r="VP143" s="21"/>
      <c r="VQ143" s="21"/>
      <c r="VR143" s="21"/>
      <c r="VS143" s="21"/>
      <c r="VT143" s="21"/>
      <c r="VU143" s="21"/>
      <c r="VV143" s="21"/>
      <c r="VW143" s="21"/>
      <c r="VX143" s="21"/>
      <c r="VY143" s="21"/>
      <c r="VZ143" s="21"/>
      <c r="WA143" s="21"/>
      <c r="WB143" s="21"/>
      <c r="WC143" s="21"/>
      <c r="WD143" s="21"/>
      <c r="WE143" s="21"/>
      <c r="WF143" s="21"/>
      <c r="WG143" s="21"/>
      <c r="WH143" s="21"/>
      <c r="WI143" s="21"/>
      <c r="WJ143" s="21"/>
      <c r="WK143" s="21"/>
      <c r="WL143" s="21"/>
      <c r="WM143" s="21"/>
      <c r="WN143" s="21"/>
      <c r="WO143" s="21"/>
      <c r="WP143" s="21"/>
      <c r="WQ143" s="21"/>
      <c r="WR143" s="21"/>
      <c r="WS143" s="21"/>
      <c r="WT143" s="21"/>
      <c r="WU143" s="21"/>
      <c r="WV143" s="21"/>
      <c r="WW143" s="21"/>
      <c r="WX143" s="21"/>
      <c r="WY143" s="21"/>
      <c r="WZ143" s="21"/>
      <c r="XA143" s="21"/>
      <c r="XB143" s="21"/>
      <c r="XC143" s="21"/>
      <c r="XD143" s="21"/>
      <c r="XE143" s="21"/>
      <c r="XF143" s="21"/>
      <c r="XG143" s="21"/>
      <c r="XH143" s="21"/>
      <c r="XI143" s="21"/>
      <c r="XJ143" s="21"/>
      <c r="XK143" s="21"/>
      <c r="XL143" s="21"/>
      <c r="XM143" s="21"/>
      <c r="XN143" s="21"/>
      <c r="XO143" s="21"/>
      <c r="XP143" s="21"/>
      <c r="XQ143" s="21"/>
      <c r="XR143" s="21"/>
      <c r="XS143" s="21"/>
      <c r="XT143" s="21"/>
      <c r="XU143" s="21"/>
      <c r="XV143" s="21"/>
      <c r="XW143" s="21"/>
      <c r="XX143" s="21"/>
      <c r="XY143" s="21"/>
      <c r="XZ143" s="21"/>
      <c r="YA143" s="21"/>
      <c r="YB143" s="21"/>
      <c r="YC143" s="21"/>
      <c r="YD143" s="21"/>
      <c r="YE143" s="21"/>
      <c r="YF143" s="21"/>
      <c r="YG143" s="21"/>
      <c r="YH143" s="21"/>
      <c r="YI143" s="21"/>
      <c r="YJ143" s="21"/>
      <c r="YK143" s="21"/>
      <c r="YL143" s="21"/>
      <c r="YM143" s="21"/>
      <c r="YN143" s="21"/>
      <c r="YO143" s="21"/>
      <c r="YP143" s="21"/>
      <c r="YQ143" s="21"/>
      <c r="YR143" s="21"/>
      <c r="YS143" s="21"/>
      <c r="YT143" s="21"/>
      <c r="YU143" s="21"/>
      <c r="YV143" s="21"/>
      <c r="YW143" s="21"/>
      <c r="YX143" s="21"/>
      <c r="YY143" s="21"/>
      <c r="YZ143" s="21"/>
      <c r="ZA143" s="21"/>
      <c r="ZB143" s="21"/>
      <c r="ZC143" s="21"/>
      <c r="ZD143" s="21"/>
      <c r="ZE143" s="21"/>
      <c r="ZF143" s="21"/>
      <c r="ZG143" s="21"/>
      <c r="ZH143" s="21"/>
      <c r="ZI143" s="21"/>
      <c r="ZJ143" s="21"/>
      <c r="ZK143" s="21"/>
      <c r="ZL143" s="21"/>
      <c r="ZM143" s="21"/>
      <c r="ZN143" s="21"/>
      <c r="ZO143" s="21"/>
      <c r="ZP143" s="21"/>
      <c r="ZQ143" s="21"/>
      <c r="ZR143" s="21"/>
      <c r="ZS143" s="21"/>
      <c r="ZT143" s="21"/>
      <c r="ZU143" s="21"/>
      <c r="ZV143" s="21"/>
      <c r="ZW143" s="21"/>
      <c r="ZX143" s="21"/>
      <c r="ZY143" s="21"/>
      <c r="ZZ143" s="21"/>
      <c r="AAA143" s="21"/>
      <c r="AAB143" s="21"/>
      <c r="AAC143" s="21"/>
      <c r="AAD143" s="21"/>
      <c r="AAE143" s="21"/>
      <c r="AAF143" s="21"/>
      <c r="AAG143" s="21"/>
      <c r="AAH143" s="21"/>
      <c r="AAI143" s="21"/>
      <c r="AAJ143" s="21"/>
      <c r="AAK143" s="21"/>
      <c r="AAL143" s="21"/>
      <c r="AAM143" s="21"/>
      <c r="AAN143" s="21"/>
      <c r="AAO143" s="21"/>
      <c r="AAP143" s="21"/>
      <c r="AAQ143" s="21"/>
      <c r="AAR143" s="21"/>
      <c r="AAS143" s="21"/>
      <c r="AAT143" s="21"/>
      <c r="AAU143" s="21"/>
      <c r="AAV143" s="21"/>
      <c r="AAW143" s="21"/>
      <c r="AAX143" s="21"/>
      <c r="AAY143" s="21"/>
      <c r="AAZ143" s="21"/>
      <c r="ABA143" s="21"/>
      <c r="ABB143" s="21"/>
      <c r="ABC143" s="21"/>
      <c r="ABD143" s="21"/>
      <c r="ABE143" s="21"/>
      <c r="ABF143" s="21"/>
      <c r="ABG143" s="21"/>
      <c r="ABH143" s="21"/>
      <c r="ABI143" s="21"/>
      <c r="ABJ143" s="21"/>
      <c r="ABK143" s="21"/>
      <c r="ABL143" s="21"/>
      <c r="ABM143" s="21"/>
      <c r="ABN143" s="21"/>
      <c r="ABO143" s="21"/>
      <c r="ABP143" s="21"/>
      <c r="ABQ143" s="21"/>
      <c r="ABR143" s="21"/>
      <c r="ABS143" s="21"/>
      <c r="ABT143" s="21"/>
      <c r="ABU143" s="21"/>
      <c r="ABV143" s="21"/>
      <c r="ABW143" s="21"/>
      <c r="ABX143" s="21"/>
      <c r="ABY143" s="21"/>
      <c r="ABZ143" s="21"/>
      <c r="ACA143" s="21"/>
      <c r="ACB143" s="21"/>
      <c r="ACC143" s="21"/>
      <c r="ACD143" s="21"/>
      <c r="ACE143" s="21"/>
      <c r="ACF143" s="21"/>
      <c r="ACG143" s="21"/>
      <c r="ACH143" s="21"/>
      <c r="ACI143" s="21"/>
      <c r="ACJ143" s="21"/>
      <c r="ACK143" s="21"/>
      <c r="ACL143" s="21"/>
      <c r="ACM143" s="21"/>
      <c r="ACN143" s="21"/>
      <c r="ACO143" s="21"/>
      <c r="ACP143" s="21"/>
      <c r="ACQ143" s="21"/>
      <c r="ACR143" s="21"/>
      <c r="ACS143" s="21"/>
      <c r="ACT143" s="21"/>
      <c r="ACU143" s="21"/>
      <c r="ACV143" s="21"/>
      <c r="ACW143" s="21"/>
      <c r="ACX143" s="21"/>
      <c r="ACY143" s="21"/>
      <c r="ACZ143" s="21"/>
      <c r="ADA143" s="21"/>
      <c r="ADB143" s="21"/>
      <c r="ADC143" s="21"/>
      <c r="ADD143" s="21"/>
      <c r="ADE143" s="21"/>
      <c r="ADF143" s="21"/>
      <c r="ADG143" s="21"/>
      <c r="ADH143" s="21"/>
      <c r="ADI143" s="21"/>
      <c r="ADJ143" s="21"/>
      <c r="ADK143" s="21"/>
      <c r="ADL143" s="21"/>
      <c r="ADM143" s="21"/>
      <c r="ADN143" s="21"/>
      <c r="ADO143" s="21"/>
      <c r="ADP143" s="21"/>
      <c r="ADQ143" s="21"/>
      <c r="ADR143" s="21"/>
      <c r="ADS143" s="21"/>
      <c r="ADT143" s="21"/>
      <c r="ADU143" s="21"/>
      <c r="ADV143" s="21"/>
      <c r="ADW143" s="21"/>
      <c r="ADX143" s="21"/>
      <c r="ADY143" s="21"/>
      <c r="ADZ143" s="21"/>
      <c r="AEA143" s="21"/>
      <c r="AEB143" s="21"/>
      <c r="AEC143" s="21"/>
      <c r="AED143" s="21"/>
      <c r="AEE143" s="21"/>
      <c r="AEF143" s="21"/>
      <c r="AEG143" s="21"/>
      <c r="AEH143" s="21"/>
      <c r="AEI143" s="21"/>
      <c r="AEJ143" s="21"/>
      <c r="AEK143" s="21"/>
      <c r="AEL143" s="21"/>
      <c r="AEM143" s="21"/>
      <c r="AEN143" s="21"/>
      <c r="AEO143" s="21"/>
      <c r="AEP143" s="21"/>
      <c r="AEQ143" s="21"/>
      <c r="AER143" s="21"/>
      <c r="AES143" s="21"/>
      <c r="AET143" s="21"/>
      <c r="AEU143" s="21"/>
      <c r="AEV143" s="21"/>
      <c r="AEW143" s="21"/>
      <c r="AEX143" s="21"/>
      <c r="AEY143" s="21"/>
      <c r="AEZ143" s="21"/>
      <c r="AFA143" s="21"/>
      <c r="AFB143" s="21"/>
      <c r="AFC143" s="21"/>
      <c r="AFD143" s="21"/>
      <c r="AFE143" s="21"/>
      <c r="AFF143" s="21"/>
      <c r="AFG143" s="21"/>
      <c r="AFH143" s="21"/>
      <c r="AFI143" s="21"/>
      <c r="AFJ143" s="21"/>
      <c r="AFK143" s="21"/>
      <c r="AFL143" s="21"/>
      <c r="AFM143" s="21"/>
      <c r="AFN143" s="21"/>
      <c r="AFO143" s="21"/>
      <c r="AFP143" s="21"/>
      <c r="AFQ143" s="21"/>
      <c r="AFR143" s="21"/>
      <c r="AFS143" s="21"/>
      <c r="AFT143" s="21"/>
      <c r="AFU143" s="21"/>
      <c r="AFV143" s="21"/>
      <c r="AFW143" s="21"/>
      <c r="AFX143" s="21"/>
      <c r="AFY143" s="21"/>
      <c r="AFZ143" s="21"/>
      <c r="AGA143" s="21"/>
      <c r="AGB143" s="21"/>
      <c r="AGC143" s="21"/>
      <c r="AGD143" s="21"/>
      <c r="AGE143" s="21"/>
      <c r="AGF143" s="21"/>
      <c r="AGG143" s="21"/>
      <c r="AGH143" s="21"/>
      <c r="AGI143" s="21"/>
      <c r="AGJ143" s="21"/>
      <c r="AGK143" s="21"/>
      <c r="AGL143" s="21"/>
      <c r="AGM143" s="21"/>
      <c r="AGN143" s="21"/>
      <c r="AGO143" s="21"/>
      <c r="AGP143" s="21"/>
      <c r="AGQ143" s="21"/>
      <c r="AGR143" s="21"/>
      <c r="AGS143" s="21"/>
      <c r="AGT143" s="21"/>
      <c r="AGU143" s="21"/>
      <c r="AGV143" s="21"/>
      <c r="AGW143" s="21"/>
      <c r="AGX143" s="21"/>
      <c r="AGY143" s="21"/>
      <c r="AGZ143" s="21"/>
      <c r="AHA143" s="21"/>
      <c r="AHB143" s="21"/>
      <c r="AHC143" s="21"/>
      <c r="AHD143" s="21"/>
      <c r="AHE143" s="21"/>
      <c r="AHF143" s="21"/>
      <c r="AHG143" s="21"/>
      <c r="AHH143" s="21"/>
      <c r="AHI143" s="21"/>
      <c r="AHJ143" s="21"/>
      <c r="AHK143" s="21"/>
      <c r="AHL143" s="21"/>
      <c r="AHM143" s="21"/>
      <c r="AHN143" s="21"/>
      <c r="AHO143" s="21"/>
      <c r="AHP143" s="21"/>
      <c r="AHQ143" s="21"/>
      <c r="AHR143" s="21"/>
      <c r="AHS143" s="21"/>
      <c r="AHT143" s="21"/>
      <c r="AHU143" s="21"/>
      <c r="AHV143" s="21"/>
      <c r="AHW143" s="21"/>
      <c r="AHX143" s="21"/>
      <c r="AHY143" s="21"/>
      <c r="AHZ143" s="21"/>
      <c r="AIA143" s="21"/>
      <c r="AIB143" s="21"/>
      <c r="AIC143" s="21"/>
      <c r="AID143" s="21"/>
      <c r="AIE143" s="21"/>
      <c r="AIF143" s="21"/>
      <c r="AIG143" s="21"/>
      <c r="AIH143" s="21"/>
      <c r="AII143" s="21"/>
      <c r="AIJ143" s="21"/>
      <c r="AIK143" s="21"/>
      <c r="AIL143" s="21"/>
      <c r="AIM143" s="21"/>
      <c r="AIN143" s="21"/>
      <c r="AIO143" s="21"/>
      <c r="AIP143" s="21"/>
      <c r="AIQ143" s="21"/>
      <c r="AIR143" s="21"/>
      <c r="AIS143" s="21"/>
      <c r="AIT143" s="21"/>
      <c r="AIU143" s="21"/>
      <c r="AIV143" s="21"/>
      <c r="AIW143" s="21"/>
      <c r="AIX143" s="21"/>
      <c r="AIY143" s="21"/>
      <c r="AIZ143" s="21"/>
      <c r="AJA143" s="21"/>
      <c r="AJB143" s="21"/>
      <c r="AJC143" s="21"/>
      <c r="AJD143" s="21"/>
      <c r="AJE143" s="21"/>
      <c r="AJF143" s="21"/>
      <c r="AJG143" s="21"/>
      <c r="AJH143" s="21"/>
      <c r="AJI143" s="21"/>
      <c r="AJJ143" s="21"/>
      <c r="AJK143" s="21"/>
      <c r="AJL143" s="21"/>
      <c r="AJM143" s="21"/>
      <c r="AJN143" s="21"/>
      <c r="AJO143" s="21"/>
      <c r="AJP143" s="21"/>
      <c r="AJQ143" s="21"/>
      <c r="AJR143" s="21"/>
      <c r="AJS143" s="21"/>
      <c r="AJT143" s="21"/>
      <c r="AJU143" s="21"/>
      <c r="AJV143" s="21"/>
      <c r="AJW143" s="21"/>
      <c r="AJX143" s="21"/>
      <c r="AJY143" s="21"/>
      <c r="AJZ143" s="21"/>
      <c r="AKA143" s="21"/>
      <c r="AKB143" s="21"/>
      <c r="AKC143" s="21"/>
      <c r="AKD143" s="21"/>
      <c r="AKE143" s="21"/>
      <c r="AKF143" s="21"/>
      <c r="AKG143" s="21"/>
      <c r="AKH143" s="21"/>
      <c r="AKI143" s="21"/>
      <c r="AKJ143" s="21"/>
      <c r="AKK143" s="21"/>
      <c r="AKL143" s="21"/>
      <c r="AKM143" s="21"/>
      <c r="AKN143" s="21"/>
      <c r="AKO143" s="21"/>
      <c r="AKP143" s="21"/>
      <c r="AKQ143" s="21"/>
      <c r="AKR143" s="21"/>
      <c r="AKS143" s="21"/>
      <c r="AKT143" s="21"/>
      <c r="AKU143" s="21"/>
      <c r="AKV143" s="21"/>
      <c r="AKW143" s="21"/>
      <c r="AKX143" s="21"/>
      <c r="AKY143" s="21"/>
      <c r="AKZ143" s="21"/>
      <c r="ALA143" s="21"/>
      <c r="ALB143" s="21"/>
      <c r="ALC143" s="21"/>
      <c r="ALD143" s="21"/>
      <c r="ALE143" s="21"/>
      <c r="ALF143" s="21"/>
      <c r="ALG143" s="21"/>
      <c r="ALH143" s="21"/>
      <c r="ALI143" s="21"/>
      <c r="ALJ143" s="21"/>
      <c r="ALK143" s="21"/>
      <c r="ALL143" s="21"/>
      <c r="ALM143" s="21"/>
      <c r="ALN143" s="21"/>
      <c r="ALO143" s="21"/>
      <c r="ALP143" s="21"/>
      <c r="ALQ143" s="21"/>
      <c r="ALR143" s="21"/>
      <c r="ALS143" s="21"/>
      <c r="ALT143" s="21"/>
      <c r="ALU143" s="21"/>
      <c r="ALV143" s="21"/>
      <c r="ALW143" s="21"/>
      <c r="ALX143" s="21"/>
      <c r="ALY143" s="21"/>
      <c r="ALZ143" s="21"/>
      <c r="AMA143" s="21"/>
      <c r="AMB143" s="21"/>
      <c r="AMC143" s="21"/>
      <c r="AMD143" s="21"/>
      <c r="AME143" s="21"/>
      <c r="AMF143" s="21"/>
      <c r="AMG143" s="21"/>
      <c r="AMH143" s="21"/>
      <c r="AMI143" s="21"/>
      <c r="AMJ143" s="21"/>
      <c r="AMK143" s="21"/>
      <c r="AML143" s="21"/>
      <c r="AMM143" s="21"/>
      <c r="AMN143" s="21"/>
      <c r="AMO143" s="21"/>
      <c r="AMP143" s="21"/>
      <c r="AMQ143" s="21"/>
      <c r="AMR143" s="21"/>
      <c r="AMS143" s="21"/>
      <c r="AMT143" s="21"/>
      <c r="AMU143" s="21"/>
      <c r="AMV143" s="21"/>
      <c r="AMW143" s="21"/>
      <c r="AMX143" s="21"/>
      <c r="AMY143" s="21"/>
      <c r="AMZ143" s="21"/>
      <c r="ANA143" s="21"/>
      <c r="ANB143" s="21"/>
      <c r="ANC143" s="21"/>
      <c r="AND143" s="21"/>
      <c r="ANE143" s="21"/>
      <c r="ANF143" s="21"/>
      <c r="ANG143" s="21"/>
      <c r="ANH143" s="21"/>
      <c r="ANI143" s="21"/>
      <c r="ANJ143" s="21"/>
      <c r="ANK143" s="21"/>
      <c r="ANL143" s="21"/>
      <c r="ANM143" s="21"/>
      <c r="ANN143" s="21"/>
      <c r="ANO143" s="21"/>
      <c r="ANP143" s="21"/>
      <c r="ANQ143" s="21"/>
      <c r="ANR143" s="21"/>
      <c r="ANS143" s="21"/>
      <c r="ANT143" s="21"/>
      <c r="ANU143" s="21"/>
      <c r="ANV143" s="21"/>
      <c r="ANW143" s="21"/>
      <c r="ANX143" s="21"/>
      <c r="ANY143" s="21"/>
      <c r="ANZ143" s="21"/>
      <c r="AOA143" s="21"/>
      <c r="AOB143" s="21"/>
      <c r="AOC143" s="21"/>
      <c r="AOD143" s="21"/>
      <c r="AOE143" s="21"/>
      <c r="AOF143" s="21"/>
      <c r="AOG143" s="21"/>
      <c r="AOH143" s="21"/>
      <c r="AOI143" s="21"/>
      <c r="AOJ143" s="21"/>
      <c r="AOK143" s="21"/>
      <c r="AOL143" s="21"/>
      <c r="AOM143" s="21"/>
      <c r="AON143" s="21"/>
      <c r="AOO143" s="21"/>
      <c r="AOP143" s="21"/>
      <c r="AOQ143" s="21"/>
      <c r="AOR143" s="21"/>
      <c r="AOS143" s="21"/>
      <c r="AOT143" s="21"/>
      <c r="AOU143" s="21"/>
      <c r="AOV143" s="21"/>
      <c r="AOW143" s="21"/>
      <c r="AOX143" s="21"/>
      <c r="AOY143" s="21"/>
      <c r="AOZ143" s="21"/>
      <c r="APA143" s="21"/>
      <c r="APB143" s="21"/>
      <c r="APC143" s="21"/>
      <c r="APD143" s="21"/>
      <c r="APE143" s="21"/>
      <c r="APF143" s="21"/>
      <c r="APG143" s="21"/>
      <c r="APH143" s="21"/>
      <c r="API143" s="21"/>
      <c r="APJ143" s="21"/>
      <c r="APK143" s="21"/>
      <c r="APL143" s="21"/>
      <c r="APM143" s="21"/>
      <c r="APN143" s="21"/>
      <c r="APO143" s="21"/>
      <c r="APP143" s="21"/>
      <c r="APQ143" s="21"/>
      <c r="APR143" s="21"/>
      <c r="APS143" s="21"/>
      <c r="APT143" s="21"/>
      <c r="APU143" s="21"/>
      <c r="APV143" s="21"/>
      <c r="APW143" s="21"/>
      <c r="APX143" s="21"/>
      <c r="APY143" s="21"/>
      <c r="APZ143" s="21"/>
      <c r="AQA143" s="21"/>
      <c r="AQB143" s="21"/>
      <c r="AQC143" s="21"/>
      <c r="AQD143" s="21"/>
      <c r="AQE143" s="21"/>
      <c r="AQF143" s="21"/>
      <c r="AQG143" s="21"/>
      <c r="AQH143" s="21"/>
      <c r="AQI143" s="21"/>
      <c r="AQJ143" s="21"/>
      <c r="AQK143" s="21"/>
      <c r="AQL143" s="21"/>
      <c r="AQM143" s="21"/>
      <c r="AQN143" s="21"/>
      <c r="AQO143" s="21"/>
      <c r="AQP143" s="21"/>
      <c r="AQQ143" s="21"/>
      <c r="AQR143" s="21"/>
      <c r="AQS143" s="21"/>
      <c r="AQT143" s="21"/>
      <c r="AQU143" s="21"/>
      <c r="AQV143" s="21"/>
      <c r="AQW143" s="21"/>
      <c r="AQX143" s="21"/>
      <c r="AQY143" s="21"/>
      <c r="AQZ143" s="21"/>
      <c r="ARA143" s="21"/>
      <c r="ARB143" s="21"/>
      <c r="ARC143" s="21"/>
      <c r="ARD143" s="21"/>
      <c r="ARE143" s="21"/>
      <c r="ARF143" s="21"/>
      <c r="ARG143" s="21"/>
      <c r="ARH143" s="21"/>
      <c r="ARI143" s="21"/>
      <c r="ARJ143" s="21"/>
      <c r="ARK143" s="21"/>
      <c r="ARL143" s="21"/>
      <c r="ARM143" s="21"/>
      <c r="ARN143" s="21"/>
      <c r="ARO143" s="21"/>
      <c r="ARP143" s="21"/>
      <c r="ARQ143" s="21"/>
      <c r="ARR143" s="21"/>
      <c r="ARS143" s="21"/>
      <c r="ART143" s="21"/>
      <c r="ARU143" s="21"/>
      <c r="ARV143" s="21"/>
      <c r="ARW143" s="21"/>
      <c r="ARX143" s="21"/>
      <c r="ARY143" s="21"/>
      <c r="ARZ143" s="21"/>
      <c r="ASA143" s="21"/>
      <c r="ASB143" s="21"/>
      <c r="ASC143" s="21"/>
      <c r="ASD143" s="21"/>
      <c r="ASE143" s="21"/>
      <c r="ASF143" s="21"/>
      <c r="ASG143" s="21"/>
      <c r="ASH143" s="21"/>
      <c r="ASI143" s="21"/>
      <c r="ASJ143" s="21"/>
      <c r="ASK143" s="21"/>
      <c r="ASL143" s="21"/>
      <c r="ASM143" s="21"/>
      <c r="ASN143" s="21"/>
      <c r="ASO143" s="21"/>
      <c r="ASP143" s="21"/>
      <c r="ASQ143" s="21"/>
      <c r="ASR143" s="21"/>
      <c r="ASS143" s="21"/>
      <c r="AST143" s="21"/>
      <c r="ASU143" s="21"/>
      <c r="ASV143" s="21"/>
      <c r="ASW143" s="21"/>
      <c r="ASX143" s="21"/>
      <c r="ASY143" s="21"/>
      <c r="ASZ143" s="21"/>
      <c r="ATA143" s="21"/>
      <c r="ATB143" s="21"/>
      <c r="ATC143" s="21"/>
      <c r="ATD143" s="21"/>
      <c r="ATE143" s="21"/>
      <c r="ATF143" s="21"/>
      <c r="ATG143" s="21"/>
      <c r="ATH143" s="21"/>
      <c r="ATI143" s="21"/>
      <c r="ATJ143" s="21"/>
      <c r="ATK143" s="21"/>
      <c r="ATL143" s="21"/>
      <c r="ATM143" s="21"/>
      <c r="ATN143" s="21"/>
      <c r="ATO143" s="21"/>
      <c r="ATP143" s="21"/>
      <c r="ATQ143" s="21"/>
      <c r="ATR143" s="21"/>
      <c r="ATS143" s="21"/>
      <c r="ATT143" s="21"/>
      <c r="ATU143" s="21"/>
      <c r="ATV143" s="21"/>
      <c r="ATW143" s="21"/>
      <c r="ATX143" s="21"/>
      <c r="ATY143" s="21"/>
      <c r="ATZ143" s="21"/>
      <c r="AUA143" s="21"/>
      <c r="AUB143" s="21"/>
      <c r="AUC143" s="21"/>
      <c r="AUD143" s="21"/>
      <c r="AUE143" s="21"/>
      <c r="AUF143" s="21"/>
      <c r="AUG143" s="21"/>
      <c r="AUH143" s="21"/>
      <c r="AUI143" s="21"/>
      <c r="AUJ143" s="21"/>
      <c r="AUK143" s="21"/>
      <c r="AUL143" s="21"/>
      <c r="AUM143" s="21"/>
      <c r="AUN143" s="21"/>
      <c r="AUO143" s="21"/>
      <c r="AUP143" s="21"/>
      <c r="AUQ143" s="21"/>
      <c r="AUR143" s="21"/>
      <c r="AUS143" s="21"/>
      <c r="AUT143" s="21"/>
      <c r="AUU143" s="21"/>
      <c r="AUV143" s="21"/>
      <c r="AUW143" s="21"/>
      <c r="AUX143" s="21"/>
      <c r="AUY143" s="21"/>
      <c r="AUZ143" s="21"/>
      <c r="AVA143" s="21"/>
      <c r="AVB143" s="21"/>
      <c r="AVC143" s="21"/>
      <c r="AVD143" s="21"/>
      <c r="AVE143" s="21"/>
      <c r="AVF143" s="21"/>
      <c r="AVG143" s="21"/>
      <c r="AVH143" s="21"/>
      <c r="AVI143" s="21"/>
      <c r="AVJ143" s="21"/>
      <c r="AVK143" s="21"/>
      <c r="AVL143" s="21"/>
      <c r="AVM143" s="21"/>
      <c r="AVN143" s="21"/>
      <c r="AVO143" s="21"/>
      <c r="AVP143" s="21"/>
      <c r="AVQ143" s="21"/>
      <c r="AVR143" s="21"/>
      <c r="AVS143" s="21"/>
      <c r="AVT143" s="21"/>
      <c r="AVU143" s="21"/>
      <c r="AVV143" s="21"/>
      <c r="AVW143" s="21"/>
      <c r="AVX143" s="21"/>
      <c r="AVY143" s="21"/>
      <c r="AVZ143" s="21"/>
      <c r="AWA143" s="21"/>
      <c r="AWB143" s="21"/>
      <c r="AWC143" s="21"/>
      <c r="AWD143" s="21"/>
      <c r="AWE143" s="21"/>
      <c r="AWF143" s="21"/>
      <c r="AWG143" s="21"/>
      <c r="AWH143" s="21"/>
      <c r="AWI143" s="21"/>
      <c r="AWJ143" s="21"/>
      <c r="AWK143" s="21"/>
      <c r="AWL143" s="21"/>
      <c r="AWM143" s="21"/>
      <c r="AWN143" s="21"/>
      <c r="AWO143" s="21"/>
      <c r="AWP143" s="21"/>
      <c r="AWQ143" s="21"/>
      <c r="AWR143" s="21"/>
      <c r="AWS143" s="21"/>
      <c r="AWT143" s="21"/>
      <c r="AWU143" s="21"/>
      <c r="AWV143" s="21"/>
      <c r="AWW143" s="21"/>
      <c r="AWX143" s="21"/>
      <c r="AWY143" s="21"/>
      <c r="AWZ143" s="21"/>
      <c r="AXA143" s="21"/>
      <c r="AXB143" s="21"/>
      <c r="AXC143" s="21"/>
      <c r="AXD143" s="21"/>
      <c r="AXE143" s="21"/>
      <c r="AXF143" s="21"/>
      <c r="AXG143" s="21"/>
      <c r="AXH143" s="21"/>
      <c r="AXI143" s="21"/>
      <c r="AXJ143" s="21"/>
      <c r="AXK143" s="21"/>
      <c r="AXL143" s="21"/>
      <c r="AXM143" s="21"/>
      <c r="AXN143" s="21"/>
      <c r="AXO143" s="21"/>
      <c r="AXP143" s="21"/>
      <c r="AXQ143" s="21"/>
      <c r="AXR143" s="21"/>
      <c r="AXS143" s="21"/>
      <c r="AXT143" s="21"/>
      <c r="AXU143" s="21"/>
      <c r="AXV143" s="21"/>
      <c r="AXW143" s="21"/>
      <c r="AXX143" s="21"/>
      <c r="AXY143" s="21"/>
      <c r="AXZ143" s="21"/>
      <c r="AYA143" s="21"/>
      <c r="AYB143" s="21"/>
      <c r="AYC143" s="21"/>
      <c r="AYD143" s="21"/>
      <c r="AYE143" s="21"/>
      <c r="AYF143" s="21"/>
      <c r="AYG143" s="21"/>
      <c r="AYH143" s="21"/>
      <c r="AYI143" s="21"/>
      <c r="AYJ143" s="21"/>
      <c r="AYK143" s="21"/>
      <c r="AYL143" s="21"/>
      <c r="AYM143" s="21"/>
      <c r="AYN143" s="21"/>
      <c r="AYO143" s="21"/>
      <c r="AYP143" s="21"/>
      <c r="AYQ143" s="21"/>
      <c r="AYR143" s="21"/>
      <c r="AYS143" s="21"/>
      <c r="AYT143" s="21"/>
      <c r="AYU143" s="21"/>
      <c r="AYV143" s="21"/>
      <c r="AYW143" s="21"/>
      <c r="AYX143" s="21"/>
      <c r="AYY143" s="21"/>
      <c r="AYZ143" s="21"/>
      <c r="AZA143" s="21"/>
      <c r="AZB143" s="21"/>
      <c r="AZC143" s="21"/>
      <c r="AZD143" s="21"/>
      <c r="AZE143" s="21"/>
      <c r="AZF143" s="21"/>
      <c r="AZG143" s="21"/>
      <c r="AZH143" s="21"/>
      <c r="AZI143" s="21"/>
      <c r="AZJ143" s="21"/>
      <c r="AZK143" s="21"/>
      <c r="AZL143" s="21"/>
      <c r="AZM143" s="21"/>
      <c r="AZN143" s="21"/>
      <c r="AZO143" s="21"/>
      <c r="AZP143" s="21"/>
      <c r="AZQ143" s="21"/>
      <c r="AZR143" s="21"/>
      <c r="AZS143" s="21"/>
      <c r="AZT143" s="21"/>
      <c r="AZU143" s="21"/>
      <c r="AZV143" s="21"/>
      <c r="AZW143" s="21"/>
      <c r="AZX143" s="21"/>
      <c r="AZY143" s="21"/>
      <c r="AZZ143" s="21"/>
      <c r="BAA143" s="21"/>
      <c r="BAB143" s="21"/>
      <c r="BAC143" s="21"/>
      <c r="BAD143" s="21"/>
      <c r="BAE143" s="21"/>
      <c r="BAF143" s="21"/>
      <c r="BAG143" s="21"/>
      <c r="BAH143" s="21"/>
      <c r="BAI143" s="21"/>
      <c r="BAJ143" s="21"/>
      <c r="BAK143" s="21"/>
      <c r="BAL143" s="21"/>
      <c r="BAM143" s="21"/>
      <c r="BAN143" s="21"/>
      <c r="BAO143" s="21"/>
      <c r="BAP143" s="21"/>
      <c r="BAQ143" s="21"/>
      <c r="BAR143" s="21"/>
      <c r="BAS143" s="21"/>
      <c r="BAT143" s="21"/>
      <c r="BAU143" s="21"/>
      <c r="BAV143" s="21"/>
      <c r="BAW143" s="21"/>
      <c r="BAX143" s="21"/>
      <c r="BAY143" s="21"/>
      <c r="BAZ143" s="21"/>
      <c r="BBA143" s="21"/>
      <c r="BBB143" s="21"/>
      <c r="BBC143" s="21"/>
      <c r="BBD143" s="21"/>
      <c r="BBE143" s="21"/>
      <c r="BBF143" s="21"/>
      <c r="BBG143" s="21"/>
      <c r="BBH143" s="21"/>
      <c r="BBI143" s="21"/>
      <c r="BBJ143" s="21"/>
      <c r="BBK143" s="21"/>
      <c r="BBL143" s="21"/>
      <c r="BBM143" s="21"/>
      <c r="BBN143" s="21"/>
      <c r="BBO143" s="21"/>
      <c r="BBP143" s="21"/>
      <c r="BBQ143" s="21"/>
      <c r="BBR143" s="21"/>
      <c r="BBS143" s="21"/>
      <c r="BBT143" s="21"/>
      <c r="BBU143" s="21"/>
      <c r="BBV143" s="21"/>
      <c r="BBW143" s="21"/>
      <c r="BBX143" s="21"/>
      <c r="BBY143" s="21"/>
      <c r="BBZ143" s="21"/>
      <c r="BCA143" s="21"/>
      <c r="BCB143" s="21"/>
      <c r="BCC143" s="21"/>
      <c r="BCD143" s="21"/>
      <c r="BCE143" s="21"/>
      <c r="BCF143" s="21"/>
      <c r="BCG143" s="21"/>
      <c r="BCH143" s="21"/>
      <c r="BCI143" s="21"/>
      <c r="BCJ143" s="21"/>
      <c r="BCK143" s="21"/>
      <c r="BCL143" s="21"/>
      <c r="BCM143" s="21"/>
      <c r="BCN143" s="21"/>
      <c r="BCO143" s="21"/>
      <c r="BCP143" s="21"/>
      <c r="BCQ143" s="21"/>
      <c r="BCR143" s="21"/>
      <c r="BCS143" s="21"/>
      <c r="BCT143" s="21"/>
      <c r="BCU143" s="21"/>
      <c r="BCV143" s="21"/>
      <c r="BCW143" s="21"/>
      <c r="BCX143" s="21"/>
      <c r="BCY143" s="21"/>
      <c r="BCZ143" s="21"/>
      <c r="BDA143" s="21"/>
      <c r="BDB143" s="21"/>
      <c r="BDC143" s="21"/>
      <c r="BDD143" s="21"/>
      <c r="BDE143" s="21"/>
      <c r="BDF143" s="21"/>
      <c r="BDG143" s="21"/>
      <c r="BDH143" s="21"/>
      <c r="BDI143" s="21"/>
      <c r="BDJ143" s="21"/>
      <c r="BDK143" s="21"/>
      <c r="BDL143" s="21"/>
      <c r="BDM143" s="21"/>
      <c r="BDN143" s="21"/>
      <c r="BDO143" s="21"/>
      <c r="BDP143" s="21"/>
      <c r="BDQ143" s="21"/>
      <c r="BDR143" s="21"/>
      <c r="BDS143" s="21"/>
      <c r="BDT143" s="21"/>
      <c r="BDU143" s="21"/>
      <c r="BDV143" s="21"/>
      <c r="BDW143" s="21"/>
      <c r="BDX143" s="21"/>
      <c r="BDY143" s="21"/>
      <c r="BDZ143" s="21"/>
      <c r="BEA143" s="21"/>
      <c r="BEB143" s="21"/>
      <c r="BEC143" s="21"/>
      <c r="BED143" s="21"/>
      <c r="BEE143" s="21"/>
      <c r="BEF143" s="21"/>
      <c r="BEG143" s="21"/>
      <c r="BEH143" s="21"/>
      <c r="BEI143" s="21"/>
      <c r="BEJ143" s="21"/>
      <c r="BEK143" s="21"/>
      <c r="BEL143" s="21"/>
      <c r="BEM143" s="21"/>
      <c r="BEN143" s="21"/>
      <c r="BEO143" s="21"/>
      <c r="BEP143" s="21"/>
      <c r="BEQ143" s="21"/>
      <c r="BER143" s="21"/>
      <c r="BES143" s="21"/>
      <c r="BET143" s="21"/>
      <c r="BEU143" s="21"/>
      <c r="BEV143" s="21"/>
      <c r="BEW143" s="21"/>
      <c r="BEX143" s="21"/>
      <c r="BEY143" s="21"/>
      <c r="BEZ143" s="21"/>
      <c r="BFA143" s="21"/>
      <c r="BFB143" s="21"/>
      <c r="BFC143" s="21"/>
      <c r="BFD143" s="21"/>
      <c r="BFE143" s="21"/>
      <c r="BFF143" s="21"/>
      <c r="BFG143" s="21"/>
      <c r="BFH143" s="21"/>
      <c r="BFI143" s="21"/>
      <c r="BFJ143" s="21"/>
      <c r="BFK143" s="21"/>
      <c r="BFL143" s="21"/>
      <c r="BFM143" s="21"/>
      <c r="BFN143" s="21"/>
      <c r="BFO143" s="21"/>
      <c r="BFP143" s="21"/>
      <c r="BFQ143" s="21"/>
      <c r="BFR143" s="21"/>
      <c r="BFS143" s="21"/>
      <c r="BFT143" s="21"/>
      <c r="BFU143" s="21"/>
      <c r="BFV143" s="21"/>
      <c r="BFW143" s="21"/>
      <c r="BFX143" s="21"/>
      <c r="BFY143" s="21"/>
      <c r="BFZ143" s="21"/>
      <c r="BGA143" s="21"/>
      <c r="BGB143" s="21"/>
      <c r="BGC143" s="21"/>
      <c r="BGD143" s="21"/>
      <c r="BGE143" s="21"/>
      <c r="BGF143" s="21"/>
      <c r="BGG143" s="21"/>
      <c r="BGH143" s="21"/>
      <c r="BGI143" s="21"/>
      <c r="BGJ143" s="21"/>
      <c r="BGK143" s="21"/>
      <c r="BGL143" s="21"/>
      <c r="BGM143" s="21"/>
      <c r="BGN143" s="21"/>
      <c r="BGO143" s="21"/>
      <c r="BGP143" s="21"/>
      <c r="BGQ143" s="21"/>
      <c r="BGR143" s="21"/>
      <c r="BGS143" s="21"/>
      <c r="BGT143" s="21"/>
      <c r="BGU143" s="21"/>
      <c r="BGV143" s="21"/>
      <c r="BGW143" s="21"/>
      <c r="BGX143" s="21"/>
      <c r="BGY143" s="21"/>
      <c r="BGZ143" s="21"/>
      <c r="BHA143" s="21"/>
      <c r="BHB143" s="21"/>
      <c r="BHC143" s="21"/>
      <c r="BHD143" s="21"/>
      <c r="BHE143" s="21"/>
      <c r="BHF143" s="21"/>
      <c r="BHG143" s="21"/>
      <c r="BHH143" s="21"/>
      <c r="BHI143" s="21"/>
      <c r="BHJ143" s="21"/>
      <c r="BHK143" s="21"/>
      <c r="BHL143" s="21"/>
      <c r="BHM143" s="21"/>
      <c r="BHN143" s="21"/>
      <c r="BHO143" s="21"/>
      <c r="BHP143" s="21"/>
      <c r="BHQ143" s="21"/>
      <c r="BHR143" s="21"/>
      <c r="BHS143" s="21"/>
      <c r="BHT143" s="21"/>
      <c r="BHU143" s="21"/>
      <c r="BHV143" s="21"/>
      <c r="BHW143" s="21"/>
      <c r="BHX143" s="21"/>
      <c r="BHY143" s="21"/>
      <c r="BHZ143" s="21"/>
      <c r="BIA143" s="21"/>
      <c r="BIB143" s="21"/>
      <c r="BIC143" s="21"/>
      <c r="BID143" s="21"/>
      <c r="BIE143" s="21"/>
      <c r="BIF143" s="21"/>
      <c r="BIG143" s="21"/>
      <c r="BIH143" s="21"/>
      <c r="BII143" s="21"/>
      <c r="BIJ143" s="21"/>
      <c r="BIK143" s="21"/>
      <c r="BIL143" s="21"/>
      <c r="BIM143" s="21"/>
      <c r="BIN143" s="21"/>
      <c r="BIO143" s="21"/>
      <c r="BIP143" s="21"/>
      <c r="BIQ143" s="21"/>
      <c r="BIR143" s="21"/>
      <c r="BIS143" s="21"/>
      <c r="BIT143" s="21"/>
      <c r="BIU143" s="21"/>
      <c r="BIV143" s="21"/>
      <c r="BIW143" s="21"/>
      <c r="BIX143" s="21"/>
      <c r="BIY143" s="21"/>
      <c r="BIZ143" s="21"/>
      <c r="BJA143" s="21"/>
      <c r="BJB143" s="21"/>
      <c r="BJC143" s="21"/>
      <c r="BJD143" s="21"/>
      <c r="BJE143" s="21"/>
      <c r="BJF143" s="21"/>
      <c r="BJG143" s="21"/>
      <c r="BJH143" s="21"/>
      <c r="BJI143" s="21"/>
      <c r="BJJ143" s="21"/>
      <c r="BJK143" s="21"/>
      <c r="BJL143" s="21"/>
      <c r="BJM143" s="21"/>
      <c r="BJN143" s="21"/>
      <c r="BJO143" s="21"/>
      <c r="BJP143" s="21"/>
      <c r="BJQ143" s="21"/>
      <c r="BJR143" s="21"/>
      <c r="BJS143" s="21"/>
      <c r="BJT143" s="21"/>
      <c r="BJU143" s="21"/>
      <c r="BJV143" s="21"/>
      <c r="BJW143" s="21"/>
      <c r="BJX143" s="21"/>
      <c r="BJY143" s="21"/>
      <c r="BJZ143" s="21"/>
      <c r="BKA143" s="21"/>
      <c r="BKB143" s="21"/>
      <c r="BKC143" s="21"/>
      <c r="BKD143" s="21"/>
      <c r="BKE143" s="21"/>
      <c r="BKF143" s="21"/>
      <c r="BKG143" s="21"/>
      <c r="BKH143" s="21"/>
      <c r="BKI143" s="21"/>
      <c r="BKJ143" s="21"/>
      <c r="BKK143" s="21"/>
      <c r="BKL143" s="21"/>
      <c r="BKM143" s="21"/>
      <c r="BKN143" s="21"/>
      <c r="BKO143" s="21"/>
      <c r="BKP143" s="21"/>
      <c r="BKQ143" s="21"/>
      <c r="BKR143" s="21"/>
      <c r="BKS143" s="21"/>
      <c r="BKT143" s="21"/>
      <c r="BKU143" s="21"/>
      <c r="BKV143" s="21"/>
      <c r="BKW143" s="21"/>
      <c r="BKX143" s="21"/>
      <c r="BKY143" s="21"/>
      <c r="BKZ143" s="21"/>
      <c r="BLA143" s="21"/>
      <c r="BLB143" s="21"/>
      <c r="BLC143" s="21"/>
      <c r="BLD143" s="21"/>
      <c r="BLE143" s="21"/>
      <c r="BLF143" s="21"/>
      <c r="BLG143" s="21"/>
      <c r="BLH143" s="21"/>
      <c r="BLI143" s="21"/>
      <c r="BLJ143" s="21"/>
      <c r="BLK143" s="21"/>
      <c r="BLL143" s="21"/>
      <c r="BLM143" s="21"/>
      <c r="BLN143" s="21"/>
      <c r="BLO143" s="21"/>
      <c r="BLP143" s="21"/>
      <c r="BLQ143" s="21"/>
      <c r="BLR143" s="21"/>
      <c r="BLS143" s="21"/>
      <c r="BLT143" s="21"/>
      <c r="BLU143" s="21"/>
      <c r="BLV143" s="21"/>
      <c r="BLW143" s="21"/>
      <c r="BLX143" s="21"/>
      <c r="BLY143" s="21"/>
      <c r="BLZ143" s="21"/>
      <c r="BMA143" s="21"/>
      <c r="BMB143" s="21"/>
      <c r="BMC143" s="21"/>
      <c r="BMD143" s="21"/>
      <c r="BME143" s="21"/>
      <c r="BMF143" s="21"/>
      <c r="BMG143" s="21"/>
      <c r="BMH143" s="21"/>
      <c r="BMI143" s="21"/>
      <c r="BMJ143" s="21"/>
      <c r="BMK143" s="21"/>
      <c r="BML143" s="21"/>
      <c r="BMM143" s="21"/>
      <c r="BMN143" s="21"/>
      <c r="BMO143" s="21"/>
      <c r="BMP143" s="21"/>
      <c r="BMQ143" s="21"/>
      <c r="BMR143" s="21"/>
      <c r="BMS143" s="21"/>
      <c r="BMT143" s="21"/>
      <c r="BMU143" s="21"/>
      <c r="BMV143" s="21"/>
      <c r="BMW143" s="21"/>
      <c r="BMX143" s="21"/>
      <c r="BMY143" s="21"/>
      <c r="BMZ143" s="21"/>
      <c r="BNA143" s="21"/>
      <c r="BNB143" s="21"/>
      <c r="BNC143" s="21"/>
      <c r="BND143" s="21"/>
      <c r="BNE143" s="21"/>
      <c r="BNF143" s="21"/>
      <c r="BNG143" s="21"/>
      <c r="BNH143" s="21"/>
      <c r="BNI143" s="21"/>
      <c r="BNJ143" s="21"/>
      <c r="BNK143" s="21"/>
      <c r="BNL143" s="21"/>
      <c r="BNM143" s="21"/>
      <c r="BNN143" s="21"/>
      <c r="BNO143" s="21"/>
      <c r="BNP143" s="21"/>
      <c r="BNQ143" s="21"/>
      <c r="BNR143" s="21"/>
      <c r="BNS143" s="21"/>
      <c r="BNT143" s="21"/>
      <c r="BNU143" s="21"/>
      <c r="BNV143" s="21"/>
      <c r="BNW143" s="21"/>
      <c r="BNX143" s="21"/>
      <c r="BNY143" s="21"/>
      <c r="BNZ143" s="21"/>
      <c r="BOA143" s="21"/>
      <c r="BOB143" s="21"/>
      <c r="BOC143" s="21"/>
      <c r="BOD143" s="21"/>
      <c r="BOE143" s="21"/>
      <c r="BOF143" s="21"/>
      <c r="BOG143" s="21"/>
      <c r="BOH143" s="21"/>
      <c r="BOI143" s="21"/>
      <c r="BOJ143" s="21"/>
      <c r="BOK143" s="21"/>
      <c r="BOL143" s="21"/>
      <c r="BOM143" s="21"/>
      <c r="BON143" s="21"/>
      <c r="BOO143" s="21"/>
      <c r="BOP143" s="21"/>
      <c r="BOQ143" s="21"/>
      <c r="BOR143" s="21"/>
      <c r="BOS143" s="21"/>
      <c r="BOT143" s="21"/>
      <c r="BOU143" s="21"/>
      <c r="BOV143" s="21"/>
      <c r="BOW143" s="21"/>
      <c r="BOX143" s="21"/>
      <c r="BOY143" s="21"/>
      <c r="BOZ143" s="21"/>
      <c r="BPA143" s="21"/>
      <c r="BPB143" s="21"/>
      <c r="BPC143" s="21"/>
      <c r="BPD143" s="21"/>
      <c r="BPE143" s="21"/>
      <c r="BPF143" s="21"/>
      <c r="BPG143" s="21"/>
      <c r="BPH143" s="21"/>
      <c r="BPI143" s="21"/>
      <c r="BPJ143" s="21"/>
      <c r="BPK143" s="21"/>
      <c r="BPL143" s="21"/>
      <c r="BPM143" s="21"/>
      <c r="BPN143" s="21"/>
      <c r="BPO143" s="21"/>
      <c r="BPP143" s="21"/>
      <c r="BPQ143" s="21"/>
      <c r="BPR143" s="21"/>
      <c r="BPS143" s="21"/>
      <c r="BPT143" s="21"/>
      <c r="BPU143" s="21"/>
      <c r="BPV143" s="21"/>
      <c r="BPW143" s="21"/>
      <c r="BPX143" s="21"/>
      <c r="BPY143" s="21"/>
      <c r="BPZ143" s="21"/>
      <c r="BQA143" s="21"/>
      <c r="BQB143" s="21"/>
      <c r="BQC143" s="21"/>
      <c r="BQD143" s="21"/>
      <c r="BQE143" s="21"/>
      <c r="BQF143" s="21"/>
      <c r="BQG143" s="21"/>
      <c r="BQH143" s="21"/>
      <c r="BQI143" s="21"/>
      <c r="BQJ143" s="21"/>
      <c r="BQK143" s="21"/>
      <c r="BQL143" s="21"/>
      <c r="BQM143" s="21"/>
      <c r="BQN143" s="21"/>
      <c r="BQO143" s="21"/>
      <c r="BQP143" s="21"/>
      <c r="BQQ143" s="21"/>
      <c r="BQR143" s="21"/>
      <c r="BQS143" s="21"/>
      <c r="BQT143" s="21"/>
      <c r="BQU143" s="21"/>
      <c r="BQV143" s="21"/>
      <c r="BQW143" s="21"/>
      <c r="BQX143" s="21"/>
      <c r="BQY143" s="21"/>
      <c r="BQZ143" s="21"/>
      <c r="BRA143" s="21"/>
      <c r="BRB143" s="21"/>
      <c r="BRC143" s="21"/>
      <c r="BRD143" s="21"/>
      <c r="BRE143" s="21"/>
      <c r="BRF143" s="21"/>
      <c r="BRG143" s="21"/>
      <c r="BRH143" s="21"/>
      <c r="BRI143" s="21"/>
      <c r="BRJ143" s="21"/>
      <c r="BRK143" s="21"/>
      <c r="BRL143" s="21"/>
      <c r="BRM143" s="21"/>
      <c r="BRN143" s="21"/>
      <c r="BRO143" s="21"/>
      <c r="BRP143" s="21"/>
      <c r="BRQ143" s="21"/>
      <c r="BRR143" s="21"/>
      <c r="BRS143" s="21"/>
      <c r="BRT143" s="21"/>
      <c r="BRU143" s="21"/>
      <c r="BRV143" s="21"/>
      <c r="BRW143" s="21"/>
      <c r="BRX143" s="21"/>
      <c r="BRY143" s="21"/>
      <c r="BRZ143" s="21"/>
      <c r="BSA143" s="21"/>
      <c r="BSB143" s="21"/>
      <c r="BSC143" s="21"/>
      <c r="BSD143" s="21"/>
      <c r="BSE143" s="21"/>
      <c r="BSF143" s="21"/>
      <c r="BSG143" s="21"/>
      <c r="BSH143" s="21"/>
      <c r="BSI143" s="21"/>
      <c r="BSJ143" s="21"/>
      <c r="BSK143" s="21"/>
      <c r="BSL143" s="21"/>
      <c r="BSM143" s="21"/>
      <c r="BSN143" s="21"/>
      <c r="BSO143" s="21"/>
      <c r="BSP143" s="21"/>
      <c r="BSQ143" s="21"/>
      <c r="BSR143" s="21"/>
      <c r="BSS143" s="21"/>
      <c r="BST143" s="21"/>
      <c r="BSU143" s="21"/>
      <c r="BSV143" s="21"/>
      <c r="BSW143" s="21"/>
      <c r="BSX143" s="21"/>
      <c r="BSY143" s="21"/>
      <c r="BSZ143" s="21"/>
      <c r="BTA143" s="21"/>
      <c r="BTB143" s="21"/>
      <c r="BTC143" s="21"/>
      <c r="BTD143" s="21"/>
      <c r="BTE143" s="21"/>
      <c r="BTF143" s="21"/>
      <c r="BTG143" s="21"/>
      <c r="BTH143" s="21"/>
      <c r="BTI143" s="21"/>
      <c r="BTJ143" s="21"/>
      <c r="BTK143" s="21"/>
      <c r="BTL143" s="21"/>
      <c r="BTM143" s="21"/>
      <c r="BTN143" s="21"/>
      <c r="BTO143" s="21"/>
      <c r="BTP143" s="21"/>
      <c r="BTQ143" s="21"/>
      <c r="BTR143" s="21"/>
      <c r="BTS143" s="21"/>
      <c r="BTT143" s="21"/>
      <c r="BTU143" s="21"/>
      <c r="BTV143" s="21"/>
      <c r="BTW143" s="21"/>
      <c r="BTX143" s="21"/>
      <c r="BTY143" s="21"/>
      <c r="BTZ143" s="21"/>
      <c r="BUA143" s="21"/>
      <c r="BUB143" s="21"/>
      <c r="BUC143" s="21"/>
      <c r="BUD143" s="21"/>
      <c r="BUE143" s="21"/>
      <c r="BUF143" s="21"/>
      <c r="BUG143" s="21"/>
      <c r="BUH143" s="21"/>
      <c r="BUI143" s="21"/>
      <c r="BUJ143" s="21"/>
      <c r="BUK143" s="21"/>
      <c r="BUL143" s="21"/>
      <c r="BUM143" s="21"/>
      <c r="BUN143" s="21"/>
      <c r="BUO143" s="21"/>
      <c r="BUP143" s="21"/>
      <c r="BUQ143" s="21"/>
      <c r="BUR143" s="21"/>
      <c r="BUS143" s="21"/>
      <c r="BUT143" s="21"/>
      <c r="BUU143" s="21"/>
      <c r="BUV143" s="21"/>
      <c r="BUW143" s="21"/>
      <c r="BUX143" s="21"/>
      <c r="BUY143" s="21"/>
      <c r="BUZ143" s="21"/>
      <c r="BVA143" s="21"/>
      <c r="BVB143" s="21"/>
      <c r="BVC143" s="21"/>
      <c r="BVD143" s="21"/>
      <c r="BVE143" s="21"/>
      <c r="BVF143" s="21"/>
      <c r="BVG143" s="21"/>
      <c r="BVH143" s="21"/>
      <c r="BVI143" s="21"/>
      <c r="BVJ143" s="21"/>
      <c r="BVK143" s="21"/>
      <c r="BVL143" s="21"/>
      <c r="BVM143" s="21"/>
      <c r="BVN143" s="21"/>
      <c r="BVO143" s="21"/>
      <c r="BVP143" s="21"/>
      <c r="BVQ143" s="21"/>
      <c r="BVR143" s="21"/>
      <c r="BVS143" s="21"/>
      <c r="BVT143" s="21"/>
      <c r="BVU143" s="21"/>
      <c r="BVV143" s="21"/>
      <c r="BVW143" s="21"/>
      <c r="BVX143" s="21"/>
      <c r="BVY143" s="21"/>
      <c r="BVZ143" s="21"/>
      <c r="BWA143" s="21"/>
      <c r="BWB143" s="21"/>
      <c r="BWC143" s="21"/>
      <c r="BWD143" s="21"/>
      <c r="BWE143" s="21"/>
      <c r="BWF143" s="21"/>
      <c r="BWG143" s="21"/>
      <c r="BWH143" s="21"/>
      <c r="BWI143" s="21"/>
      <c r="BWJ143" s="21"/>
      <c r="BWK143" s="21"/>
      <c r="BWL143" s="21"/>
      <c r="BWM143" s="21"/>
      <c r="BWN143" s="21"/>
      <c r="BWO143" s="21"/>
      <c r="BWP143" s="21"/>
      <c r="BWQ143" s="21"/>
      <c r="BWR143" s="21"/>
      <c r="BWS143" s="21"/>
      <c r="BWT143" s="21"/>
      <c r="BWU143" s="21"/>
      <c r="BWV143" s="21"/>
      <c r="BWW143" s="21"/>
      <c r="BWX143" s="21"/>
      <c r="BWY143" s="21"/>
      <c r="BWZ143" s="21"/>
      <c r="BXA143" s="21"/>
      <c r="BXB143" s="21"/>
      <c r="BXC143" s="21"/>
      <c r="BXD143" s="21"/>
      <c r="BXE143" s="21"/>
      <c r="BXF143" s="21"/>
      <c r="BXG143" s="21"/>
      <c r="BXH143" s="21"/>
      <c r="BXI143" s="21"/>
      <c r="BXJ143" s="21"/>
      <c r="BXK143" s="21"/>
      <c r="BXL143" s="21"/>
      <c r="BXM143" s="21"/>
      <c r="BXN143" s="21"/>
      <c r="BXO143" s="21"/>
      <c r="BXP143" s="21"/>
      <c r="BXQ143" s="21"/>
      <c r="BXR143" s="21"/>
      <c r="BXS143" s="21"/>
      <c r="BXT143" s="21"/>
      <c r="BXU143" s="21"/>
      <c r="BXV143" s="21"/>
      <c r="BXW143" s="21"/>
      <c r="BXX143" s="21"/>
      <c r="BXY143" s="21"/>
      <c r="BXZ143" s="21"/>
      <c r="BYA143" s="21"/>
      <c r="BYB143" s="21"/>
      <c r="BYC143" s="21"/>
      <c r="BYD143" s="21"/>
      <c r="BYE143" s="21"/>
      <c r="BYF143" s="21"/>
      <c r="BYG143" s="21"/>
      <c r="BYH143" s="21"/>
      <c r="BYI143" s="21"/>
      <c r="BYJ143" s="21"/>
      <c r="BYK143" s="21"/>
      <c r="BYL143" s="21"/>
      <c r="BYM143" s="21"/>
      <c r="BYN143" s="21"/>
      <c r="BYO143" s="21"/>
      <c r="BYP143" s="21"/>
      <c r="BYQ143" s="21"/>
      <c r="BYR143" s="21"/>
      <c r="BYS143" s="21"/>
      <c r="BYT143" s="21"/>
      <c r="BYU143" s="21"/>
      <c r="BYV143" s="21"/>
      <c r="BYW143" s="21"/>
      <c r="BYX143" s="21"/>
      <c r="BYY143" s="21"/>
      <c r="BYZ143" s="21"/>
      <c r="BZA143" s="21"/>
      <c r="BZB143" s="21"/>
      <c r="BZC143" s="21"/>
      <c r="BZD143" s="21"/>
      <c r="BZE143" s="21"/>
      <c r="BZF143" s="21"/>
      <c r="BZG143" s="21"/>
      <c r="BZH143" s="21"/>
      <c r="BZI143" s="21"/>
      <c r="BZJ143" s="21"/>
      <c r="BZK143" s="21"/>
      <c r="BZL143" s="21"/>
      <c r="BZM143" s="21"/>
      <c r="BZN143" s="21"/>
      <c r="BZO143" s="21"/>
      <c r="BZP143" s="21"/>
      <c r="BZQ143" s="21"/>
      <c r="BZR143" s="21"/>
      <c r="BZS143" s="21"/>
      <c r="BZT143" s="21"/>
      <c r="BZU143" s="21"/>
      <c r="BZV143" s="21"/>
      <c r="BZW143" s="21"/>
      <c r="BZX143" s="21"/>
      <c r="BZY143" s="21"/>
      <c r="BZZ143" s="21"/>
      <c r="CAA143" s="21"/>
      <c r="CAB143" s="21"/>
      <c r="CAC143" s="21"/>
      <c r="CAD143" s="21"/>
      <c r="CAE143" s="21"/>
      <c r="CAF143" s="21"/>
      <c r="CAG143" s="21"/>
      <c r="CAH143" s="21"/>
      <c r="CAI143" s="21"/>
      <c r="CAJ143" s="21"/>
      <c r="CAK143" s="21"/>
      <c r="CAL143" s="21"/>
      <c r="CAM143" s="21"/>
      <c r="CAN143" s="21"/>
      <c r="CAO143" s="21"/>
      <c r="CAP143" s="21"/>
      <c r="CAQ143" s="21"/>
      <c r="CAR143" s="21"/>
      <c r="CAS143" s="21"/>
      <c r="CAT143" s="21"/>
      <c r="CAU143" s="21"/>
      <c r="CAV143" s="21"/>
      <c r="CAW143" s="21"/>
      <c r="CAX143" s="21"/>
      <c r="CAY143" s="21"/>
      <c r="CAZ143" s="21"/>
      <c r="CBA143" s="21"/>
      <c r="CBB143" s="21"/>
      <c r="CBC143" s="21"/>
      <c r="CBD143" s="21"/>
      <c r="CBE143" s="21"/>
      <c r="CBF143" s="21"/>
      <c r="CBG143" s="21"/>
      <c r="CBH143" s="21"/>
      <c r="CBI143" s="21"/>
      <c r="CBJ143" s="21"/>
      <c r="CBK143" s="21"/>
      <c r="CBL143" s="21"/>
      <c r="CBM143" s="21"/>
      <c r="CBN143" s="21"/>
      <c r="CBO143" s="21"/>
      <c r="CBP143" s="21"/>
      <c r="CBQ143" s="21"/>
      <c r="CBR143" s="21"/>
      <c r="CBS143" s="21"/>
      <c r="CBT143" s="21"/>
      <c r="CBU143" s="21"/>
      <c r="CBV143" s="21"/>
      <c r="CBW143" s="21"/>
      <c r="CBX143" s="21"/>
      <c r="CBY143" s="21"/>
      <c r="CBZ143" s="21"/>
      <c r="CCA143" s="21"/>
      <c r="CCB143" s="21"/>
      <c r="CCC143" s="21"/>
      <c r="CCD143" s="21"/>
      <c r="CCE143" s="21"/>
      <c r="CCF143" s="21"/>
      <c r="CCG143" s="21"/>
      <c r="CCH143" s="21"/>
      <c r="CCI143" s="21"/>
      <c r="CCJ143" s="21"/>
      <c r="CCK143" s="21"/>
      <c r="CCL143" s="21"/>
      <c r="CCM143" s="21"/>
      <c r="CCN143" s="21"/>
      <c r="CCO143" s="21"/>
      <c r="CCP143" s="21"/>
      <c r="CCQ143" s="21"/>
      <c r="CCR143" s="21"/>
      <c r="CCS143" s="21"/>
      <c r="CCT143" s="21"/>
      <c r="CCU143" s="21"/>
      <c r="CCV143" s="21"/>
      <c r="CCW143" s="21"/>
      <c r="CCX143" s="21"/>
      <c r="CCY143" s="21"/>
      <c r="CCZ143" s="21"/>
      <c r="CDA143" s="21"/>
      <c r="CDB143" s="21"/>
      <c r="CDC143" s="21"/>
      <c r="CDD143" s="21"/>
      <c r="CDE143" s="21"/>
      <c r="CDF143" s="21"/>
      <c r="CDG143" s="21"/>
      <c r="CDH143" s="21"/>
      <c r="CDI143" s="21"/>
      <c r="CDJ143" s="21"/>
      <c r="CDK143" s="21"/>
      <c r="CDL143" s="21"/>
      <c r="CDM143" s="21"/>
      <c r="CDN143" s="21"/>
      <c r="CDO143" s="21"/>
      <c r="CDP143" s="21"/>
      <c r="CDQ143" s="21"/>
      <c r="CDR143" s="21"/>
      <c r="CDS143" s="21"/>
      <c r="CDT143" s="21"/>
      <c r="CDU143" s="21"/>
      <c r="CDV143" s="21"/>
      <c r="CDW143" s="21"/>
      <c r="CDX143" s="21"/>
      <c r="CDY143" s="21"/>
      <c r="CDZ143" s="21"/>
      <c r="CEA143" s="21"/>
      <c r="CEB143" s="21"/>
      <c r="CEC143" s="21"/>
      <c r="CED143" s="21"/>
      <c r="CEE143" s="21"/>
      <c r="CEF143" s="21"/>
      <c r="CEG143" s="21"/>
      <c r="CEH143" s="21"/>
      <c r="CEI143" s="21"/>
      <c r="CEJ143" s="21"/>
      <c r="CEK143" s="21"/>
      <c r="CEL143" s="21"/>
      <c r="CEM143" s="21"/>
      <c r="CEN143" s="21"/>
      <c r="CEO143" s="21"/>
      <c r="CEP143" s="21"/>
      <c r="CEQ143" s="21"/>
      <c r="CER143" s="21"/>
      <c r="CES143" s="21"/>
      <c r="CET143" s="21"/>
      <c r="CEU143" s="21"/>
      <c r="CEV143" s="21"/>
      <c r="CEW143" s="21"/>
      <c r="CEX143" s="21"/>
      <c r="CEY143" s="21"/>
      <c r="CEZ143" s="21"/>
      <c r="CFA143" s="21"/>
      <c r="CFB143" s="21"/>
      <c r="CFC143" s="21"/>
      <c r="CFD143" s="21"/>
      <c r="CFE143" s="21"/>
      <c r="CFF143" s="21"/>
      <c r="CFG143" s="21"/>
      <c r="CFH143" s="21"/>
      <c r="CFI143" s="21"/>
      <c r="CFJ143" s="21"/>
      <c r="CFK143" s="21"/>
      <c r="CFL143" s="21"/>
      <c r="CFM143" s="21"/>
      <c r="CFN143" s="21"/>
      <c r="CFO143" s="21"/>
      <c r="CFP143" s="21"/>
      <c r="CFQ143" s="21"/>
      <c r="CFR143" s="21"/>
      <c r="CFS143" s="21"/>
      <c r="CFT143" s="21"/>
      <c r="CFU143" s="21"/>
      <c r="CFV143" s="21"/>
      <c r="CFW143" s="21"/>
      <c r="CFX143" s="21"/>
      <c r="CFY143" s="21"/>
      <c r="CFZ143" s="21"/>
      <c r="CGA143" s="21"/>
      <c r="CGB143" s="21"/>
      <c r="CGC143" s="21"/>
      <c r="CGD143" s="21"/>
      <c r="CGE143" s="21"/>
      <c r="CGF143" s="21"/>
      <c r="CGG143" s="21"/>
      <c r="CGH143" s="21"/>
      <c r="CGI143" s="21"/>
      <c r="CGJ143" s="21"/>
      <c r="CGK143" s="21"/>
      <c r="CGL143" s="21"/>
      <c r="CGM143" s="21"/>
      <c r="CGN143" s="21"/>
      <c r="CGO143" s="21"/>
      <c r="CGP143" s="21"/>
      <c r="CGQ143" s="21"/>
      <c r="CGR143" s="21"/>
      <c r="CGS143" s="21"/>
      <c r="CGT143" s="21"/>
      <c r="CGU143" s="21"/>
      <c r="CGV143" s="21"/>
      <c r="CGW143" s="21"/>
      <c r="CGX143" s="21"/>
      <c r="CGY143" s="21"/>
      <c r="CGZ143" s="21"/>
      <c r="CHA143" s="21"/>
      <c r="CHB143" s="21"/>
      <c r="CHC143" s="21"/>
      <c r="CHD143" s="21"/>
      <c r="CHE143" s="21"/>
      <c r="CHF143" s="21"/>
      <c r="CHG143" s="21"/>
      <c r="CHH143" s="21"/>
      <c r="CHI143" s="21"/>
      <c r="CHJ143" s="21"/>
      <c r="CHK143" s="21"/>
      <c r="CHL143" s="21"/>
      <c r="CHM143" s="21"/>
      <c r="CHN143" s="21"/>
      <c r="CHO143" s="21"/>
      <c r="CHP143" s="21"/>
      <c r="CHQ143" s="21"/>
      <c r="CHR143" s="21"/>
      <c r="CHS143" s="21"/>
      <c r="CHT143" s="21"/>
      <c r="CHU143" s="21"/>
      <c r="CHV143" s="21"/>
      <c r="CHW143" s="21"/>
      <c r="CHX143" s="21"/>
      <c r="CHY143" s="21"/>
      <c r="CHZ143" s="21"/>
      <c r="CIA143" s="21"/>
      <c r="CIB143" s="21"/>
      <c r="CIC143" s="21"/>
      <c r="CID143" s="21"/>
      <c r="CIE143" s="21"/>
      <c r="CIF143" s="21"/>
      <c r="CIG143" s="21"/>
      <c r="CIH143" s="21"/>
      <c r="CII143" s="21"/>
      <c r="CIJ143" s="21"/>
      <c r="CIK143" s="21"/>
      <c r="CIL143" s="21"/>
      <c r="CIM143" s="21"/>
      <c r="CIN143" s="21"/>
      <c r="CIO143" s="21"/>
      <c r="CIP143" s="21"/>
      <c r="CIQ143" s="21"/>
      <c r="CIR143" s="21"/>
      <c r="CIS143" s="21"/>
      <c r="CIT143" s="21"/>
      <c r="CIU143" s="21"/>
      <c r="CIV143" s="21"/>
      <c r="CIW143" s="21"/>
      <c r="CIX143" s="21"/>
      <c r="CIY143" s="21"/>
      <c r="CIZ143" s="21"/>
      <c r="CJA143" s="21"/>
      <c r="CJB143" s="21"/>
      <c r="CJC143" s="21"/>
      <c r="CJD143" s="21"/>
      <c r="CJE143" s="21"/>
      <c r="CJF143" s="21"/>
      <c r="CJG143" s="21"/>
      <c r="CJH143" s="21"/>
      <c r="CJI143" s="21"/>
      <c r="CJJ143" s="21"/>
      <c r="CJK143" s="21"/>
      <c r="CJL143" s="21"/>
      <c r="CJM143" s="21"/>
      <c r="CJN143" s="21"/>
      <c r="CJO143" s="21"/>
      <c r="CJP143" s="21"/>
      <c r="CJQ143" s="21"/>
      <c r="CJR143" s="21"/>
      <c r="CJS143" s="21"/>
      <c r="CJT143" s="21"/>
      <c r="CJU143" s="21"/>
      <c r="CJV143" s="21"/>
      <c r="CJW143" s="21"/>
      <c r="CJX143" s="21"/>
      <c r="CJY143" s="21"/>
      <c r="CJZ143" s="21"/>
      <c r="CKA143" s="21"/>
      <c r="CKB143" s="21"/>
      <c r="CKC143" s="21"/>
      <c r="CKD143" s="21"/>
      <c r="CKE143" s="21"/>
      <c r="CKF143" s="21"/>
      <c r="CKG143" s="21"/>
      <c r="CKH143" s="21"/>
      <c r="CKI143" s="21"/>
      <c r="CKJ143" s="21"/>
      <c r="CKK143" s="21"/>
      <c r="CKL143" s="21"/>
      <c r="CKM143" s="21"/>
      <c r="CKN143" s="21"/>
      <c r="CKO143" s="21"/>
      <c r="CKP143" s="21"/>
      <c r="CKQ143" s="21"/>
      <c r="CKR143" s="21"/>
      <c r="CKS143" s="21"/>
      <c r="CKT143" s="21"/>
      <c r="CKU143" s="21"/>
      <c r="CKV143" s="21"/>
      <c r="CKW143" s="21"/>
      <c r="CKX143" s="21"/>
      <c r="CKY143" s="21"/>
      <c r="CKZ143" s="21"/>
      <c r="CLA143" s="21"/>
      <c r="CLB143" s="21"/>
      <c r="CLC143" s="21"/>
      <c r="CLD143" s="21"/>
      <c r="CLE143" s="21"/>
      <c r="CLF143" s="21"/>
      <c r="CLG143" s="21"/>
      <c r="CLH143" s="21"/>
      <c r="CLI143" s="21"/>
      <c r="CLJ143" s="21"/>
      <c r="CLK143" s="21"/>
      <c r="CLL143" s="21"/>
      <c r="CLM143" s="21"/>
      <c r="CLN143" s="21"/>
      <c r="CLO143" s="21"/>
      <c r="CLP143" s="21"/>
      <c r="CLQ143" s="21"/>
      <c r="CLR143" s="21"/>
      <c r="CLS143" s="21"/>
      <c r="CLT143" s="21"/>
      <c r="CLU143" s="21"/>
      <c r="CLV143" s="21"/>
      <c r="CLW143" s="21"/>
      <c r="CLX143" s="21"/>
      <c r="CLY143" s="21"/>
      <c r="CLZ143" s="21"/>
      <c r="CMA143" s="21"/>
      <c r="CMB143" s="21"/>
      <c r="CMC143" s="21"/>
      <c r="CMD143" s="21"/>
      <c r="CME143" s="21"/>
      <c r="CMF143" s="21"/>
      <c r="CMG143" s="21"/>
      <c r="CMH143" s="21"/>
      <c r="CMI143" s="21"/>
      <c r="CMJ143" s="21"/>
      <c r="CMK143" s="21"/>
      <c r="CML143" s="21"/>
      <c r="CMM143" s="21"/>
      <c r="CMN143" s="21"/>
      <c r="CMO143" s="21"/>
      <c r="CMP143" s="21"/>
      <c r="CMQ143" s="21"/>
      <c r="CMR143" s="21"/>
      <c r="CMS143" s="21"/>
      <c r="CMT143" s="21"/>
      <c r="CMU143" s="21"/>
      <c r="CMV143" s="21"/>
      <c r="CMW143" s="21"/>
      <c r="CMX143" s="21"/>
      <c r="CMY143" s="21"/>
      <c r="CMZ143" s="21"/>
      <c r="CNA143" s="21"/>
      <c r="CNB143" s="21"/>
      <c r="CNC143" s="21"/>
      <c r="CND143" s="21"/>
      <c r="CNE143" s="21"/>
      <c r="CNF143" s="21"/>
      <c r="CNG143" s="21"/>
      <c r="CNH143" s="21"/>
      <c r="CNI143" s="21"/>
      <c r="CNJ143" s="21"/>
      <c r="CNK143" s="21"/>
      <c r="CNL143" s="21"/>
      <c r="CNM143" s="21"/>
      <c r="CNN143" s="21"/>
      <c r="CNO143" s="21"/>
      <c r="CNP143" s="21"/>
      <c r="CNQ143" s="21"/>
      <c r="CNR143" s="21"/>
      <c r="CNS143" s="21"/>
      <c r="CNT143" s="21"/>
      <c r="CNU143" s="21"/>
      <c r="CNV143" s="21"/>
      <c r="CNW143" s="21"/>
      <c r="CNX143" s="21"/>
      <c r="CNY143" s="21"/>
      <c r="CNZ143" s="21"/>
      <c r="COA143" s="21"/>
      <c r="COB143" s="21"/>
      <c r="COC143" s="21"/>
      <c r="COD143" s="21"/>
      <c r="COE143" s="21"/>
      <c r="COF143" s="21"/>
      <c r="COG143" s="21"/>
      <c r="COH143" s="21"/>
      <c r="COI143" s="21"/>
      <c r="COJ143" s="21"/>
      <c r="COK143" s="21"/>
      <c r="COL143" s="21"/>
      <c r="COM143" s="21"/>
      <c r="CON143" s="21"/>
      <c r="COO143" s="21"/>
      <c r="COP143" s="21"/>
      <c r="COQ143" s="21"/>
      <c r="COR143" s="21"/>
      <c r="COS143" s="21"/>
      <c r="COT143" s="21"/>
      <c r="COU143" s="21"/>
      <c r="COV143" s="21"/>
      <c r="COW143" s="21"/>
      <c r="COX143" s="21"/>
      <c r="COY143" s="21"/>
      <c r="COZ143" s="21"/>
      <c r="CPA143" s="21"/>
      <c r="CPB143" s="21"/>
      <c r="CPC143" s="21"/>
      <c r="CPD143" s="21"/>
      <c r="CPE143" s="21"/>
      <c r="CPF143" s="21"/>
      <c r="CPG143" s="21"/>
      <c r="CPH143" s="21"/>
      <c r="CPI143" s="21"/>
      <c r="CPJ143" s="21"/>
      <c r="CPK143" s="21"/>
      <c r="CPL143" s="21"/>
      <c r="CPM143" s="21"/>
      <c r="CPN143" s="21"/>
      <c r="CPO143" s="21"/>
      <c r="CPP143" s="21"/>
      <c r="CPQ143" s="21"/>
      <c r="CPR143" s="21"/>
      <c r="CPS143" s="21"/>
      <c r="CPT143" s="21"/>
      <c r="CPU143" s="21"/>
      <c r="CPV143" s="21"/>
      <c r="CPW143" s="21"/>
      <c r="CPX143" s="21"/>
      <c r="CPY143" s="21"/>
      <c r="CPZ143" s="21"/>
      <c r="CQA143" s="21"/>
      <c r="CQB143" s="21"/>
      <c r="CQC143" s="21"/>
      <c r="CQD143" s="21"/>
      <c r="CQE143" s="21"/>
      <c r="CQF143" s="21"/>
      <c r="CQG143" s="21"/>
      <c r="CQH143" s="21"/>
      <c r="CQI143" s="21"/>
      <c r="CQJ143" s="21"/>
      <c r="CQK143" s="21"/>
      <c r="CQL143" s="21"/>
      <c r="CQM143" s="21"/>
      <c r="CQN143" s="21"/>
      <c r="CQO143" s="21"/>
      <c r="CQP143" s="21"/>
      <c r="CQQ143" s="21"/>
      <c r="CQR143" s="21"/>
      <c r="CQS143" s="21"/>
      <c r="CQT143" s="21"/>
      <c r="CQU143" s="21"/>
      <c r="CQV143" s="21"/>
      <c r="CQW143" s="21"/>
      <c r="CQX143" s="21"/>
      <c r="CQY143" s="21"/>
      <c r="CQZ143" s="21"/>
      <c r="CRA143" s="21"/>
      <c r="CRB143" s="21"/>
      <c r="CRC143" s="21"/>
      <c r="CRD143" s="21"/>
      <c r="CRE143" s="21"/>
      <c r="CRF143" s="21"/>
      <c r="CRG143" s="21"/>
      <c r="CRH143" s="21"/>
      <c r="CRI143" s="21"/>
      <c r="CRJ143" s="21"/>
      <c r="CRK143" s="21"/>
      <c r="CRL143" s="21"/>
      <c r="CRM143" s="21"/>
      <c r="CRN143" s="21"/>
      <c r="CRO143" s="21"/>
      <c r="CRP143" s="21"/>
      <c r="CRQ143" s="21"/>
      <c r="CRR143" s="21"/>
      <c r="CRS143" s="21"/>
      <c r="CRT143" s="21"/>
      <c r="CRU143" s="21"/>
      <c r="CRV143" s="21"/>
      <c r="CRW143" s="21"/>
      <c r="CRX143" s="21"/>
      <c r="CRY143" s="21"/>
      <c r="CRZ143" s="21"/>
      <c r="CSA143" s="21"/>
      <c r="CSB143" s="21"/>
      <c r="CSC143" s="21"/>
      <c r="CSD143" s="21"/>
      <c r="CSE143" s="21"/>
      <c r="CSF143" s="21"/>
      <c r="CSG143" s="21"/>
      <c r="CSH143" s="21"/>
      <c r="CSI143" s="21"/>
      <c r="CSJ143" s="21"/>
      <c r="CSK143" s="21"/>
      <c r="CSL143" s="21"/>
      <c r="CSM143" s="21"/>
      <c r="CSN143" s="21"/>
      <c r="CSO143" s="21"/>
      <c r="CSP143" s="21"/>
      <c r="CSQ143" s="21"/>
      <c r="CSR143" s="21"/>
      <c r="CSS143" s="21"/>
      <c r="CST143" s="21"/>
      <c r="CSU143" s="21"/>
      <c r="CSV143" s="21"/>
      <c r="CSW143" s="21"/>
      <c r="CSX143" s="21"/>
      <c r="CSY143" s="21"/>
      <c r="CSZ143" s="21"/>
      <c r="CTA143" s="21"/>
      <c r="CTB143" s="21"/>
      <c r="CTC143" s="21"/>
      <c r="CTD143" s="21"/>
      <c r="CTE143" s="21"/>
      <c r="CTF143" s="21"/>
      <c r="CTG143" s="21"/>
      <c r="CTH143" s="21"/>
      <c r="CTI143" s="21"/>
      <c r="CTJ143" s="21"/>
      <c r="CTK143" s="21"/>
      <c r="CTL143" s="21"/>
      <c r="CTM143" s="21"/>
      <c r="CTN143" s="21"/>
      <c r="CTO143" s="21"/>
      <c r="CTP143" s="21"/>
      <c r="CTQ143" s="21"/>
      <c r="CTR143" s="21"/>
      <c r="CTS143" s="21"/>
      <c r="CTT143" s="21"/>
      <c r="CTU143" s="21"/>
      <c r="CTV143" s="21"/>
      <c r="CTW143" s="21"/>
      <c r="CTX143" s="21"/>
      <c r="CTY143" s="21"/>
      <c r="CTZ143" s="21"/>
      <c r="CUA143" s="21"/>
      <c r="CUB143" s="21"/>
      <c r="CUC143" s="21"/>
      <c r="CUD143" s="21"/>
      <c r="CUE143" s="21"/>
      <c r="CUF143" s="21"/>
      <c r="CUG143" s="21"/>
      <c r="CUH143" s="21"/>
      <c r="CUI143" s="21"/>
      <c r="CUJ143" s="21"/>
      <c r="CUK143" s="21"/>
      <c r="CUL143" s="21"/>
      <c r="CUM143" s="21"/>
      <c r="CUN143" s="21"/>
      <c r="CUO143" s="21"/>
      <c r="CUP143" s="21"/>
      <c r="CUQ143" s="21"/>
      <c r="CUR143" s="21"/>
      <c r="CUS143" s="21"/>
      <c r="CUT143" s="21"/>
      <c r="CUU143" s="21"/>
      <c r="CUV143" s="21"/>
      <c r="CUW143" s="21"/>
      <c r="CUX143" s="21"/>
      <c r="CUY143" s="21"/>
      <c r="CUZ143" s="21"/>
      <c r="CVA143" s="21"/>
      <c r="CVB143" s="21"/>
      <c r="CVC143" s="21"/>
      <c r="CVD143" s="21"/>
      <c r="CVE143" s="21"/>
      <c r="CVF143" s="21"/>
      <c r="CVG143" s="21"/>
      <c r="CVH143" s="21"/>
      <c r="CVI143" s="21"/>
      <c r="CVJ143" s="21"/>
      <c r="CVK143" s="21"/>
      <c r="CVL143" s="21"/>
      <c r="CVM143" s="21"/>
      <c r="CVN143" s="21"/>
      <c r="CVO143" s="21"/>
      <c r="CVP143" s="21"/>
      <c r="CVQ143" s="21"/>
      <c r="CVR143" s="21"/>
      <c r="CVS143" s="21"/>
      <c r="CVT143" s="21"/>
      <c r="CVU143" s="21"/>
      <c r="CVV143" s="21"/>
      <c r="CVW143" s="21"/>
      <c r="CVX143" s="21"/>
      <c r="CVY143" s="21"/>
      <c r="CVZ143" s="21"/>
      <c r="CWA143" s="21"/>
      <c r="CWB143" s="21"/>
      <c r="CWC143" s="21"/>
      <c r="CWD143" s="21"/>
      <c r="CWE143" s="21"/>
      <c r="CWF143" s="21"/>
      <c r="CWG143" s="21"/>
      <c r="CWH143" s="21"/>
      <c r="CWI143" s="21"/>
      <c r="CWJ143" s="21"/>
      <c r="CWK143" s="21"/>
      <c r="CWL143" s="21"/>
      <c r="CWM143" s="21"/>
      <c r="CWN143" s="21"/>
      <c r="CWO143" s="21"/>
      <c r="CWP143" s="21"/>
      <c r="CWQ143" s="21"/>
      <c r="CWR143" s="21"/>
      <c r="CWS143" s="21"/>
      <c r="CWT143" s="21"/>
      <c r="CWU143" s="21"/>
      <c r="CWV143" s="21"/>
      <c r="CWW143" s="21"/>
      <c r="CWX143" s="21"/>
      <c r="CWY143" s="21"/>
      <c r="CWZ143" s="21"/>
      <c r="CXA143" s="21"/>
      <c r="CXB143" s="21"/>
      <c r="CXC143" s="21"/>
      <c r="CXD143" s="21"/>
      <c r="CXE143" s="21"/>
      <c r="CXF143" s="21"/>
      <c r="CXG143" s="21"/>
      <c r="CXH143" s="21"/>
      <c r="CXI143" s="21"/>
      <c r="CXJ143" s="21"/>
      <c r="CXK143" s="21"/>
      <c r="CXL143" s="21"/>
      <c r="CXM143" s="21"/>
      <c r="CXN143" s="21"/>
      <c r="CXO143" s="21"/>
      <c r="CXP143" s="21"/>
      <c r="CXQ143" s="21"/>
      <c r="CXR143" s="21"/>
      <c r="CXS143" s="21"/>
      <c r="CXT143" s="21"/>
      <c r="CXU143" s="21"/>
      <c r="CXV143" s="21"/>
      <c r="CXW143" s="21"/>
      <c r="CXX143" s="21"/>
      <c r="CXY143" s="21"/>
      <c r="CXZ143" s="21"/>
      <c r="CYA143" s="21"/>
      <c r="CYB143" s="21"/>
      <c r="CYC143" s="21"/>
      <c r="CYD143" s="21"/>
      <c r="CYE143" s="21"/>
      <c r="CYF143" s="21"/>
      <c r="CYG143" s="21"/>
      <c r="CYH143" s="21"/>
      <c r="CYI143" s="21"/>
      <c r="CYJ143" s="21"/>
      <c r="CYK143" s="21"/>
      <c r="CYL143" s="21"/>
      <c r="CYM143" s="21"/>
      <c r="CYN143" s="21"/>
      <c r="CYO143" s="21"/>
      <c r="CYP143" s="21"/>
      <c r="CYQ143" s="21"/>
      <c r="CYR143" s="21"/>
      <c r="CYS143" s="21"/>
      <c r="CYT143" s="21"/>
      <c r="CYU143" s="21"/>
      <c r="CYV143" s="21"/>
      <c r="CYW143" s="21"/>
      <c r="CYX143" s="21"/>
      <c r="CYY143" s="21"/>
      <c r="CYZ143" s="21"/>
      <c r="CZA143" s="21"/>
      <c r="CZB143" s="21"/>
      <c r="CZC143" s="21"/>
      <c r="CZD143" s="21"/>
      <c r="CZE143" s="21"/>
      <c r="CZF143" s="21"/>
      <c r="CZG143" s="21"/>
      <c r="CZH143" s="21"/>
      <c r="CZI143" s="21"/>
      <c r="CZJ143" s="21"/>
      <c r="CZK143" s="21"/>
      <c r="CZL143" s="21"/>
      <c r="CZM143" s="21"/>
      <c r="CZN143" s="21"/>
      <c r="CZO143" s="21"/>
      <c r="CZP143" s="21"/>
      <c r="CZQ143" s="21"/>
      <c r="CZR143" s="21"/>
      <c r="CZS143" s="21"/>
      <c r="CZT143" s="21"/>
      <c r="CZU143" s="21"/>
      <c r="CZV143" s="21"/>
      <c r="CZW143" s="21"/>
      <c r="CZX143" s="21"/>
      <c r="CZY143" s="21"/>
      <c r="CZZ143" s="21"/>
      <c r="DAA143" s="21"/>
      <c r="DAB143" s="21"/>
      <c r="DAC143" s="21"/>
      <c r="DAD143" s="21"/>
      <c r="DAE143" s="21"/>
      <c r="DAF143" s="21"/>
      <c r="DAG143" s="21"/>
      <c r="DAH143" s="21"/>
      <c r="DAI143" s="21"/>
      <c r="DAJ143" s="21"/>
      <c r="DAK143" s="21"/>
      <c r="DAL143" s="21"/>
      <c r="DAM143" s="21"/>
      <c r="DAN143" s="21"/>
      <c r="DAO143" s="21"/>
      <c r="DAP143" s="21"/>
      <c r="DAQ143" s="21"/>
      <c r="DAR143" s="21"/>
      <c r="DAS143" s="21"/>
      <c r="DAT143" s="21"/>
      <c r="DAU143" s="21"/>
      <c r="DAV143" s="21"/>
      <c r="DAW143" s="21"/>
      <c r="DAX143" s="21"/>
      <c r="DAY143" s="21"/>
      <c r="DAZ143" s="21"/>
      <c r="DBA143" s="21"/>
      <c r="DBB143" s="21"/>
      <c r="DBC143" s="21"/>
      <c r="DBD143" s="21"/>
      <c r="DBE143" s="21"/>
      <c r="DBF143" s="21"/>
      <c r="DBG143" s="21"/>
      <c r="DBH143" s="21"/>
      <c r="DBI143" s="21"/>
      <c r="DBJ143" s="21"/>
      <c r="DBK143" s="21"/>
      <c r="DBL143" s="21"/>
      <c r="DBM143" s="21"/>
      <c r="DBN143" s="21"/>
      <c r="DBO143" s="21"/>
      <c r="DBP143" s="21"/>
      <c r="DBQ143" s="21"/>
      <c r="DBR143" s="21"/>
      <c r="DBS143" s="21"/>
      <c r="DBT143" s="21"/>
      <c r="DBU143" s="21"/>
      <c r="DBV143" s="21"/>
      <c r="DBW143" s="21"/>
      <c r="DBX143" s="21"/>
      <c r="DBY143" s="21"/>
      <c r="DBZ143" s="21"/>
      <c r="DCA143" s="21"/>
      <c r="DCB143" s="21"/>
      <c r="DCC143" s="21"/>
      <c r="DCD143" s="21"/>
      <c r="DCE143" s="21"/>
      <c r="DCF143" s="21"/>
      <c r="DCG143" s="21"/>
      <c r="DCH143" s="21"/>
      <c r="DCI143" s="21"/>
      <c r="DCJ143" s="21"/>
      <c r="DCK143" s="21"/>
      <c r="DCL143" s="21"/>
      <c r="DCM143" s="21"/>
      <c r="DCN143" s="21"/>
      <c r="DCO143" s="21"/>
      <c r="DCP143" s="21"/>
      <c r="DCQ143" s="21"/>
      <c r="DCR143" s="21"/>
      <c r="DCS143" s="21"/>
      <c r="DCT143" s="21"/>
      <c r="DCU143" s="21"/>
      <c r="DCV143" s="21"/>
      <c r="DCW143" s="21"/>
      <c r="DCX143" s="21"/>
      <c r="DCY143" s="21"/>
      <c r="DCZ143" s="21"/>
      <c r="DDA143" s="21"/>
      <c r="DDB143" s="21"/>
      <c r="DDC143" s="21"/>
      <c r="DDD143" s="21"/>
      <c r="DDE143" s="21"/>
      <c r="DDF143" s="21"/>
      <c r="DDG143" s="21"/>
      <c r="DDH143" s="21"/>
      <c r="DDI143" s="21"/>
      <c r="DDJ143" s="21"/>
      <c r="DDK143" s="21"/>
      <c r="DDL143" s="21"/>
      <c r="DDM143" s="21"/>
      <c r="DDN143" s="21"/>
      <c r="DDO143" s="21"/>
      <c r="DDP143" s="21"/>
      <c r="DDQ143" s="21"/>
      <c r="DDR143" s="21"/>
      <c r="DDS143" s="21"/>
      <c r="DDT143" s="21"/>
      <c r="DDU143" s="21"/>
      <c r="DDV143" s="21"/>
      <c r="DDW143" s="21"/>
      <c r="DDX143" s="21"/>
      <c r="DDY143" s="21"/>
      <c r="DDZ143" s="21"/>
      <c r="DEA143" s="21"/>
      <c r="DEB143" s="21"/>
      <c r="DEC143" s="21"/>
      <c r="DED143" s="21"/>
      <c r="DEE143" s="21"/>
      <c r="DEF143" s="21"/>
      <c r="DEG143" s="21"/>
      <c r="DEH143" s="21"/>
      <c r="DEI143" s="21"/>
      <c r="DEJ143" s="21"/>
      <c r="DEK143" s="21"/>
      <c r="DEL143" s="21"/>
      <c r="DEM143" s="21"/>
      <c r="DEN143" s="21"/>
      <c r="DEO143" s="21"/>
      <c r="DEP143" s="21"/>
      <c r="DEQ143" s="21"/>
      <c r="DER143" s="21"/>
      <c r="DES143" s="21"/>
      <c r="DET143" s="21"/>
      <c r="DEU143" s="21"/>
      <c r="DEV143" s="21"/>
      <c r="DEW143" s="21"/>
      <c r="DEX143" s="21"/>
      <c r="DEY143" s="21"/>
      <c r="DEZ143" s="21"/>
      <c r="DFA143" s="21"/>
      <c r="DFB143" s="21"/>
      <c r="DFC143" s="21"/>
      <c r="DFD143" s="21"/>
      <c r="DFE143" s="21"/>
      <c r="DFF143" s="21"/>
      <c r="DFG143" s="21"/>
      <c r="DFH143" s="21"/>
      <c r="DFI143" s="21"/>
      <c r="DFJ143" s="21"/>
      <c r="DFK143" s="21"/>
      <c r="DFL143" s="21"/>
      <c r="DFM143" s="21"/>
      <c r="DFN143" s="21"/>
      <c r="DFO143" s="21"/>
      <c r="DFP143" s="21"/>
      <c r="DFQ143" s="21"/>
      <c r="DFR143" s="21"/>
      <c r="DFS143" s="21"/>
      <c r="DFT143" s="21"/>
      <c r="DFU143" s="21"/>
      <c r="DFV143" s="21"/>
      <c r="DFW143" s="21"/>
      <c r="DFX143" s="21"/>
      <c r="DFY143" s="21"/>
      <c r="DFZ143" s="21"/>
      <c r="DGA143" s="21"/>
      <c r="DGB143" s="21"/>
      <c r="DGC143" s="21"/>
      <c r="DGD143" s="21"/>
      <c r="DGE143" s="21"/>
      <c r="DGF143" s="21"/>
      <c r="DGG143" s="21"/>
      <c r="DGH143" s="21"/>
      <c r="DGI143" s="21"/>
      <c r="DGJ143" s="21"/>
      <c r="DGK143" s="21"/>
      <c r="DGL143" s="21"/>
      <c r="DGM143" s="21"/>
      <c r="DGN143" s="21"/>
      <c r="DGO143" s="21"/>
      <c r="DGP143" s="21"/>
      <c r="DGQ143" s="21"/>
      <c r="DGR143" s="21"/>
      <c r="DGS143" s="21"/>
      <c r="DGT143" s="21"/>
      <c r="DGU143" s="21"/>
      <c r="DGV143" s="21"/>
      <c r="DGW143" s="21"/>
      <c r="DGX143" s="21"/>
      <c r="DGY143" s="21"/>
      <c r="DGZ143" s="21"/>
      <c r="DHA143" s="21"/>
      <c r="DHB143" s="21"/>
      <c r="DHC143" s="21"/>
      <c r="DHD143" s="21"/>
      <c r="DHE143" s="21"/>
      <c r="DHF143" s="21"/>
      <c r="DHG143" s="21"/>
      <c r="DHH143" s="21"/>
      <c r="DHI143" s="21"/>
      <c r="DHJ143" s="21"/>
      <c r="DHK143" s="21"/>
      <c r="DHL143" s="21"/>
      <c r="DHM143" s="21"/>
      <c r="DHN143" s="21"/>
      <c r="DHO143" s="21"/>
      <c r="DHP143" s="21"/>
      <c r="DHQ143" s="21"/>
      <c r="DHR143" s="21"/>
      <c r="DHS143" s="21"/>
      <c r="DHT143" s="21"/>
      <c r="DHU143" s="21"/>
      <c r="DHV143" s="21"/>
      <c r="DHW143" s="21"/>
      <c r="DHX143" s="21"/>
      <c r="DHY143" s="21"/>
      <c r="DHZ143" s="21"/>
      <c r="DIA143" s="21"/>
      <c r="DIB143" s="21"/>
      <c r="DIC143" s="21"/>
      <c r="DID143" s="21"/>
      <c r="DIE143" s="21"/>
      <c r="DIF143" s="21"/>
      <c r="DIG143" s="21"/>
      <c r="DIH143" s="21"/>
      <c r="DII143" s="21"/>
      <c r="DIJ143" s="21"/>
      <c r="DIK143" s="21"/>
      <c r="DIL143" s="21"/>
      <c r="DIM143" s="21"/>
      <c r="DIN143" s="21"/>
      <c r="DIO143" s="21"/>
      <c r="DIP143" s="21"/>
      <c r="DIQ143" s="21"/>
      <c r="DIR143" s="21"/>
      <c r="DIS143" s="21"/>
      <c r="DIT143" s="21"/>
      <c r="DIU143" s="21"/>
      <c r="DIV143" s="21"/>
      <c r="DIW143" s="21"/>
      <c r="DIX143" s="21"/>
      <c r="DIY143" s="21"/>
      <c r="DIZ143" s="21"/>
      <c r="DJA143" s="21"/>
      <c r="DJB143" s="21"/>
      <c r="DJC143" s="21"/>
      <c r="DJD143" s="21"/>
      <c r="DJE143" s="21"/>
      <c r="DJF143" s="21"/>
      <c r="DJG143" s="21"/>
      <c r="DJH143" s="21"/>
      <c r="DJI143" s="21"/>
      <c r="DJJ143" s="21"/>
      <c r="DJK143" s="21"/>
      <c r="DJL143" s="21"/>
      <c r="DJM143" s="21"/>
      <c r="DJN143" s="21"/>
      <c r="DJO143" s="21"/>
      <c r="DJP143" s="21"/>
      <c r="DJQ143" s="21"/>
      <c r="DJR143" s="21"/>
      <c r="DJS143" s="21"/>
      <c r="DJT143" s="21"/>
      <c r="DJU143" s="21"/>
      <c r="DJV143" s="21"/>
      <c r="DJW143" s="21"/>
      <c r="DJX143" s="21"/>
      <c r="DJY143" s="21"/>
      <c r="DJZ143" s="21"/>
      <c r="DKA143" s="21"/>
      <c r="DKB143" s="21"/>
      <c r="DKC143" s="21"/>
      <c r="DKD143" s="21"/>
      <c r="DKE143" s="21"/>
      <c r="DKF143" s="21"/>
      <c r="DKG143" s="21"/>
      <c r="DKH143" s="21"/>
      <c r="DKI143" s="21"/>
      <c r="DKJ143" s="21"/>
      <c r="DKK143" s="21"/>
      <c r="DKL143" s="21"/>
      <c r="DKM143" s="21"/>
      <c r="DKN143" s="21"/>
      <c r="DKO143" s="21"/>
      <c r="DKP143" s="21"/>
      <c r="DKQ143" s="21"/>
      <c r="DKR143" s="21"/>
      <c r="DKS143" s="21"/>
      <c r="DKT143" s="21"/>
      <c r="DKU143" s="21"/>
      <c r="DKV143" s="21"/>
      <c r="DKW143" s="21"/>
      <c r="DKX143" s="21"/>
      <c r="DKY143" s="21"/>
      <c r="DKZ143" s="21"/>
      <c r="DLA143" s="21"/>
      <c r="DLB143" s="21"/>
      <c r="DLC143" s="21"/>
      <c r="DLD143" s="21"/>
      <c r="DLE143" s="21"/>
      <c r="DLF143" s="21"/>
      <c r="DLG143" s="21"/>
      <c r="DLH143" s="21"/>
      <c r="DLI143" s="21"/>
      <c r="DLJ143" s="21"/>
      <c r="DLK143" s="21"/>
      <c r="DLL143" s="21"/>
      <c r="DLM143" s="21"/>
      <c r="DLN143" s="21"/>
      <c r="DLO143" s="21"/>
      <c r="DLP143" s="21"/>
      <c r="DLQ143" s="21"/>
      <c r="DLR143" s="21"/>
      <c r="DLS143" s="21"/>
      <c r="DLT143" s="21"/>
      <c r="DLU143" s="21"/>
      <c r="DLV143" s="21"/>
      <c r="DLW143" s="21"/>
      <c r="DLX143" s="21"/>
      <c r="DLY143" s="21"/>
      <c r="DLZ143" s="21"/>
      <c r="DMA143" s="21"/>
      <c r="DMB143" s="21"/>
      <c r="DMC143" s="21"/>
      <c r="DMD143" s="21"/>
      <c r="DME143" s="21"/>
      <c r="DMF143" s="21"/>
      <c r="DMG143" s="21"/>
      <c r="DMH143" s="21"/>
      <c r="DMI143" s="21"/>
      <c r="DMJ143" s="21"/>
      <c r="DMK143" s="21"/>
      <c r="DML143" s="21"/>
      <c r="DMM143" s="21"/>
      <c r="DMN143" s="21"/>
      <c r="DMO143" s="21"/>
      <c r="DMP143" s="21"/>
      <c r="DMQ143" s="21"/>
      <c r="DMR143" s="21"/>
      <c r="DMS143" s="21"/>
      <c r="DMT143" s="21"/>
      <c r="DMU143" s="21"/>
      <c r="DMV143" s="21"/>
      <c r="DMW143" s="21"/>
      <c r="DMX143" s="21"/>
      <c r="DMY143" s="21"/>
      <c r="DMZ143" s="21"/>
      <c r="DNA143" s="21"/>
      <c r="DNB143" s="21"/>
      <c r="DNC143" s="21"/>
      <c r="DND143" s="21"/>
      <c r="DNE143" s="21"/>
      <c r="DNF143" s="21"/>
      <c r="DNG143" s="21"/>
      <c r="DNH143" s="21"/>
      <c r="DNI143" s="21"/>
      <c r="DNJ143" s="21"/>
      <c r="DNK143" s="21"/>
      <c r="DNL143" s="21"/>
      <c r="DNM143" s="21"/>
      <c r="DNN143" s="21"/>
      <c r="DNO143" s="21"/>
      <c r="DNP143" s="21"/>
      <c r="DNQ143" s="21"/>
      <c r="DNR143" s="21"/>
      <c r="DNS143" s="21"/>
      <c r="DNT143" s="21"/>
      <c r="DNU143" s="21"/>
      <c r="DNV143" s="21"/>
      <c r="DNW143" s="21"/>
      <c r="DNX143" s="21"/>
      <c r="DNY143" s="21"/>
      <c r="DNZ143" s="21"/>
      <c r="DOA143" s="21"/>
      <c r="DOB143" s="21"/>
      <c r="DOC143" s="21"/>
      <c r="DOD143" s="21"/>
      <c r="DOE143" s="21"/>
      <c r="DOF143" s="21"/>
      <c r="DOG143" s="21"/>
      <c r="DOH143" s="21"/>
      <c r="DOI143" s="21"/>
      <c r="DOJ143" s="21"/>
      <c r="DOK143" s="21"/>
      <c r="DOL143" s="21"/>
      <c r="DOM143" s="21"/>
      <c r="DON143" s="21"/>
      <c r="DOO143" s="21"/>
      <c r="DOP143" s="21"/>
      <c r="DOQ143" s="21"/>
      <c r="DOR143" s="21"/>
      <c r="DOS143" s="21"/>
      <c r="DOT143" s="21"/>
      <c r="DOU143" s="21"/>
      <c r="DOV143" s="21"/>
      <c r="DOW143" s="21"/>
      <c r="DOX143" s="21"/>
      <c r="DOY143" s="21"/>
      <c r="DOZ143" s="21"/>
      <c r="DPA143" s="21"/>
      <c r="DPB143" s="21"/>
      <c r="DPC143" s="21"/>
      <c r="DPD143" s="21"/>
      <c r="DPE143" s="21"/>
      <c r="DPF143" s="21"/>
      <c r="DPG143" s="21"/>
      <c r="DPH143" s="21"/>
      <c r="DPI143" s="21"/>
      <c r="DPJ143" s="21"/>
      <c r="DPK143" s="21"/>
      <c r="DPL143" s="21"/>
      <c r="DPM143" s="21"/>
      <c r="DPN143" s="21"/>
      <c r="DPO143" s="21"/>
      <c r="DPP143" s="21"/>
      <c r="DPQ143" s="21"/>
      <c r="DPR143" s="21"/>
      <c r="DPS143" s="21"/>
      <c r="DPT143" s="21"/>
      <c r="DPU143" s="21"/>
      <c r="DPV143" s="21"/>
      <c r="DPW143" s="21"/>
      <c r="DPX143" s="21"/>
      <c r="DPY143" s="21"/>
      <c r="DPZ143" s="21"/>
      <c r="DQA143" s="21"/>
      <c r="DQB143" s="21"/>
      <c r="DQC143" s="21"/>
      <c r="DQD143" s="21"/>
      <c r="DQE143" s="21"/>
      <c r="DQF143" s="21"/>
      <c r="DQG143" s="21"/>
      <c r="DQH143" s="21"/>
      <c r="DQI143" s="21"/>
      <c r="DQJ143" s="21"/>
      <c r="DQK143" s="21"/>
      <c r="DQL143" s="21"/>
      <c r="DQM143" s="21"/>
      <c r="DQN143" s="21"/>
      <c r="DQO143" s="21"/>
      <c r="DQP143" s="21"/>
      <c r="DQQ143" s="21"/>
      <c r="DQR143" s="21"/>
      <c r="DQS143" s="21"/>
      <c r="DQT143" s="21"/>
      <c r="DQU143" s="21"/>
      <c r="DQV143" s="21"/>
      <c r="DQW143" s="21"/>
      <c r="DQX143" s="21"/>
      <c r="DQY143" s="21"/>
      <c r="DQZ143" s="21"/>
      <c r="DRA143" s="21"/>
      <c r="DRB143" s="21"/>
      <c r="DRC143" s="21"/>
      <c r="DRD143" s="21"/>
      <c r="DRE143" s="21"/>
      <c r="DRF143" s="21"/>
      <c r="DRG143" s="21"/>
      <c r="DRH143" s="21"/>
      <c r="DRI143" s="21"/>
      <c r="DRJ143" s="21"/>
      <c r="DRK143" s="21"/>
      <c r="DRL143" s="21"/>
      <c r="DRM143" s="21"/>
      <c r="DRN143" s="21"/>
      <c r="DRO143" s="21"/>
      <c r="DRP143" s="21"/>
      <c r="DRQ143" s="21"/>
      <c r="DRR143" s="21"/>
      <c r="DRS143" s="21"/>
      <c r="DRT143" s="21"/>
      <c r="DRU143" s="21"/>
      <c r="DRV143" s="21"/>
      <c r="DRW143" s="21"/>
      <c r="DRX143" s="21"/>
      <c r="DRY143" s="21"/>
      <c r="DRZ143" s="21"/>
      <c r="DSA143" s="21"/>
      <c r="DSB143" s="21"/>
      <c r="DSC143" s="21"/>
      <c r="DSD143" s="21"/>
      <c r="DSE143" s="21"/>
      <c r="DSF143" s="21"/>
      <c r="DSG143" s="21"/>
      <c r="DSH143" s="21"/>
      <c r="DSI143" s="21"/>
      <c r="DSJ143" s="21"/>
      <c r="DSK143" s="21"/>
      <c r="DSL143" s="21"/>
      <c r="DSM143" s="21"/>
      <c r="DSN143" s="21"/>
      <c r="DSO143" s="21"/>
      <c r="DSP143" s="21"/>
      <c r="DSQ143" s="21"/>
      <c r="DSR143" s="21"/>
      <c r="DSS143" s="21"/>
      <c r="DST143" s="21"/>
      <c r="DSU143" s="21"/>
      <c r="DSV143" s="21"/>
      <c r="DSW143" s="21"/>
      <c r="DSX143" s="21"/>
      <c r="DSY143" s="21"/>
      <c r="DSZ143" s="21"/>
      <c r="DTA143" s="21"/>
      <c r="DTB143" s="21"/>
      <c r="DTC143" s="21"/>
      <c r="DTD143" s="21"/>
      <c r="DTE143" s="21"/>
      <c r="DTF143" s="21"/>
      <c r="DTG143" s="21"/>
      <c r="DTH143" s="21"/>
      <c r="DTI143" s="21"/>
      <c r="DTJ143" s="21"/>
      <c r="DTK143" s="21"/>
      <c r="DTL143" s="21"/>
      <c r="DTM143" s="21"/>
      <c r="DTN143" s="21"/>
      <c r="DTO143" s="21"/>
      <c r="DTP143" s="21"/>
      <c r="DTQ143" s="21"/>
      <c r="DTR143" s="21"/>
      <c r="DTS143" s="21"/>
      <c r="DTT143" s="21"/>
      <c r="DTU143" s="21"/>
      <c r="DTV143" s="21"/>
      <c r="DTW143" s="21"/>
      <c r="DTX143" s="21"/>
      <c r="DTY143" s="21"/>
      <c r="DTZ143" s="21"/>
      <c r="DUA143" s="21"/>
      <c r="DUB143" s="21"/>
      <c r="DUC143" s="21"/>
      <c r="DUD143" s="21"/>
      <c r="DUE143" s="21"/>
      <c r="DUF143" s="21"/>
      <c r="DUG143" s="21"/>
      <c r="DUH143" s="21"/>
      <c r="DUI143" s="21"/>
      <c r="DUJ143" s="21"/>
      <c r="DUK143" s="21"/>
      <c r="DUL143" s="21"/>
      <c r="DUM143" s="21"/>
      <c r="DUN143" s="21"/>
      <c r="DUO143" s="21"/>
      <c r="DUP143" s="21"/>
      <c r="DUQ143" s="21"/>
      <c r="DUR143" s="21"/>
      <c r="DUS143" s="21"/>
      <c r="DUT143" s="21"/>
      <c r="DUU143" s="21"/>
      <c r="DUV143" s="21"/>
      <c r="DUW143" s="21"/>
      <c r="DUX143" s="21"/>
      <c r="DUY143" s="21"/>
      <c r="DUZ143" s="21"/>
      <c r="DVA143" s="21"/>
      <c r="DVB143" s="21"/>
      <c r="DVC143" s="21"/>
      <c r="DVD143" s="21"/>
      <c r="DVE143" s="21"/>
      <c r="DVF143" s="21"/>
      <c r="DVG143" s="21"/>
      <c r="DVH143" s="21"/>
      <c r="DVI143" s="21"/>
      <c r="DVJ143" s="21"/>
      <c r="DVK143" s="21"/>
      <c r="DVL143" s="21"/>
      <c r="DVM143" s="21"/>
      <c r="DVN143" s="21"/>
      <c r="DVO143" s="21"/>
      <c r="DVP143" s="21"/>
      <c r="DVQ143" s="21"/>
      <c r="DVR143" s="21"/>
      <c r="DVS143" s="21"/>
      <c r="DVT143" s="21"/>
      <c r="DVU143" s="21"/>
      <c r="DVV143" s="21"/>
      <c r="DVW143" s="21"/>
      <c r="DVX143" s="21"/>
      <c r="DVY143" s="21"/>
      <c r="DVZ143" s="21"/>
      <c r="DWA143" s="21"/>
      <c r="DWB143" s="21"/>
      <c r="DWC143" s="21"/>
      <c r="DWD143" s="21"/>
      <c r="DWE143" s="21"/>
      <c r="DWF143" s="21"/>
      <c r="DWG143" s="21"/>
      <c r="DWH143" s="21"/>
      <c r="DWI143" s="21"/>
      <c r="DWJ143" s="21"/>
      <c r="DWK143" s="21"/>
      <c r="DWL143" s="21"/>
      <c r="DWM143" s="21"/>
      <c r="DWN143" s="21"/>
      <c r="DWO143" s="21"/>
      <c r="DWP143" s="21"/>
      <c r="DWQ143" s="21"/>
      <c r="DWR143" s="21"/>
      <c r="DWS143" s="21"/>
      <c r="DWT143" s="21"/>
      <c r="DWU143" s="21"/>
      <c r="DWV143" s="21"/>
      <c r="DWW143" s="21"/>
      <c r="DWX143" s="21"/>
      <c r="DWY143" s="21"/>
      <c r="DWZ143" s="21"/>
      <c r="DXA143" s="21"/>
      <c r="DXB143" s="21"/>
      <c r="DXC143" s="21"/>
      <c r="DXD143" s="21"/>
      <c r="DXE143" s="21"/>
      <c r="DXF143" s="21"/>
      <c r="DXG143" s="21"/>
      <c r="DXH143" s="21"/>
      <c r="DXI143" s="21"/>
      <c r="DXJ143" s="21"/>
      <c r="DXK143" s="21"/>
      <c r="DXL143" s="21"/>
      <c r="DXM143" s="21"/>
      <c r="DXN143" s="21"/>
      <c r="DXO143" s="21"/>
      <c r="DXP143" s="21"/>
      <c r="DXQ143" s="21"/>
      <c r="DXR143" s="21"/>
      <c r="DXS143" s="21"/>
      <c r="DXT143" s="21"/>
      <c r="DXU143" s="21"/>
      <c r="DXV143" s="21"/>
      <c r="DXW143" s="21"/>
      <c r="DXX143" s="21"/>
      <c r="DXY143" s="21"/>
      <c r="DXZ143" s="21"/>
      <c r="DYA143" s="21"/>
      <c r="DYB143" s="21"/>
      <c r="DYC143" s="21"/>
      <c r="DYD143" s="21"/>
      <c r="DYE143" s="21"/>
      <c r="DYF143" s="21"/>
      <c r="DYG143" s="21"/>
      <c r="DYH143" s="21"/>
      <c r="DYI143" s="21"/>
      <c r="DYJ143" s="21"/>
      <c r="DYK143" s="21"/>
      <c r="DYL143" s="21"/>
      <c r="DYM143" s="21"/>
      <c r="DYN143" s="21"/>
      <c r="DYO143" s="21"/>
      <c r="DYP143" s="21"/>
      <c r="DYQ143" s="21"/>
      <c r="DYR143" s="21"/>
      <c r="DYS143" s="21"/>
      <c r="DYT143" s="21"/>
      <c r="DYU143" s="21"/>
      <c r="DYV143" s="21"/>
      <c r="DYW143" s="21"/>
      <c r="DYX143" s="21"/>
      <c r="DYY143" s="21"/>
      <c r="DYZ143" s="21"/>
      <c r="DZA143" s="21"/>
      <c r="DZB143" s="21"/>
      <c r="DZC143" s="21"/>
      <c r="DZD143" s="21"/>
      <c r="DZE143" s="21"/>
      <c r="DZF143" s="21"/>
      <c r="DZG143" s="21"/>
      <c r="DZH143" s="21"/>
      <c r="DZI143" s="21"/>
      <c r="DZJ143" s="21"/>
      <c r="DZK143" s="21"/>
      <c r="DZL143" s="21"/>
      <c r="DZM143" s="21"/>
      <c r="DZN143" s="21"/>
      <c r="DZO143" s="21"/>
      <c r="DZP143" s="21"/>
      <c r="DZQ143" s="21"/>
      <c r="DZR143" s="21"/>
      <c r="DZS143" s="21"/>
      <c r="DZT143" s="21"/>
      <c r="DZU143" s="21"/>
      <c r="DZV143" s="21"/>
      <c r="DZW143" s="21"/>
      <c r="DZX143" s="21"/>
      <c r="DZY143" s="21"/>
      <c r="DZZ143" s="21"/>
      <c r="EAA143" s="21"/>
      <c r="EAB143" s="21"/>
      <c r="EAC143" s="21"/>
      <c r="EAD143" s="21"/>
      <c r="EAE143" s="21"/>
      <c r="EAF143" s="21"/>
      <c r="EAG143" s="21"/>
      <c r="EAH143" s="21"/>
      <c r="EAI143" s="21"/>
      <c r="EAJ143" s="21"/>
      <c r="EAK143" s="21"/>
      <c r="EAL143" s="21"/>
      <c r="EAM143" s="21"/>
      <c r="EAN143" s="21"/>
      <c r="EAO143" s="21"/>
      <c r="EAP143" s="21"/>
      <c r="EAQ143" s="21"/>
      <c r="EAR143" s="21"/>
      <c r="EAS143" s="21"/>
      <c r="EAT143" s="21"/>
      <c r="EAU143" s="21"/>
      <c r="EAV143" s="21"/>
      <c r="EAW143" s="21"/>
      <c r="EAX143" s="21"/>
      <c r="EAY143" s="21"/>
      <c r="EAZ143" s="21"/>
      <c r="EBA143" s="21"/>
      <c r="EBB143" s="21"/>
      <c r="EBC143" s="21"/>
      <c r="EBD143" s="21"/>
      <c r="EBE143" s="21"/>
      <c r="EBF143" s="21"/>
      <c r="EBG143" s="21"/>
      <c r="EBH143" s="21"/>
      <c r="EBI143" s="21"/>
      <c r="EBJ143" s="21"/>
      <c r="EBK143" s="21"/>
      <c r="EBL143" s="21"/>
      <c r="EBM143" s="21"/>
      <c r="EBN143" s="21"/>
      <c r="EBO143" s="21"/>
      <c r="EBP143" s="21"/>
      <c r="EBQ143" s="21"/>
      <c r="EBR143" s="21"/>
      <c r="EBS143" s="21"/>
      <c r="EBT143" s="21"/>
      <c r="EBU143" s="21"/>
      <c r="EBV143" s="21"/>
      <c r="EBW143" s="21"/>
      <c r="EBX143" s="21"/>
      <c r="EBY143" s="21"/>
      <c r="EBZ143" s="21"/>
      <c r="ECA143" s="21"/>
      <c r="ECB143" s="21"/>
      <c r="ECC143" s="21"/>
      <c r="ECD143" s="21"/>
      <c r="ECE143" s="21"/>
      <c r="ECF143" s="21"/>
      <c r="ECG143" s="21"/>
      <c r="ECH143" s="21"/>
      <c r="ECI143" s="21"/>
      <c r="ECJ143" s="21"/>
      <c r="ECK143" s="21"/>
      <c r="ECL143" s="21"/>
      <c r="ECM143" s="21"/>
      <c r="ECN143" s="21"/>
      <c r="ECO143" s="21"/>
      <c r="ECP143" s="21"/>
      <c r="ECQ143" s="21"/>
      <c r="ECR143" s="21"/>
      <c r="ECS143" s="21"/>
      <c r="ECT143" s="21"/>
      <c r="ECU143" s="21"/>
      <c r="ECV143" s="21"/>
      <c r="ECW143" s="21"/>
      <c r="ECX143" s="21"/>
      <c r="ECY143" s="21"/>
      <c r="ECZ143" s="21"/>
      <c r="EDA143" s="21"/>
      <c r="EDB143" s="21"/>
      <c r="EDC143" s="21"/>
      <c r="EDD143" s="21"/>
      <c r="EDE143" s="21"/>
      <c r="EDF143" s="21"/>
      <c r="EDG143" s="21"/>
      <c r="EDH143" s="21"/>
      <c r="EDI143" s="21"/>
      <c r="EDJ143" s="21"/>
      <c r="EDK143" s="21"/>
      <c r="EDL143" s="21"/>
      <c r="EDM143" s="21"/>
      <c r="EDN143" s="21"/>
      <c r="EDO143" s="21"/>
      <c r="EDP143" s="21"/>
      <c r="EDQ143" s="21"/>
      <c r="EDR143" s="21"/>
      <c r="EDS143" s="21"/>
      <c r="EDT143" s="21"/>
      <c r="EDU143" s="21"/>
      <c r="EDV143" s="21"/>
      <c r="EDW143" s="21"/>
      <c r="EDX143" s="21"/>
      <c r="EDY143" s="21"/>
      <c r="EDZ143" s="21"/>
      <c r="EEA143" s="21"/>
      <c r="EEB143" s="21"/>
      <c r="EEC143" s="21"/>
      <c r="EED143" s="21"/>
      <c r="EEE143" s="21"/>
      <c r="EEF143" s="21"/>
      <c r="EEG143" s="21"/>
      <c r="EEH143" s="21"/>
      <c r="EEI143" s="21"/>
      <c r="EEJ143" s="21"/>
      <c r="EEK143" s="21"/>
      <c r="EEL143" s="21"/>
      <c r="EEM143" s="21"/>
      <c r="EEN143" s="21"/>
      <c r="EEO143" s="21"/>
      <c r="EEP143" s="21"/>
      <c r="EEQ143" s="21"/>
      <c r="EER143" s="21"/>
      <c r="EES143" s="21"/>
      <c r="EET143" s="21"/>
      <c r="EEU143" s="21"/>
      <c r="EEV143" s="21"/>
      <c r="EEW143" s="21"/>
      <c r="EEX143" s="21"/>
      <c r="EEY143" s="21"/>
      <c r="EEZ143" s="21"/>
      <c r="EFA143" s="21"/>
      <c r="EFB143" s="21"/>
      <c r="EFC143" s="21"/>
      <c r="EFD143" s="21"/>
      <c r="EFE143" s="21"/>
      <c r="EFF143" s="21"/>
      <c r="EFG143" s="21"/>
      <c r="EFH143" s="21"/>
      <c r="EFI143" s="21"/>
      <c r="EFJ143" s="21"/>
      <c r="EFK143" s="21"/>
      <c r="EFL143" s="21"/>
      <c r="EFM143" s="21"/>
      <c r="EFN143" s="21"/>
      <c r="EFO143" s="21"/>
      <c r="EFP143" s="21"/>
      <c r="EFQ143" s="21"/>
      <c r="EFR143" s="21"/>
      <c r="EFS143" s="21"/>
      <c r="EFT143" s="21"/>
      <c r="EFU143" s="21"/>
      <c r="EFV143" s="21"/>
      <c r="EFW143" s="21"/>
      <c r="EFX143" s="21"/>
      <c r="EFY143" s="21"/>
      <c r="EFZ143" s="21"/>
      <c r="EGA143" s="21"/>
      <c r="EGB143" s="21"/>
      <c r="EGC143" s="21"/>
      <c r="EGD143" s="21"/>
      <c r="EGE143" s="21"/>
      <c r="EGF143" s="21"/>
      <c r="EGG143" s="21"/>
      <c r="EGH143" s="21"/>
      <c r="EGI143" s="21"/>
      <c r="EGJ143" s="21"/>
      <c r="EGK143" s="21"/>
      <c r="EGL143" s="21"/>
      <c r="EGM143" s="21"/>
      <c r="EGN143" s="21"/>
      <c r="EGO143" s="21"/>
      <c r="EGP143" s="21"/>
      <c r="EGQ143" s="21"/>
      <c r="EGR143" s="21"/>
      <c r="EGS143" s="21"/>
      <c r="EGT143" s="21"/>
      <c r="EGU143" s="21"/>
      <c r="EGV143" s="21"/>
      <c r="EGW143" s="21"/>
      <c r="EGX143" s="21"/>
      <c r="EGY143" s="21"/>
      <c r="EGZ143" s="21"/>
      <c r="EHA143" s="21"/>
      <c r="EHB143" s="21"/>
      <c r="EHC143" s="21"/>
      <c r="EHD143" s="21"/>
      <c r="EHE143" s="21"/>
      <c r="EHF143" s="21"/>
      <c r="EHG143" s="21"/>
      <c r="EHH143" s="21"/>
      <c r="EHI143" s="21"/>
      <c r="EHJ143" s="21"/>
      <c r="EHK143" s="21"/>
      <c r="EHL143" s="21"/>
      <c r="EHM143" s="21"/>
      <c r="EHN143" s="21"/>
      <c r="EHO143" s="21"/>
      <c r="EHP143" s="21"/>
      <c r="EHQ143" s="21"/>
      <c r="EHR143" s="21"/>
      <c r="EHS143" s="21"/>
      <c r="EHT143" s="21"/>
      <c r="EHU143" s="21"/>
      <c r="EHV143" s="21"/>
      <c r="EHW143" s="21"/>
      <c r="EHX143" s="21"/>
      <c r="EHY143" s="21"/>
      <c r="EHZ143" s="21"/>
      <c r="EIA143" s="21"/>
      <c r="EIB143" s="21"/>
      <c r="EIC143" s="21"/>
      <c r="EID143" s="21"/>
      <c r="EIE143" s="21"/>
      <c r="EIF143" s="21"/>
      <c r="EIG143" s="21"/>
      <c r="EIH143" s="21"/>
      <c r="EII143" s="21"/>
      <c r="EIJ143" s="21"/>
      <c r="EIK143" s="21"/>
      <c r="EIL143" s="21"/>
      <c r="EIM143" s="21"/>
      <c r="EIN143" s="21"/>
      <c r="EIO143" s="21"/>
      <c r="EIP143" s="21"/>
      <c r="EIQ143" s="21"/>
      <c r="EIR143" s="21"/>
      <c r="EIS143" s="21"/>
      <c r="EIT143" s="21"/>
      <c r="EIU143" s="21"/>
      <c r="EIV143" s="21"/>
      <c r="EIW143" s="21"/>
      <c r="EIX143" s="21"/>
      <c r="EIY143" s="21"/>
      <c r="EIZ143" s="21"/>
      <c r="EJA143" s="21"/>
      <c r="EJB143" s="21"/>
      <c r="EJC143" s="21"/>
      <c r="EJD143" s="21"/>
      <c r="EJE143" s="21"/>
      <c r="EJF143" s="21"/>
      <c r="EJG143" s="21"/>
      <c r="EJH143" s="21"/>
      <c r="EJI143" s="21"/>
      <c r="EJJ143" s="21"/>
      <c r="EJK143" s="21"/>
      <c r="EJL143" s="21"/>
      <c r="EJM143" s="21"/>
      <c r="EJN143" s="21"/>
      <c r="EJO143" s="21"/>
      <c r="EJP143" s="21"/>
      <c r="EJQ143" s="21"/>
      <c r="EJR143" s="21"/>
      <c r="EJS143" s="21"/>
      <c r="EJT143" s="21"/>
      <c r="EJU143" s="21"/>
      <c r="EJV143" s="21"/>
      <c r="EJW143" s="21"/>
      <c r="EJX143" s="21"/>
      <c r="EJY143" s="21"/>
      <c r="EJZ143" s="21"/>
      <c r="EKA143" s="21"/>
      <c r="EKB143" s="21"/>
      <c r="EKC143" s="21"/>
      <c r="EKD143" s="21"/>
      <c r="EKE143" s="21"/>
      <c r="EKF143" s="21"/>
      <c r="EKG143" s="21"/>
      <c r="EKH143" s="21"/>
      <c r="EKI143" s="21"/>
      <c r="EKJ143" s="21"/>
      <c r="EKK143" s="21"/>
      <c r="EKL143" s="21"/>
      <c r="EKM143" s="21"/>
      <c r="EKN143" s="21"/>
      <c r="EKO143" s="21"/>
      <c r="EKP143" s="21"/>
      <c r="EKQ143" s="21"/>
      <c r="EKR143" s="21"/>
      <c r="EKS143" s="21"/>
      <c r="EKT143" s="21"/>
      <c r="EKU143" s="21"/>
      <c r="EKV143" s="21"/>
      <c r="EKW143" s="21"/>
      <c r="EKX143" s="21"/>
      <c r="EKY143" s="21"/>
      <c r="EKZ143" s="21"/>
      <c r="ELA143" s="21"/>
      <c r="ELB143" s="21"/>
      <c r="ELC143" s="21"/>
      <c r="ELD143" s="21"/>
      <c r="ELE143" s="21"/>
      <c r="ELF143" s="21"/>
      <c r="ELG143" s="21"/>
      <c r="ELH143" s="21"/>
      <c r="ELI143" s="21"/>
      <c r="ELJ143" s="21"/>
      <c r="ELK143" s="21"/>
      <c r="ELL143" s="21"/>
      <c r="ELM143" s="21"/>
      <c r="ELN143" s="21"/>
      <c r="ELO143" s="21"/>
      <c r="ELP143" s="21"/>
      <c r="ELQ143" s="21"/>
      <c r="ELR143" s="21"/>
      <c r="ELS143" s="21"/>
      <c r="ELT143" s="21"/>
      <c r="ELU143" s="21"/>
      <c r="ELV143" s="21"/>
      <c r="ELW143" s="21"/>
      <c r="ELX143" s="21"/>
      <c r="ELY143" s="21"/>
      <c r="ELZ143" s="21"/>
      <c r="EMA143" s="21"/>
      <c r="EMB143" s="21"/>
      <c r="EMC143" s="21"/>
      <c r="EMD143" s="21"/>
      <c r="EME143" s="21"/>
      <c r="EMF143" s="21"/>
      <c r="EMG143" s="21"/>
      <c r="EMH143" s="21"/>
      <c r="EMI143" s="21"/>
      <c r="EMJ143" s="21"/>
      <c r="EMK143" s="21"/>
      <c r="EML143" s="21"/>
      <c r="EMM143" s="21"/>
      <c r="EMN143" s="21"/>
      <c r="EMO143" s="21"/>
      <c r="EMP143" s="21"/>
      <c r="EMQ143" s="21"/>
      <c r="EMR143" s="21"/>
      <c r="EMS143" s="21"/>
      <c r="EMT143" s="21"/>
      <c r="EMU143" s="21"/>
      <c r="EMV143" s="21"/>
      <c r="EMW143" s="21"/>
      <c r="EMX143" s="21"/>
      <c r="EMY143" s="21"/>
      <c r="EMZ143" s="21"/>
      <c r="ENA143" s="21"/>
      <c r="ENB143" s="21"/>
      <c r="ENC143" s="21"/>
      <c r="END143" s="21"/>
      <c r="ENE143" s="21"/>
      <c r="ENF143" s="21"/>
      <c r="ENG143" s="21"/>
      <c r="ENH143" s="21"/>
      <c r="ENI143" s="21"/>
      <c r="ENJ143" s="21"/>
      <c r="ENK143" s="21"/>
      <c r="ENL143" s="21"/>
      <c r="ENM143" s="21"/>
      <c r="ENN143" s="21"/>
      <c r="ENO143" s="21"/>
      <c r="ENP143" s="21"/>
      <c r="ENQ143" s="21"/>
      <c r="ENR143" s="21"/>
      <c r="ENS143" s="21"/>
      <c r="ENT143" s="21"/>
      <c r="ENU143" s="21"/>
      <c r="ENV143" s="21"/>
      <c r="ENW143" s="21"/>
      <c r="ENX143" s="21"/>
      <c r="ENY143" s="21"/>
      <c r="ENZ143" s="21"/>
      <c r="EOA143" s="21"/>
      <c r="EOB143" s="21"/>
      <c r="EOC143" s="21"/>
      <c r="EOD143" s="21"/>
      <c r="EOE143" s="21"/>
      <c r="EOF143" s="21"/>
      <c r="EOG143" s="21"/>
      <c r="EOH143" s="21"/>
      <c r="EOI143" s="21"/>
      <c r="EOJ143" s="21"/>
      <c r="EOK143" s="21"/>
      <c r="EOL143" s="21"/>
      <c r="EOM143" s="21"/>
      <c r="EON143" s="21"/>
      <c r="EOO143" s="21"/>
      <c r="EOP143" s="21"/>
      <c r="EOQ143" s="21"/>
      <c r="EOR143" s="21"/>
      <c r="EOS143" s="21"/>
      <c r="EOT143" s="21"/>
      <c r="EOU143" s="21"/>
      <c r="EOV143" s="21"/>
      <c r="EOW143" s="21"/>
      <c r="EOX143" s="21"/>
      <c r="EOY143" s="21"/>
      <c r="EOZ143" s="21"/>
      <c r="EPA143" s="21"/>
      <c r="EPB143" s="21"/>
      <c r="EPC143" s="21"/>
      <c r="EPD143" s="21"/>
      <c r="EPE143" s="21"/>
      <c r="EPF143" s="21"/>
      <c r="EPG143" s="21"/>
      <c r="EPH143" s="21"/>
      <c r="EPI143" s="21"/>
      <c r="EPJ143" s="21"/>
      <c r="EPK143" s="21"/>
      <c r="EPL143" s="21"/>
      <c r="EPM143" s="21"/>
      <c r="EPN143" s="21"/>
      <c r="EPO143" s="21"/>
      <c r="EPP143" s="21"/>
      <c r="EPQ143" s="21"/>
      <c r="EPR143" s="21"/>
      <c r="EPS143" s="21"/>
      <c r="EPT143" s="21"/>
      <c r="EPU143" s="21"/>
      <c r="EPV143" s="21"/>
      <c r="EPW143" s="21"/>
      <c r="EPX143" s="21"/>
      <c r="EPY143" s="21"/>
      <c r="EPZ143" s="21"/>
      <c r="EQA143" s="21"/>
      <c r="EQB143" s="21"/>
      <c r="EQC143" s="21"/>
      <c r="EQD143" s="21"/>
      <c r="EQE143" s="21"/>
      <c r="EQF143" s="21"/>
      <c r="EQG143" s="21"/>
      <c r="EQH143" s="21"/>
      <c r="EQI143" s="21"/>
      <c r="EQJ143" s="21"/>
      <c r="EQK143" s="21"/>
      <c r="EQL143" s="21"/>
      <c r="EQM143" s="21"/>
      <c r="EQN143" s="21"/>
      <c r="EQO143" s="21"/>
      <c r="EQP143" s="21"/>
      <c r="EQQ143" s="21"/>
      <c r="EQR143" s="21"/>
      <c r="EQS143" s="21"/>
      <c r="EQT143" s="21"/>
      <c r="EQU143" s="21"/>
      <c r="EQV143" s="21"/>
      <c r="EQW143" s="21"/>
      <c r="EQX143" s="21"/>
      <c r="EQY143" s="21"/>
      <c r="EQZ143" s="21"/>
      <c r="ERA143" s="21"/>
      <c r="ERB143" s="21"/>
      <c r="ERC143" s="21"/>
      <c r="ERD143" s="21"/>
      <c r="ERE143" s="21"/>
      <c r="ERF143" s="21"/>
      <c r="ERG143" s="21"/>
      <c r="ERH143" s="21"/>
      <c r="ERI143" s="21"/>
      <c r="ERJ143" s="21"/>
      <c r="ERK143" s="21"/>
      <c r="ERL143" s="21"/>
      <c r="ERM143" s="21"/>
      <c r="ERN143" s="21"/>
      <c r="ERO143" s="21"/>
      <c r="ERP143" s="21"/>
      <c r="ERQ143" s="21"/>
      <c r="ERR143" s="21"/>
      <c r="ERS143" s="21"/>
      <c r="ERT143" s="21"/>
      <c r="ERU143" s="21"/>
      <c r="ERV143" s="21"/>
      <c r="ERW143" s="21"/>
      <c r="ERX143" s="21"/>
      <c r="ERY143" s="21"/>
      <c r="ERZ143" s="21"/>
      <c r="ESA143" s="21"/>
      <c r="ESB143" s="21"/>
      <c r="ESC143" s="21"/>
      <c r="ESD143" s="21"/>
      <c r="ESE143" s="21"/>
      <c r="ESF143" s="21"/>
      <c r="ESG143" s="21"/>
      <c r="ESH143" s="21"/>
      <c r="ESI143" s="21"/>
      <c r="ESJ143" s="21"/>
      <c r="ESK143" s="21"/>
      <c r="ESL143" s="21"/>
      <c r="ESM143" s="21"/>
      <c r="ESN143" s="21"/>
      <c r="ESO143" s="21"/>
      <c r="ESP143" s="21"/>
      <c r="ESQ143" s="21"/>
      <c r="ESR143" s="21"/>
      <c r="ESS143" s="21"/>
      <c r="EST143" s="21"/>
      <c r="ESU143" s="21"/>
      <c r="ESV143" s="21"/>
      <c r="ESW143" s="21"/>
      <c r="ESX143" s="21"/>
      <c r="ESY143" s="21"/>
      <c r="ESZ143" s="21"/>
      <c r="ETA143" s="21"/>
      <c r="ETB143" s="21"/>
      <c r="ETC143" s="21"/>
      <c r="ETD143" s="21"/>
      <c r="ETE143" s="21"/>
      <c r="ETF143" s="21"/>
      <c r="ETG143" s="21"/>
      <c r="ETH143" s="21"/>
      <c r="ETI143" s="21"/>
      <c r="ETJ143" s="21"/>
      <c r="ETK143" s="21"/>
      <c r="ETL143" s="21"/>
      <c r="ETM143" s="21"/>
      <c r="ETN143" s="21"/>
      <c r="ETO143" s="21"/>
      <c r="ETP143" s="21"/>
      <c r="ETQ143" s="21"/>
      <c r="ETR143" s="21"/>
      <c r="ETS143" s="21"/>
      <c r="ETT143" s="21"/>
      <c r="ETU143" s="21"/>
      <c r="ETV143" s="21"/>
      <c r="ETW143" s="21"/>
      <c r="ETX143" s="21"/>
      <c r="ETY143" s="21"/>
      <c r="ETZ143" s="21"/>
      <c r="EUA143" s="21"/>
      <c r="EUB143" s="21"/>
      <c r="EUC143" s="21"/>
      <c r="EUD143" s="21"/>
      <c r="EUE143" s="21"/>
      <c r="EUF143" s="21"/>
      <c r="EUG143" s="21"/>
      <c r="EUH143" s="21"/>
      <c r="EUI143" s="21"/>
      <c r="EUJ143" s="21"/>
      <c r="EUK143" s="21"/>
      <c r="EUL143" s="21"/>
      <c r="EUM143" s="21"/>
      <c r="EUN143" s="21"/>
      <c r="EUO143" s="21"/>
      <c r="EUP143" s="21"/>
      <c r="EUQ143" s="21"/>
      <c r="EUR143" s="21"/>
      <c r="EUS143" s="21"/>
      <c r="EUT143" s="21"/>
      <c r="EUU143" s="21"/>
      <c r="EUV143" s="21"/>
      <c r="EUW143" s="21"/>
      <c r="EUX143" s="21"/>
      <c r="EUY143" s="21"/>
      <c r="EUZ143" s="21"/>
      <c r="EVA143" s="21"/>
      <c r="EVB143" s="21"/>
      <c r="EVC143" s="21"/>
      <c r="EVD143" s="21"/>
      <c r="EVE143" s="21"/>
      <c r="EVF143" s="21"/>
      <c r="EVG143" s="21"/>
      <c r="EVH143" s="21"/>
      <c r="EVI143" s="21"/>
      <c r="EVJ143" s="21"/>
      <c r="EVK143" s="21"/>
      <c r="EVL143" s="21"/>
      <c r="EVM143" s="21"/>
      <c r="EVN143" s="21"/>
      <c r="EVO143" s="21"/>
      <c r="EVP143" s="21"/>
      <c r="EVQ143" s="21"/>
      <c r="EVR143" s="21"/>
      <c r="EVS143" s="21"/>
      <c r="EVT143" s="21"/>
      <c r="EVU143" s="21"/>
      <c r="EVV143" s="21"/>
      <c r="EVW143" s="21"/>
      <c r="EVX143" s="21"/>
      <c r="EVY143" s="21"/>
      <c r="EVZ143" s="21"/>
      <c r="EWA143" s="21"/>
      <c r="EWB143" s="21"/>
      <c r="EWC143" s="21"/>
      <c r="EWD143" s="21"/>
      <c r="EWE143" s="21"/>
      <c r="EWF143" s="21"/>
      <c r="EWG143" s="21"/>
      <c r="EWH143" s="21"/>
      <c r="EWI143" s="21"/>
      <c r="EWJ143" s="21"/>
      <c r="EWK143" s="21"/>
      <c r="EWL143" s="21"/>
      <c r="EWM143" s="21"/>
      <c r="EWN143" s="21"/>
      <c r="EWO143" s="21"/>
      <c r="EWP143" s="21"/>
      <c r="EWQ143" s="21"/>
      <c r="EWR143" s="21"/>
      <c r="EWS143" s="21"/>
      <c r="EWT143" s="21"/>
      <c r="EWU143" s="21"/>
      <c r="EWV143" s="21"/>
      <c r="EWW143" s="21"/>
      <c r="EWX143" s="21"/>
      <c r="EWY143" s="21"/>
      <c r="EWZ143" s="21"/>
      <c r="EXA143" s="21"/>
      <c r="EXB143" s="21"/>
      <c r="EXC143" s="21"/>
      <c r="EXD143" s="21"/>
      <c r="EXE143" s="21"/>
      <c r="EXF143" s="21"/>
      <c r="EXG143" s="21"/>
      <c r="EXH143" s="21"/>
      <c r="EXI143" s="21"/>
      <c r="EXJ143" s="21"/>
      <c r="EXK143" s="21"/>
      <c r="EXL143" s="21"/>
      <c r="EXM143" s="21"/>
      <c r="EXN143" s="21"/>
      <c r="EXO143" s="21"/>
      <c r="EXP143" s="21"/>
      <c r="EXQ143" s="21"/>
      <c r="EXR143" s="21"/>
      <c r="EXS143" s="21"/>
      <c r="EXT143" s="21"/>
      <c r="EXU143" s="21"/>
      <c r="EXV143" s="21"/>
      <c r="EXW143" s="21"/>
      <c r="EXX143" s="21"/>
      <c r="EXY143" s="21"/>
      <c r="EXZ143" s="21"/>
      <c r="EYA143" s="21"/>
      <c r="EYB143" s="21"/>
      <c r="EYC143" s="21"/>
      <c r="EYD143" s="21"/>
      <c r="EYE143" s="21"/>
      <c r="EYF143" s="21"/>
      <c r="EYG143" s="21"/>
      <c r="EYH143" s="21"/>
      <c r="EYI143" s="21"/>
      <c r="EYJ143" s="21"/>
      <c r="EYK143" s="21"/>
      <c r="EYL143" s="21"/>
      <c r="EYM143" s="21"/>
      <c r="EYN143" s="21"/>
      <c r="EYO143" s="21"/>
      <c r="EYP143" s="21"/>
      <c r="EYQ143" s="21"/>
      <c r="EYR143" s="21"/>
      <c r="EYS143" s="21"/>
      <c r="EYT143" s="21"/>
      <c r="EYU143" s="21"/>
      <c r="EYV143" s="21"/>
      <c r="EYW143" s="21"/>
      <c r="EYX143" s="21"/>
      <c r="EYY143" s="21"/>
      <c r="EYZ143" s="21"/>
      <c r="EZA143" s="21"/>
      <c r="EZB143" s="21"/>
      <c r="EZC143" s="21"/>
      <c r="EZD143" s="21"/>
      <c r="EZE143" s="21"/>
      <c r="EZF143" s="21"/>
      <c r="EZG143" s="21"/>
      <c r="EZH143" s="21"/>
      <c r="EZI143" s="21"/>
      <c r="EZJ143" s="21"/>
      <c r="EZK143" s="21"/>
      <c r="EZL143" s="21"/>
      <c r="EZM143" s="21"/>
      <c r="EZN143" s="21"/>
      <c r="EZO143" s="21"/>
      <c r="EZP143" s="21"/>
      <c r="EZQ143" s="21"/>
      <c r="EZR143" s="21"/>
      <c r="EZS143" s="21"/>
      <c r="EZT143" s="21"/>
      <c r="EZU143" s="21"/>
      <c r="EZV143" s="21"/>
      <c r="EZW143" s="21"/>
      <c r="EZX143" s="21"/>
      <c r="EZY143" s="21"/>
      <c r="EZZ143" s="21"/>
      <c r="FAA143" s="21"/>
      <c r="FAB143" s="21"/>
      <c r="FAC143" s="21"/>
      <c r="FAD143" s="21"/>
      <c r="FAE143" s="21"/>
      <c r="FAF143" s="21"/>
      <c r="FAG143" s="21"/>
      <c r="FAH143" s="21"/>
      <c r="FAI143" s="21"/>
      <c r="FAJ143" s="21"/>
      <c r="FAK143" s="21"/>
      <c r="FAL143" s="21"/>
      <c r="FAM143" s="21"/>
      <c r="FAN143" s="21"/>
      <c r="FAO143" s="21"/>
      <c r="FAP143" s="21"/>
      <c r="FAQ143" s="21"/>
      <c r="FAR143" s="21"/>
      <c r="FAS143" s="21"/>
      <c r="FAT143" s="21"/>
      <c r="FAU143" s="21"/>
      <c r="FAV143" s="21"/>
      <c r="FAW143" s="21"/>
      <c r="FAX143" s="21"/>
      <c r="FAY143" s="21"/>
      <c r="FAZ143" s="21"/>
      <c r="FBA143" s="21"/>
      <c r="FBB143" s="21"/>
      <c r="FBC143" s="21"/>
      <c r="FBD143" s="21"/>
      <c r="FBE143" s="21"/>
      <c r="FBF143" s="21"/>
      <c r="FBG143" s="21"/>
      <c r="FBH143" s="21"/>
      <c r="FBI143" s="21"/>
      <c r="FBJ143" s="21"/>
      <c r="FBK143" s="21"/>
      <c r="FBL143" s="21"/>
      <c r="FBM143" s="21"/>
      <c r="FBN143" s="21"/>
      <c r="FBO143" s="21"/>
      <c r="FBP143" s="21"/>
      <c r="FBQ143" s="21"/>
      <c r="FBR143" s="21"/>
      <c r="FBS143" s="21"/>
      <c r="FBT143" s="21"/>
      <c r="FBU143" s="21"/>
      <c r="FBV143" s="21"/>
      <c r="FBW143" s="21"/>
      <c r="FBX143" s="21"/>
      <c r="FBY143" s="21"/>
      <c r="FBZ143" s="21"/>
      <c r="FCA143" s="21"/>
      <c r="FCB143" s="21"/>
      <c r="FCC143" s="21"/>
      <c r="FCD143" s="21"/>
      <c r="FCE143" s="21"/>
      <c r="FCF143" s="21"/>
      <c r="FCG143" s="21"/>
      <c r="FCH143" s="21"/>
      <c r="FCI143" s="21"/>
      <c r="FCJ143" s="21"/>
      <c r="FCK143" s="21"/>
      <c r="FCL143" s="21"/>
      <c r="FCM143" s="21"/>
      <c r="FCN143" s="21"/>
      <c r="FCO143" s="21"/>
      <c r="FCP143" s="21"/>
      <c r="FCQ143" s="21"/>
      <c r="FCR143" s="21"/>
      <c r="FCS143" s="21"/>
      <c r="FCT143" s="21"/>
      <c r="FCU143" s="21"/>
      <c r="FCV143" s="21"/>
      <c r="FCW143" s="21"/>
      <c r="FCX143" s="21"/>
      <c r="FCY143" s="21"/>
      <c r="FCZ143" s="21"/>
      <c r="FDA143" s="21"/>
      <c r="FDB143" s="21"/>
      <c r="FDC143" s="21"/>
      <c r="FDD143" s="21"/>
      <c r="FDE143" s="21"/>
      <c r="FDF143" s="21"/>
      <c r="FDG143" s="21"/>
      <c r="FDH143" s="21"/>
      <c r="FDI143" s="21"/>
      <c r="FDJ143" s="21"/>
      <c r="FDK143" s="21"/>
      <c r="FDL143" s="21"/>
      <c r="FDM143" s="21"/>
      <c r="FDN143" s="21"/>
      <c r="FDO143" s="21"/>
      <c r="FDP143" s="21"/>
      <c r="FDQ143" s="21"/>
      <c r="FDR143" s="21"/>
      <c r="FDS143" s="21"/>
      <c r="FDT143" s="21"/>
      <c r="FDU143" s="21"/>
      <c r="FDV143" s="21"/>
      <c r="FDW143" s="21"/>
      <c r="FDX143" s="21"/>
      <c r="FDY143" s="21"/>
      <c r="FDZ143" s="21"/>
      <c r="FEA143" s="21"/>
      <c r="FEB143" s="21"/>
      <c r="FEC143" s="21"/>
      <c r="FED143" s="21"/>
      <c r="FEE143" s="21"/>
      <c r="FEF143" s="21"/>
      <c r="FEG143" s="21"/>
      <c r="FEH143" s="21"/>
      <c r="FEI143" s="21"/>
      <c r="FEJ143" s="21"/>
      <c r="FEK143" s="21"/>
      <c r="FEL143" s="21"/>
      <c r="FEM143" s="21"/>
      <c r="FEN143" s="21"/>
      <c r="FEO143" s="21"/>
      <c r="FEP143" s="21"/>
      <c r="FEQ143" s="21"/>
      <c r="FER143" s="21"/>
      <c r="FES143" s="21"/>
      <c r="FET143" s="21"/>
      <c r="FEU143" s="21"/>
      <c r="FEV143" s="21"/>
      <c r="FEW143" s="21"/>
      <c r="FEX143" s="21"/>
      <c r="FEY143" s="21"/>
      <c r="FEZ143" s="21"/>
      <c r="FFA143" s="21"/>
      <c r="FFB143" s="21"/>
      <c r="FFC143" s="21"/>
      <c r="FFD143" s="21"/>
      <c r="FFE143" s="21"/>
      <c r="FFF143" s="21"/>
      <c r="FFG143" s="21"/>
      <c r="FFH143" s="21"/>
      <c r="FFI143" s="21"/>
      <c r="FFJ143" s="21"/>
      <c r="FFK143" s="21"/>
      <c r="FFL143" s="21"/>
      <c r="FFM143" s="21"/>
      <c r="FFN143" s="21"/>
      <c r="FFO143" s="21"/>
      <c r="FFP143" s="21"/>
      <c r="FFQ143" s="21"/>
      <c r="FFR143" s="21"/>
      <c r="FFS143" s="21"/>
      <c r="FFT143" s="21"/>
      <c r="FFU143" s="21"/>
      <c r="FFV143" s="21"/>
      <c r="FFW143" s="21"/>
      <c r="FFX143" s="21"/>
      <c r="FFY143" s="21"/>
      <c r="FFZ143" s="21"/>
      <c r="FGA143" s="21"/>
      <c r="FGB143" s="21"/>
      <c r="FGC143" s="21"/>
      <c r="FGD143" s="21"/>
      <c r="FGE143" s="21"/>
      <c r="FGF143" s="21"/>
      <c r="FGG143" s="21"/>
      <c r="FGH143" s="21"/>
      <c r="FGI143" s="21"/>
      <c r="FGJ143" s="21"/>
      <c r="FGK143" s="21"/>
      <c r="FGL143" s="21"/>
      <c r="FGM143" s="21"/>
      <c r="FGN143" s="21"/>
      <c r="FGO143" s="21"/>
      <c r="FGP143" s="21"/>
      <c r="FGQ143" s="21"/>
      <c r="FGR143" s="21"/>
      <c r="FGS143" s="21"/>
      <c r="FGT143" s="21"/>
      <c r="FGU143" s="21"/>
      <c r="FGV143" s="21"/>
      <c r="FGW143" s="21"/>
      <c r="FGX143" s="21"/>
      <c r="FGY143" s="21"/>
      <c r="FGZ143" s="21"/>
      <c r="FHA143" s="21"/>
      <c r="FHB143" s="21"/>
      <c r="FHC143" s="21"/>
      <c r="FHD143" s="21"/>
      <c r="FHE143" s="21"/>
      <c r="FHF143" s="21"/>
      <c r="FHG143" s="21"/>
      <c r="FHH143" s="21"/>
      <c r="FHI143" s="21"/>
      <c r="FHJ143" s="21"/>
      <c r="FHK143" s="21"/>
      <c r="FHL143" s="21"/>
      <c r="FHM143" s="21"/>
      <c r="FHN143" s="21"/>
      <c r="FHO143" s="21"/>
      <c r="FHP143" s="21"/>
      <c r="FHQ143" s="21"/>
      <c r="FHR143" s="21"/>
      <c r="FHS143" s="21"/>
      <c r="FHT143" s="21"/>
      <c r="FHU143" s="21"/>
      <c r="FHV143" s="21"/>
      <c r="FHW143" s="21"/>
      <c r="FHX143" s="21"/>
      <c r="FHY143" s="21"/>
      <c r="FHZ143" s="21"/>
      <c r="FIA143" s="21"/>
      <c r="FIB143" s="21"/>
      <c r="FIC143" s="21"/>
      <c r="FID143" s="21"/>
      <c r="FIE143" s="21"/>
      <c r="FIF143" s="21"/>
      <c r="FIG143" s="21"/>
      <c r="FIH143" s="21"/>
      <c r="FII143" s="21"/>
      <c r="FIJ143" s="21"/>
      <c r="FIK143" s="21"/>
      <c r="FIL143" s="21"/>
      <c r="FIM143" s="21"/>
      <c r="FIN143" s="21"/>
      <c r="FIO143" s="21"/>
      <c r="FIP143" s="21"/>
      <c r="FIQ143" s="21"/>
      <c r="FIR143" s="21"/>
      <c r="FIS143" s="21"/>
      <c r="FIT143" s="21"/>
      <c r="FIU143" s="21"/>
      <c r="FIV143" s="21"/>
      <c r="FIW143" s="21"/>
      <c r="FIX143" s="21"/>
      <c r="FIY143" s="21"/>
      <c r="FIZ143" s="21"/>
      <c r="FJA143" s="21"/>
      <c r="FJB143" s="21"/>
      <c r="FJC143" s="21"/>
      <c r="FJD143" s="21"/>
      <c r="FJE143" s="21"/>
      <c r="FJF143" s="21"/>
      <c r="FJG143" s="21"/>
      <c r="FJH143" s="21"/>
      <c r="FJI143" s="21"/>
      <c r="FJJ143" s="21"/>
      <c r="FJK143" s="21"/>
      <c r="FJL143" s="21"/>
      <c r="FJM143" s="21"/>
      <c r="FJN143" s="21"/>
      <c r="FJO143" s="21"/>
      <c r="FJP143" s="21"/>
      <c r="FJQ143" s="21"/>
      <c r="FJR143" s="21"/>
      <c r="FJS143" s="21"/>
      <c r="FJT143" s="21"/>
      <c r="FJU143" s="21"/>
      <c r="FJV143" s="21"/>
      <c r="FJW143" s="21"/>
      <c r="FJX143" s="21"/>
      <c r="FJY143" s="21"/>
      <c r="FJZ143" s="21"/>
      <c r="FKA143" s="21"/>
      <c r="FKB143" s="21"/>
      <c r="FKC143" s="21"/>
      <c r="FKD143" s="21"/>
      <c r="FKE143" s="21"/>
      <c r="FKF143" s="21"/>
      <c r="FKG143" s="21"/>
      <c r="FKH143" s="21"/>
      <c r="FKI143" s="21"/>
      <c r="FKJ143" s="21"/>
      <c r="FKK143" s="21"/>
      <c r="FKL143" s="21"/>
      <c r="FKM143" s="21"/>
      <c r="FKN143" s="21"/>
      <c r="FKO143" s="21"/>
      <c r="FKP143" s="21"/>
      <c r="FKQ143" s="21"/>
      <c r="FKR143" s="21"/>
      <c r="FKS143" s="21"/>
      <c r="FKT143" s="21"/>
      <c r="FKU143" s="21"/>
      <c r="FKV143" s="21"/>
      <c r="FKW143" s="21"/>
      <c r="FKX143" s="21"/>
      <c r="FKY143" s="21"/>
      <c r="FKZ143" s="21"/>
      <c r="FLA143" s="21"/>
      <c r="FLB143" s="21"/>
      <c r="FLC143" s="21"/>
      <c r="FLD143" s="21"/>
      <c r="FLE143" s="21"/>
      <c r="FLF143" s="21"/>
      <c r="FLG143" s="21"/>
      <c r="FLH143" s="21"/>
      <c r="FLI143" s="21"/>
      <c r="FLJ143" s="21"/>
      <c r="FLK143" s="21"/>
      <c r="FLL143" s="21"/>
      <c r="FLM143" s="21"/>
      <c r="FLN143" s="21"/>
      <c r="FLO143" s="21"/>
      <c r="FLP143" s="21"/>
      <c r="FLQ143" s="21"/>
      <c r="FLR143" s="21"/>
      <c r="FLS143" s="21"/>
      <c r="FLT143" s="21"/>
      <c r="FLU143" s="21"/>
      <c r="FLV143" s="21"/>
      <c r="FLW143" s="21"/>
      <c r="FLX143" s="21"/>
      <c r="FLY143" s="21"/>
      <c r="FLZ143" s="21"/>
      <c r="FMA143" s="21"/>
      <c r="FMB143" s="21"/>
      <c r="FMC143" s="21"/>
      <c r="FMD143" s="21"/>
      <c r="FME143" s="21"/>
      <c r="FMF143" s="21"/>
      <c r="FMG143" s="21"/>
      <c r="FMH143" s="21"/>
      <c r="FMI143" s="21"/>
      <c r="FMJ143" s="21"/>
      <c r="FMK143" s="21"/>
      <c r="FML143" s="21"/>
      <c r="FMM143" s="21"/>
      <c r="FMN143" s="21"/>
      <c r="FMO143" s="21"/>
      <c r="FMP143" s="21"/>
      <c r="FMQ143" s="21"/>
      <c r="FMR143" s="21"/>
      <c r="FMS143" s="21"/>
      <c r="FMT143" s="21"/>
      <c r="FMU143" s="21"/>
      <c r="FMV143" s="21"/>
      <c r="FMW143" s="21"/>
      <c r="FMX143" s="21"/>
      <c r="FMY143" s="21"/>
      <c r="FMZ143" s="21"/>
      <c r="FNA143" s="21"/>
      <c r="FNB143" s="21"/>
      <c r="FNC143" s="21"/>
      <c r="FND143" s="21"/>
      <c r="FNE143" s="21"/>
      <c r="FNF143" s="21"/>
      <c r="FNG143" s="21"/>
      <c r="FNH143" s="21"/>
      <c r="FNI143" s="21"/>
      <c r="FNJ143" s="21"/>
      <c r="FNK143" s="21"/>
      <c r="FNL143" s="21"/>
      <c r="FNM143" s="21"/>
      <c r="FNN143" s="21"/>
      <c r="FNO143" s="21"/>
      <c r="FNP143" s="21"/>
      <c r="FNQ143" s="21"/>
      <c r="FNR143" s="21"/>
      <c r="FNS143" s="21"/>
      <c r="FNT143" s="21"/>
      <c r="FNU143" s="21"/>
      <c r="FNV143" s="21"/>
      <c r="FNW143" s="21"/>
      <c r="FNX143" s="21"/>
      <c r="FNY143" s="21"/>
      <c r="FNZ143" s="21"/>
      <c r="FOA143" s="21"/>
      <c r="FOB143" s="21"/>
      <c r="FOC143" s="21"/>
      <c r="FOD143" s="21"/>
      <c r="FOE143" s="21"/>
      <c r="FOF143" s="21"/>
      <c r="FOG143" s="21"/>
      <c r="FOH143" s="21"/>
      <c r="FOI143" s="21"/>
      <c r="FOJ143" s="21"/>
      <c r="FOK143" s="21"/>
      <c r="FOL143" s="21"/>
      <c r="FOM143" s="21"/>
      <c r="FON143" s="21"/>
      <c r="FOO143" s="21"/>
      <c r="FOP143" s="21"/>
      <c r="FOQ143" s="21"/>
      <c r="FOR143" s="21"/>
      <c r="FOS143" s="21"/>
      <c r="FOT143" s="21"/>
      <c r="FOU143" s="21"/>
      <c r="FOV143" s="21"/>
      <c r="FOW143" s="21"/>
      <c r="FOX143" s="21"/>
      <c r="FOY143" s="21"/>
      <c r="FOZ143" s="21"/>
      <c r="FPA143" s="21"/>
      <c r="FPB143" s="21"/>
      <c r="FPC143" s="21"/>
      <c r="FPD143" s="21"/>
      <c r="FPE143" s="21"/>
      <c r="FPF143" s="21"/>
      <c r="FPG143" s="21"/>
      <c r="FPH143" s="21"/>
      <c r="FPI143" s="21"/>
      <c r="FPJ143" s="21"/>
      <c r="FPK143" s="21"/>
      <c r="FPL143" s="21"/>
      <c r="FPM143" s="21"/>
      <c r="FPN143" s="21"/>
      <c r="FPO143" s="21"/>
      <c r="FPP143" s="21"/>
      <c r="FPQ143" s="21"/>
      <c r="FPR143" s="21"/>
      <c r="FPS143" s="21"/>
      <c r="FPT143" s="21"/>
      <c r="FPU143" s="21"/>
      <c r="FPV143" s="21"/>
      <c r="FPW143" s="21"/>
      <c r="FPX143" s="21"/>
      <c r="FPY143" s="21"/>
      <c r="FPZ143" s="21"/>
      <c r="FQA143" s="21"/>
      <c r="FQB143" s="21"/>
      <c r="FQC143" s="21"/>
      <c r="FQD143" s="21"/>
      <c r="FQE143" s="21"/>
      <c r="FQF143" s="21"/>
      <c r="FQG143" s="21"/>
      <c r="FQH143" s="21"/>
      <c r="FQI143" s="21"/>
      <c r="FQJ143" s="21"/>
      <c r="FQK143" s="21"/>
      <c r="FQL143" s="21"/>
      <c r="FQM143" s="21"/>
      <c r="FQN143" s="21"/>
      <c r="FQO143" s="21"/>
      <c r="FQP143" s="21"/>
      <c r="FQQ143" s="21"/>
      <c r="FQR143" s="21"/>
      <c r="FQS143" s="21"/>
      <c r="FQT143" s="21"/>
      <c r="FQU143" s="21"/>
      <c r="FQV143" s="21"/>
      <c r="FQW143" s="21"/>
      <c r="FQX143" s="21"/>
      <c r="FQY143" s="21"/>
      <c r="FQZ143" s="21"/>
      <c r="FRA143" s="21"/>
      <c r="FRB143" s="21"/>
      <c r="FRC143" s="21"/>
      <c r="FRD143" s="21"/>
      <c r="FRE143" s="21"/>
      <c r="FRF143" s="21"/>
      <c r="FRG143" s="21"/>
      <c r="FRH143" s="21"/>
      <c r="FRI143" s="21"/>
      <c r="FRJ143" s="21"/>
      <c r="FRK143" s="21"/>
      <c r="FRL143" s="21"/>
      <c r="FRM143" s="21"/>
      <c r="FRN143" s="21"/>
      <c r="FRO143" s="21"/>
      <c r="FRP143" s="21"/>
      <c r="FRQ143" s="21"/>
      <c r="FRR143" s="21"/>
      <c r="FRS143" s="21"/>
      <c r="FRT143" s="21"/>
      <c r="FRU143" s="21"/>
      <c r="FRV143" s="21"/>
      <c r="FRW143" s="21"/>
      <c r="FRX143" s="21"/>
      <c r="FRY143" s="21"/>
      <c r="FRZ143" s="21"/>
      <c r="FSA143" s="21"/>
      <c r="FSB143" s="21"/>
      <c r="FSC143" s="21"/>
      <c r="FSD143" s="21"/>
      <c r="FSE143" s="21"/>
      <c r="FSF143" s="21"/>
      <c r="FSG143" s="21"/>
      <c r="FSH143" s="21"/>
      <c r="FSI143" s="21"/>
      <c r="FSJ143" s="21"/>
      <c r="FSK143" s="21"/>
      <c r="FSL143" s="21"/>
      <c r="FSM143" s="21"/>
      <c r="FSN143" s="21"/>
      <c r="FSO143" s="21"/>
      <c r="FSP143" s="21"/>
      <c r="FSQ143" s="21"/>
      <c r="FSR143" s="21"/>
      <c r="FSS143" s="21"/>
      <c r="FST143" s="21"/>
      <c r="FSU143" s="21"/>
      <c r="FSV143" s="21"/>
      <c r="FSW143" s="21"/>
      <c r="FSX143" s="21"/>
      <c r="FSY143" s="21"/>
      <c r="FSZ143" s="21"/>
      <c r="FTA143" s="21"/>
      <c r="FTB143" s="21"/>
      <c r="FTC143" s="21"/>
      <c r="FTD143" s="21"/>
      <c r="FTE143" s="21"/>
      <c r="FTF143" s="21"/>
      <c r="FTG143" s="21"/>
      <c r="FTH143" s="21"/>
      <c r="FTI143" s="21"/>
      <c r="FTJ143" s="21"/>
      <c r="FTK143" s="21"/>
      <c r="FTL143" s="21"/>
      <c r="FTM143" s="21"/>
      <c r="FTN143" s="21"/>
      <c r="FTO143" s="21"/>
      <c r="FTP143" s="21"/>
      <c r="FTQ143" s="21"/>
      <c r="FTR143" s="21"/>
      <c r="FTS143" s="21"/>
      <c r="FTT143" s="21"/>
      <c r="FTU143" s="21"/>
      <c r="FTV143" s="21"/>
      <c r="FTW143" s="21"/>
      <c r="FTX143" s="21"/>
      <c r="FTY143" s="21"/>
      <c r="FTZ143" s="21"/>
      <c r="FUA143" s="21"/>
      <c r="FUB143" s="21"/>
      <c r="FUC143" s="21"/>
      <c r="FUD143" s="21"/>
      <c r="FUE143" s="21"/>
      <c r="FUF143" s="21"/>
      <c r="FUG143" s="21"/>
      <c r="FUH143" s="21"/>
      <c r="FUI143" s="21"/>
      <c r="FUJ143" s="21"/>
      <c r="FUK143" s="21"/>
      <c r="FUL143" s="21"/>
      <c r="FUM143" s="21"/>
      <c r="FUN143" s="21"/>
      <c r="FUO143" s="21"/>
      <c r="FUP143" s="21"/>
      <c r="FUQ143" s="21"/>
      <c r="FUR143" s="21"/>
      <c r="FUS143" s="21"/>
      <c r="FUT143" s="21"/>
      <c r="FUU143" s="21"/>
      <c r="FUV143" s="21"/>
      <c r="FUW143" s="21"/>
      <c r="FUX143" s="21"/>
      <c r="FUY143" s="21"/>
      <c r="FUZ143" s="21"/>
      <c r="FVA143" s="21"/>
      <c r="FVB143" s="21"/>
      <c r="FVC143" s="21"/>
      <c r="FVD143" s="21"/>
      <c r="FVE143" s="21"/>
      <c r="FVF143" s="21"/>
      <c r="FVG143" s="21"/>
      <c r="FVH143" s="21"/>
      <c r="FVI143" s="21"/>
      <c r="FVJ143" s="21"/>
      <c r="FVK143" s="21"/>
      <c r="FVL143" s="21"/>
      <c r="FVM143" s="21"/>
      <c r="FVN143" s="21"/>
      <c r="FVO143" s="21"/>
      <c r="FVP143" s="21"/>
      <c r="FVQ143" s="21"/>
      <c r="FVR143" s="21"/>
      <c r="FVS143" s="21"/>
      <c r="FVT143" s="21"/>
      <c r="FVU143" s="21"/>
      <c r="FVV143" s="21"/>
      <c r="FVW143" s="21"/>
      <c r="FVX143" s="21"/>
      <c r="FVY143" s="21"/>
      <c r="FVZ143" s="21"/>
      <c r="FWA143" s="21"/>
      <c r="FWB143" s="21"/>
      <c r="FWC143" s="21"/>
      <c r="FWD143" s="21"/>
      <c r="FWE143" s="21"/>
      <c r="FWF143" s="21"/>
      <c r="FWG143" s="21"/>
      <c r="FWH143" s="21"/>
      <c r="FWI143" s="21"/>
      <c r="FWJ143" s="21"/>
      <c r="FWK143" s="21"/>
      <c r="FWL143" s="21"/>
      <c r="FWM143" s="21"/>
      <c r="FWN143" s="21"/>
      <c r="FWO143" s="21"/>
      <c r="FWP143" s="21"/>
      <c r="FWQ143" s="21"/>
      <c r="FWR143" s="21"/>
      <c r="FWS143" s="21"/>
      <c r="FWT143" s="21"/>
      <c r="FWU143" s="21"/>
      <c r="FWV143" s="21"/>
      <c r="FWW143" s="21"/>
      <c r="FWX143" s="21"/>
      <c r="FWY143" s="21"/>
      <c r="FWZ143" s="21"/>
      <c r="FXA143" s="21"/>
      <c r="FXB143" s="21"/>
      <c r="FXC143" s="21"/>
      <c r="FXD143" s="21"/>
      <c r="FXE143" s="21"/>
      <c r="FXF143" s="21"/>
      <c r="FXG143" s="21"/>
      <c r="FXH143" s="21"/>
      <c r="FXI143" s="21"/>
      <c r="FXJ143" s="21"/>
      <c r="FXK143" s="21"/>
      <c r="FXL143" s="21"/>
      <c r="FXM143" s="21"/>
      <c r="FXN143" s="21"/>
      <c r="FXO143" s="21"/>
      <c r="FXP143" s="21"/>
      <c r="FXQ143" s="21"/>
      <c r="FXR143" s="21"/>
      <c r="FXS143" s="21"/>
      <c r="FXT143" s="21"/>
      <c r="FXU143" s="21"/>
      <c r="FXV143" s="21"/>
      <c r="FXW143" s="21"/>
      <c r="FXX143" s="21"/>
      <c r="FXY143" s="21"/>
      <c r="FXZ143" s="21"/>
      <c r="FYA143" s="21"/>
      <c r="FYB143" s="21"/>
      <c r="FYC143" s="21"/>
      <c r="FYD143" s="21"/>
      <c r="FYE143" s="21"/>
      <c r="FYF143" s="21"/>
      <c r="FYG143" s="21"/>
      <c r="FYH143" s="21"/>
      <c r="FYI143" s="21"/>
      <c r="FYJ143" s="21"/>
      <c r="FYK143" s="21"/>
      <c r="FYL143" s="21"/>
      <c r="FYM143" s="21"/>
      <c r="FYN143" s="21"/>
      <c r="FYO143" s="21"/>
      <c r="FYP143" s="21"/>
      <c r="FYQ143" s="21"/>
      <c r="FYR143" s="21"/>
      <c r="FYS143" s="21"/>
      <c r="FYT143" s="21"/>
      <c r="FYU143" s="21"/>
      <c r="FYV143" s="21"/>
      <c r="FYW143" s="21"/>
      <c r="FYX143" s="21"/>
      <c r="FYY143" s="21"/>
      <c r="FYZ143" s="21"/>
      <c r="FZA143" s="21"/>
      <c r="FZB143" s="21"/>
      <c r="FZC143" s="21"/>
      <c r="FZD143" s="21"/>
      <c r="FZE143" s="21"/>
      <c r="FZF143" s="21"/>
      <c r="FZG143" s="21"/>
      <c r="FZH143" s="21"/>
      <c r="FZI143" s="21"/>
      <c r="FZJ143" s="21"/>
      <c r="FZK143" s="21"/>
      <c r="FZL143" s="21"/>
      <c r="FZM143" s="21"/>
      <c r="FZN143" s="21"/>
      <c r="FZO143" s="21"/>
      <c r="FZP143" s="21"/>
      <c r="FZQ143" s="21"/>
      <c r="FZR143" s="21"/>
      <c r="FZS143" s="21"/>
      <c r="FZT143" s="21"/>
      <c r="FZU143" s="21"/>
      <c r="FZV143" s="21"/>
      <c r="FZW143" s="21"/>
      <c r="FZX143" s="21"/>
      <c r="FZY143" s="21"/>
      <c r="FZZ143" s="21"/>
      <c r="GAA143" s="21"/>
      <c r="GAB143" s="21"/>
      <c r="GAC143" s="21"/>
      <c r="GAD143" s="21"/>
      <c r="GAE143" s="21"/>
      <c r="GAF143" s="21"/>
      <c r="GAG143" s="21"/>
      <c r="GAH143" s="21"/>
      <c r="GAI143" s="21"/>
      <c r="GAJ143" s="21"/>
      <c r="GAK143" s="21"/>
      <c r="GAL143" s="21"/>
      <c r="GAM143" s="21"/>
      <c r="GAN143" s="21"/>
      <c r="GAO143" s="21"/>
      <c r="GAP143" s="21"/>
      <c r="GAQ143" s="21"/>
      <c r="GAR143" s="21"/>
      <c r="GAS143" s="21"/>
      <c r="GAT143" s="21"/>
      <c r="GAU143" s="21"/>
      <c r="GAV143" s="21"/>
      <c r="GAW143" s="21"/>
      <c r="GAX143" s="21"/>
      <c r="GAY143" s="21"/>
      <c r="GAZ143" s="21"/>
      <c r="GBA143" s="21"/>
      <c r="GBB143" s="21"/>
      <c r="GBC143" s="21"/>
      <c r="GBD143" s="21"/>
      <c r="GBE143" s="21"/>
      <c r="GBF143" s="21"/>
      <c r="GBG143" s="21"/>
      <c r="GBH143" s="21"/>
      <c r="GBI143" s="21"/>
      <c r="GBJ143" s="21"/>
      <c r="GBK143" s="21"/>
      <c r="GBL143" s="21"/>
      <c r="GBM143" s="21"/>
      <c r="GBN143" s="21"/>
      <c r="GBO143" s="21"/>
      <c r="GBP143" s="21"/>
      <c r="GBQ143" s="21"/>
      <c r="GBR143" s="21"/>
      <c r="GBS143" s="21"/>
      <c r="GBT143" s="21"/>
      <c r="GBU143" s="21"/>
      <c r="GBV143" s="21"/>
      <c r="GBW143" s="21"/>
      <c r="GBX143" s="21"/>
      <c r="GBY143" s="21"/>
      <c r="GBZ143" s="21"/>
      <c r="GCA143" s="21"/>
      <c r="GCB143" s="21"/>
      <c r="GCC143" s="21"/>
      <c r="GCD143" s="21"/>
      <c r="GCE143" s="21"/>
      <c r="GCF143" s="21"/>
      <c r="GCG143" s="21"/>
      <c r="GCH143" s="21"/>
      <c r="GCI143" s="21"/>
      <c r="GCJ143" s="21"/>
      <c r="GCK143" s="21"/>
      <c r="GCL143" s="21"/>
      <c r="GCM143" s="21"/>
      <c r="GCN143" s="21"/>
      <c r="GCO143" s="21"/>
      <c r="GCP143" s="21"/>
      <c r="GCQ143" s="21"/>
      <c r="GCR143" s="21"/>
      <c r="GCS143" s="21"/>
      <c r="GCT143" s="21"/>
      <c r="GCU143" s="21"/>
      <c r="GCV143" s="21"/>
      <c r="GCW143" s="21"/>
      <c r="GCX143" s="21"/>
      <c r="GCY143" s="21"/>
      <c r="GCZ143" s="21"/>
      <c r="GDA143" s="21"/>
      <c r="GDB143" s="21"/>
      <c r="GDC143" s="21"/>
      <c r="GDD143" s="21"/>
      <c r="GDE143" s="21"/>
      <c r="GDF143" s="21"/>
      <c r="GDG143" s="21"/>
      <c r="GDH143" s="21"/>
      <c r="GDI143" s="21"/>
      <c r="GDJ143" s="21"/>
      <c r="GDK143" s="21"/>
      <c r="GDL143" s="21"/>
      <c r="GDM143" s="21"/>
      <c r="GDN143" s="21"/>
      <c r="GDO143" s="21"/>
      <c r="GDP143" s="21"/>
      <c r="GDQ143" s="21"/>
      <c r="GDR143" s="21"/>
      <c r="GDS143" s="21"/>
      <c r="GDT143" s="21"/>
      <c r="GDU143" s="21"/>
      <c r="GDV143" s="21"/>
      <c r="GDW143" s="21"/>
      <c r="GDX143" s="21"/>
      <c r="GDY143" s="21"/>
      <c r="GDZ143" s="21"/>
      <c r="GEA143" s="21"/>
      <c r="GEB143" s="21"/>
      <c r="GEC143" s="21"/>
      <c r="GED143" s="21"/>
      <c r="GEE143" s="21"/>
      <c r="GEF143" s="21"/>
      <c r="GEG143" s="21"/>
      <c r="GEH143" s="21"/>
      <c r="GEI143" s="21"/>
      <c r="GEJ143" s="21"/>
      <c r="GEK143" s="21"/>
      <c r="GEL143" s="21"/>
      <c r="GEM143" s="21"/>
      <c r="GEN143" s="21"/>
      <c r="GEO143" s="21"/>
      <c r="GEP143" s="21"/>
      <c r="GEQ143" s="21"/>
      <c r="GER143" s="21"/>
      <c r="GES143" s="21"/>
      <c r="GET143" s="21"/>
      <c r="GEU143" s="21"/>
      <c r="GEV143" s="21"/>
      <c r="GEW143" s="21"/>
      <c r="GEX143" s="21"/>
      <c r="GEY143" s="21"/>
      <c r="GEZ143" s="21"/>
      <c r="GFA143" s="21"/>
      <c r="GFB143" s="21"/>
      <c r="GFC143" s="21"/>
      <c r="GFD143" s="21"/>
      <c r="GFE143" s="21"/>
      <c r="GFF143" s="21"/>
      <c r="GFG143" s="21"/>
      <c r="GFH143" s="21"/>
      <c r="GFI143" s="21"/>
      <c r="GFJ143" s="21"/>
      <c r="GFK143" s="21"/>
      <c r="GFL143" s="21"/>
      <c r="GFM143" s="21"/>
      <c r="GFN143" s="21"/>
      <c r="GFO143" s="21"/>
      <c r="GFP143" s="21"/>
      <c r="GFQ143" s="21"/>
      <c r="GFR143" s="21"/>
      <c r="GFS143" s="21"/>
      <c r="GFT143" s="21"/>
      <c r="GFU143" s="21"/>
      <c r="GFV143" s="21"/>
      <c r="GFW143" s="21"/>
      <c r="GFX143" s="21"/>
      <c r="GFY143" s="21"/>
      <c r="GFZ143" s="21"/>
      <c r="GGA143" s="21"/>
      <c r="GGB143" s="21"/>
      <c r="GGC143" s="21"/>
      <c r="GGD143" s="21"/>
      <c r="GGE143" s="21"/>
      <c r="GGF143" s="21"/>
      <c r="GGG143" s="21"/>
      <c r="GGH143" s="21"/>
      <c r="GGI143" s="21"/>
      <c r="GGJ143" s="21"/>
      <c r="GGK143" s="21"/>
      <c r="GGL143" s="21"/>
      <c r="GGM143" s="21"/>
      <c r="GGN143" s="21"/>
      <c r="GGO143" s="21"/>
      <c r="GGP143" s="21"/>
      <c r="GGQ143" s="21"/>
      <c r="GGR143" s="21"/>
      <c r="GGS143" s="21"/>
      <c r="GGT143" s="21"/>
      <c r="GGU143" s="21"/>
      <c r="GGV143" s="21"/>
      <c r="GGW143" s="21"/>
      <c r="GGX143" s="21"/>
      <c r="GGY143" s="21"/>
      <c r="GGZ143" s="21"/>
      <c r="GHA143" s="21"/>
      <c r="GHB143" s="21"/>
      <c r="GHC143" s="21"/>
      <c r="GHD143" s="21"/>
      <c r="GHE143" s="21"/>
      <c r="GHF143" s="21"/>
      <c r="GHG143" s="21"/>
      <c r="GHH143" s="21"/>
      <c r="GHI143" s="21"/>
      <c r="GHJ143" s="21"/>
      <c r="GHK143" s="21"/>
      <c r="GHL143" s="21"/>
      <c r="GHM143" s="21"/>
      <c r="GHN143" s="21"/>
      <c r="GHO143" s="21"/>
      <c r="GHP143" s="21"/>
      <c r="GHQ143" s="21"/>
      <c r="GHR143" s="21"/>
      <c r="GHS143" s="21"/>
      <c r="GHT143" s="21"/>
      <c r="GHU143" s="21"/>
      <c r="GHV143" s="21"/>
      <c r="GHW143" s="21"/>
      <c r="GHX143" s="21"/>
      <c r="GHY143" s="21"/>
      <c r="GHZ143" s="21"/>
      <c r="GIA143" s="21"/>
      <c r="GIB143" s="21"/>
      <c r="GIC143" s="21"/>
      <c r="GID143" s="21"/>
      <c r="GIE143" s="21"/>
      <c r="GIF143" s="21"/>
      <c r="GIG143" s="21"/>
      <c r="GIH143" s="21"/>
      <c r="GII143" s="21"/>
      <c r="GIJ143" s="21"/>
      <c r="GIK143" s="21"/>
      <c r="GIL143" s="21"/>
      <c r="GIM143" s="21"/>
      <c r="GIN143" s="21"/>
      <c r="GIO143" s="21"/>
      <c r="GIP143" s="21"/>
      <c r="GIQ143" s="21"/>
      <c r="GIR143" s="21"/>
      <c r="GIS143" s="21"/>
      <c r="GIT143" s="21"/>
      <c r="GIU143" s="21"/>
      <c r="GIV143" s="21"/>
      <c r="GIW143" s="21"/>
      <c r="GIX143" s="21"/>
      <c r="GIY143" s="21"/>
      <c r="GIZ143" s="21"/>
      <c r="GJA143" s="21"/>
      <c r="GJB143" s="21"/>
      <c r="GJC143" s="21"/>
      <c r="GJD143" s="21"/>
      <c r="GJE143" s="21"/>
      <c r="GJF143" s="21"/>
      <c r="GJG143" s="21"/>
      <c r="GJH143" s="21"/>
      <c r="GJI143" s="21"/>
      <c r="GJJ143" s="21"/>
      <c r="GJK143" s="21"/>
      <c r="GJL143" s="21"/>
      <c r="GJM143" s="21"/>
      <c r="GJN143" s="21"/>
      <c r="GJO143" s="21"/>
      <c r="GJP143" s="21"/>
      <c r="GJQ143" s="21"/>
      <c r="GJR143" s="21"/>
      <c r="GJS143" s="21"/>
      <c r="GJT143" s="21"/>
      <c r="GJU143" s="21"/>
      <c r="GJV143" s="21"/>
      <c r="GJW143" s="21"/>
      <c r="GJX143" s="21"/>
      <c r="GJY143" s="21"/>
      <c r="GJZ143" s="21"/>
      <c r="GKA143" s="21"/>
      <c r="GKB143" s="21"/>
      <c r="GKC143" s="21"/>
      <c r="GKD143" s="21"/>
      <c r="GKE143" s="21"/>
      <c r="GKF143" s="21"/>
      <c r="GKG143" s="21"/>
      <c r="GKH143" s="21"/>
      <c r="GKI143" s="21"/>
      <c r="GKJ143" s="21"/>
      <c r="GKK143" s="21"/>
      <c r="GKL143" s="21"/>
      <c r="GKM143" s="21"/>
      <c r="GKN143" s="21"/>
      <c r="GKO143" s="21"/>
      <c r="GKP143" s="21"/>
      <c r="GKQ143" s="21"/>
      <c r="GKR143" s="21"/>
      <c r="GKS143" s="21"/>
      <c r="GKT143" s="21"/>
      <c r="GKU143" s="21"/>
      <c r="GKV143" s="21"/>
      <c r="GKW143" s="21"/>
      <c r="GKX143" s="21"/>
      <c r="GKY143" s="21"/>
      <c r="GKZ143" s="21"/>
      <c r="GLA143" s="21"/>
      <c r="GLB143" s="21"/>
      <c r="GLC143" s="21"/>
      <c r="GLD143" s="21"/>
      <c r="GLE143" s="21"/>
      <c r="GLF143" s="21"/>
      <c r="GLG143" s="21"/>
      <c r="GLH143" s="21"/>
      <c r="GLI143" s="21"/>
      <c r="GLJ143" s="21"/>
      <c r="GLK143" s="21"/>
      <c r="GLL143" s="21"/>
      <c r="GLM143" s="21"/>
      <c r="GLN143" s="21"/>
      <c r="GLO143" s="21"/>
      <c r="GLP143" s="21"/>
      <c r="GLQ143" s="21"/>
      <c r="GLR143" s="21"/>
      <c r="GLS143" s="21"/>
      <c r="GLT143" s="21"/>
      <c r="GLU143" s="21"/>
      <c r="GLV143" s="21"/>
      <c r="GLW143" s="21"/>
      <c r="GLX143" s="21"/>
      <c r="GLY143" s="21"/>
      <c r="GLZ143" s="21"/>
      <c r="GMA143" s="21"/>
      <c r="GMB143" s="21"/>
      <c r="GMC143" s="21"/>
      <c r="GMD143" s="21"/>
      <c r="GME143" s="21"/>
      <c r="GMF143" s="21"/>
      <c r="GMG143" s="21"/>
      <c r="GMH143" s="21"/>
      <c r="GMI143" s="21"/>
      <c r="GMJ143" s="21"/>
      <c r="GMK143" s="21"/>
      <c r="GML143" s="21"/>
      <c r="GMM143" s="21"/>
      <c r="GMN143" s="21"/>
      <c r="GMO143" s="21"/>
      <c r="GMP143" s="21"/>
      <c r="GMQ143" s="21"/>
      <c r="GMR143" s="21"/>
      <c r="GMS143" s="21"/>
      <c r="GMT143" s="21"/>
      <c r="GMU143" s="21"/>
      <c r="GMV143" s="21"/>
      <c r="GMW143" s="21"/>
      <c r="GMX143" s="21"/>
      <c r="GMY143" s="21"/>
      <c r="GMZ143" s="21"/>
      <c r="GNA143" s="21"/>
      <c r="GNB143" s="21"/>
      <c r="GNC143" s="21"/>
      <c r="GND143" s="21"/>
      <c r="GNE143" s="21"/>
      <c r="GNF143" s="21"/>
      <c r="GNG143" s="21"/>
      <c r="GNH143" s="21"/>
      <c r="GNI143" s="21"/>
      <c r="GNJ143" s="21"/>
      <c r="GNK143" s="21"/>
      <c r="GNL143" s="21"/>
      <c r="GNM143" s="21"/>
      <c r="GNN143" s="21"/>
      <c r="GNO143" s="21"/>
      <c r="GNP143" s="21"/>
      <c r="GNQ143" s="21"/>
      <c r="GNR143" s="21"/>
      <c r="GNS143" s="21"/>
      <c r="GNT143" s="21"/>
      <c r="GNU143" s="21"/>
      <c r="GNV143" s="21"/>
      <c r="GNW143" s="21"/>
      <c r="GNX143" s="21"/>
      <c r="GNY143" s="21"/>
      <c r="GNZ143" s="21"/>
      <c r="GOA143" s="21"/>
      <c r="GOB143" s="21"/>
      <c r="GOC143" s="21"/>
      <c r="GOD143" s="21"/>
      <c r="GOE143" s="21"/>
      <c r="GOF143" s="21"/>
      <c r="GOG143" s="21"/>
      <c r="GOH143" s="21"/>
      <c r="GOI143" s="21"/>
      <c r="GOJ143" s="21"/>
      <c r="GOK143" s="21"/>
      <c r="GOL143" s="21"/>
      <c r="GOM143" s="21"/>
      <c r="GON143" s="21"/>
      <c r="GOO143" s="21"/>
      <c r="GOP143" s="21"/>
      <c r="GOQ143" s="21"/>
      <c r="GOR143" s="21"/>
      <c r="GOS143" s="21"/>
      <c r="GOT143" s="21"/>
      <c r="GOU143" s="21"/>
      <c r="GOV143" s="21"/>
      <c r="GOW143" s="21"/>
      <c r="GOX143" s="21"/>
      <c r="GOY143" s="21"/>
      <c r="GOZ143" s="21"/>
      <c r="GPA143" s="21"/>
      <c r="GPB143" s="21"/>
      <c r="GPC143" s="21"/>
      <c r="GPD143" s="21"/>
      <c r="GPE143" s="21"/>
      <c r="GPF143" s="21"/>
      <c r="GPG143" s="21"/>
      <c r="GPH143" s="21"/>
      <c r="GPI143" s="21"/>
      <c r="GPJ143" s="21"/>
      <c r="GPK143" s="21"/>
      <c r="GPL143" s="21"/>
      <c r="GPM143" s="21"/>
      <c r="GPN143" s="21"/>
      <c r="GPO143" s="21"/>
      <c r="GPP143" s="21"/>
      <c r="GPQ143" s="21"/>
      <c r="GPR143" s="21"/>
      <c r="GPS143" s="21"/>
      <c r="GPT143" s="21"/>
      <c r="GPU143" s="21"/>
      <c r="GPV143" s="21"/>
      <c r="GPW143" s="21"/>
      <c r="GPX143" s="21"/>
      <c r="GPY143" s="21"/>
      <c r="GPZ143" s="21"/>
      <c r="GQA143" s="21"/>
      <c r="GQB143" s="21"/>
      <c r="GQC143" s="21"/>
      <c r="GQD143" s="21"/>
      <c r="GQE143" s="21"/>
      <c r="GQF143" s="21"/>
      <c r="GQG143" s="21"/>
      <c r="GQH143" s="21"/>
      <c r="GQI143" s="21"/>
      <c r="GQJ143" s="21"/>
      <c r="GQK143" s="21"/>
      <c r="GQL143" s="21"/>
      <c r="GQM143" s="21"/>
      <c r="GQN143" s="21"/>
      <c r="GQO143" s="21"/>
      <c r="GQP143" s="21"/>
      <c r="GQQ143" s="21"/>
      <c r="GQR143" s="21"/>
      <c r="GQS143" s="21"/>
      <c r="GQT143" s="21"/>
      <c r="GQU143" s="21"/>
      <c r="GQV143" s="21"/>
      <c r="GQW143" s="21"/>
      <c r="GQX143" s="21"/>
      <c r="GQY143" s="21"/>
      <c r="GQZ143" s="21"/>
      <c r="GRA143" s="21"/>
      <c r="GRB143" s="21"/>
      <c r="GRC143" s="21"/>
      <c r="GRD143" s="21"/>
      <c r="GRE143" s="21"/>
      <c r="GRF143" s="21"/>
      <c r="GRG143" s="21"/>
      <c r="GRH143" s="21"/>
      <c r="GRI143" s="21"/>
      <c r="GRJ143" s="21"/>
      <c r="GRK143" s="21"/>
      <c r="GRL143" s="21"/>
      <c r="GRM143" s="21"/>
      <c r="GRN143" s="21"/>
      <c r="GRO143" s="21"/>
      <c r="GRP143" s="21"/>
      <c r="GRQ143" s="21"/>
      <c r="GRR143" s="21"/>
      <c r="GRS143" s="21"/>
      <c r="GRT143" s="21"/>
      <c r="GRU143" s="21"/>
      <c r="GRV143" s="21"/>
      <c r="GRW143" s="21"/>
      <c r="GRX143" s="21"/>
      <c r="GRY143" s="21"/>
      <c r="GRZ143" s="21"/>
      <c r="GSA143" s="21"/>
      <c r="GSB143" s="21"/>
      <c r="GSC143" s="21"/>
      <c r="GSD143" s="21"/>
      <c r="GSE143" s="21"/>
      <c r="GSF143" s="21"/>
      <c r="GSG143" s="21"/>
      <c r="GSH143" s="21"/>
      <c r="GSI143" s="21"/>
      <c r="GSJ143" s="21"/>
      <c r="GSK143" s="21"/>
      <c r="GSL143" s="21"/>
      <c r="GSM143" s="21"/>
      <c r="GSN143" s="21"/>
      <c r="GSO143" s="21"/>
      <c r="GSP143" s="21"/>
      <c r="GSQ143" s="21"/>
      <c r="GSR143" s="21"/>
      <c r="GSS143" s="21"/>
      <c r="GST143" s="21"/>
      <c r="GSU143" s="21"/>
      <c r="GSV143" s="21"/>
      <c r="GSW143" s="21"/>
      <c r="GSX143" s="21"/>
      <c r="GSY143" s="21"/>
      <c r="GSZ143" s="21"/>
      <c r="GTA143" s="21"/>
      <c r="GTB143" s="21"/>
      <c r="GTC143" s="21"/>
      <c r="GTD143" s="21"/>
      <c r="GTE143" s="21"/>
      <c r="GTF143" s="21"/>
      <c r="GTG143" s="21"/>
      <c r="GTH143" s="21"/>
      <c r="GTI143" s="21"/>
      <c r="GTJ143" s="21"/>
      <c r="GTK143" s="21"/>
      <c r="GTL143" s="21"/>
      <c r="GTM143" s="21"/>
      <c r="GTN143" s="21"/>
      <c r="GTO143" s="21"/>
      <c r="GTP143" s="21"/>
      <c r="GTQ143" s="21"/>
      <c r="GTR143" s="21"/>
      <c r="GTS143" s="21"/>
      <c r="GTT143" s="21"/>
      <c r="GTU143" s="21"/>
      <c r="GTV143" s="21"/>
      <c r="GTW143" s="21"/>
      <c r="GTX143" s="21"/>
      <c r="GTY143" s="21"/>
      <c r="GTZ143" s="21"/>
      <c r="GUA143" s="21"/>
      <c r="GUB143" s="21"/>
      <c r="GUC143" s="21"/>
      <c r="GUD143" s="21"/>
      <c r="GUE143" s="21"/>
      <c r="GUF143" s="21"/>
      <c r="GUG143" s="21"/>
      <c r="GUH143" s="21"/>
      <c r="GUI143" s="21"/>
      <c r="GUJ143" s="21"/>
      <c r="GUK143" s="21"/>
      <c r="GUL143" s="21"/>
      <c r="GUM143" s="21"/>
      <c r="GUN143" s="21"/>
      <c r="GUO143" s="21"/>
      <c r="GUP143" s="21"/>
      <c r="GUQ143" s="21"/>
      <c r="GUR143" s="21"/>
      <c r="GUS143" s="21"/>
      <c r="GUT143" s="21"/>
      <c r="GUU143" s="21"/>
      <c r="GUV143" s="21"/>
      <c r="GUW143" s="21"/>
      <c r="GUX143" s="21"/>
      <c r="GUY143" s="21"/>
      <c r="GUZ143" s="21"/>
      <c r="GVA143" s="21"/>
      <c r="GVB143" s="21"/>
      <c r="GVC143" s="21"/>
      <c r="GVD143" s="21"/>
      <c r="GVE143" s="21"/>
      <c r="GVF143" s="21"/>
      <c r="GVG143" s="21"/>
      <c r="GVH143" s="21"/>
      <c r="GVI143" s="21"/>
      <c r="GVJ143" s="21"/>
      <c r="GVK143" s="21"/>
      <c r="GVL143" s="21"/>
      <c r="GVM143" s="21"/>
      <c r="GVN143" s="21"/>
      <c r="GVO143" s="21"/>
      <c r="GVP143" s="21"/>
      <c r="GVQ143" s="21"/>
      <c r="GVR143" s="21"/>
      <c r="GVS143" s="21"/>
      <c r="GVT143" s="21"/>
      <c r="GVU143" s="21"/>
      <c r="GVV143" s="21"/>
      <c r="GVW143" s="21"/>
      <c r="GVX143" s="21"/>
      <c r="GVY143" s="21"/>
      <c r="GVZ143" s="21"/>
      <c r="GWA143" s="21"/>
      <c r="GWB143" s="21"/>
      <c r="GWC143" s="21"/>
      <c r="GWD143" s="21"/>
      <c r="GWE143" s="21"/>
      <c r="GWF143" s="21"/>
      <c r="GWG143" s="21"/>
      <c r="GWH143" s="21"/>
      <c r="GWI143" s="21"/>
      <c r="GWJ143" s="21"/>
      <c r="GWK143" s="21"/>
      <c r="GWL143" s="21"/>
      <c r="GWM143" s="21"/>
      <c r="GWN143" s="21"/>
      <c r="GWO143" s="21"/>
      <c r="GWP143" s="21"/>
      <c r="GWQ143" s="21"/>
      <c r="GWR143" s="21"/>
      <c r="GWS143" s="21"/>
      <c r="GWT143" s="21"/>
      <c r="GWU143" s="21"/>
      <c r="GWV143" s="21"/>
      <c r="GWW143" s="21"/>
      <c r="GWX143" s="21"/>
      <c r="GWY143" s="21"/>
      <c r="GWZ143" s="21"/>
      <c r="GXA143" s="21"/>
      <c r="GXB143" s="21"/>
      <c r="GXC143" s="21"/>
      <c r="GXD143" s="21"/>
      <c r="GXE143" s="21"/>
      <c r="GXF143" s="21"/>
      <c r="GXG143" s="21"/>
      <c r="GXH143" s="21"/>
      <c r="GXI143" s="21"/>
      <c r="GXJ143" s="21"/>
      <c r="GXK143" s="21"/>
      <c r="GXL143" s="21"/>
      <c r="GXM143" s="21"/>
      <c r="GXN143" s="21"/>
      <c r="GXO143" s="21"/>
      <c r="GXP143" s="21"/>
      <c r="GXQ143" s="21"/>
      <c r="GXR143" s="21"/>
      <c r="GXS143" s="21"/>
      <c r="GXT143" s="21"/>
      <c r="GXU143" s="21"/>
      <c r="GXV143" s="21"/>
      <c r="GXW143" s="21"/>
      <c r="GXX143" s="21"/>
      <c r="GXY143" s="21"/>
      <c r="GXZ143" s="21"/>
      <c r="GYA143" s="21"/>
      <c r="GYB143" s="21"/>
      <c r="GYC143" s="21"/>
      <c r="GYD143" s="21"/>
      <c r="GYE143" s="21"/>
      <c r="GYF143" s="21"/>
      <c r="GYG143" s="21"/>
      <c r="GYH143" s="21"/>
      <c r="GYI143" s="21"/>
      <c r="GYJ143" s="21"/>
      <c r="GYK143" s="21"/>
      <c r="GYL143" s="21"/>
      <c r="GYM143" s="21"/>
      <c r="GYN143" s="21"/>
      <c r="GYO143" s="21"/>
      <c r="GYP143" s="21"/>
      <c r="GYQ143" s="21"/>
      <c r="GYR143" s="21"/>
      <c r="GYS143" s="21"/>
      <c r="GYT143" s="21"/>
      <c r="GYU143" s="21"/>
      <c r="GYV143" s="21"/>
      <c r="GYW143" s="21"/>
      <c r="GYX143" s="21"/>
      <c r="GYY143" s="21"/>
      <c r="GYZ143" s="21"/>
      <c r="GZA143" s="21"/>
      <c r="GZB143" s="21"/>
      <c r="GZC143" s="21"/>
      <c r="GZD143" s="21"/>
      <c r="GZE143" s="21"/>
      <c r="GZF143" s="21"/>
      <c r="GZG143" s="21"/>
      <c r="GZH143" s="21"/>
      <c r="GZI143" s="21"/>
      <c r="GZJ143" s="21"/>
      <c r="GZK143" s="21"/>
      <c r="GZL143" s="21"/>
      <c r="GZM143" s="21"/>
      <c r="GZN143" s="21"/>
      <c r="GZO143" s="21"/>
      <c r="GZP143" s="21"/>
      <c r="GZQ143" s="21"/>
      <c r="GZR143" s="21"/>
      <c r="GZS143" s="21"/>
      <c r="GZT143" s="21"/>
      <c r="GZU143" s="21"/>
      <c r="GZV143" s="21"/>
      <c r="GZW143" s="21"/>
      <c r="GZX143" s="21"/>
      <c r="GZY143" s="21"/>
      <c r="GZZ143" s="21"/>
      <c r="HAA143" s="21"/>
      <c r="HAB143" s="21"/>
      <c r="HAC143" s="21"/>
      <c r="HAD143" s="21"/>
      <c r="HAE143" s="21"/>
      <c r="HAF143" s="21"/>
      <c r="HAG143" s="21"/>
      <c r="HAH143" s="21"/>
      <c r="HAI143" s="21"/>
      <c r="HAJ143" s="21"/>
      <c r="HAK143" s="21"/>
      <c r="HAL143" s="21"/>
      <c r="HAM143" s="21"/>
      <c r="HAN143" s="21"/>
      <c r="HAO143" s="21"/>
      <c r="HAP143" s="21"/>
      <c r="HAQ143" s="21"/>
      <c r="HAR143" s="21"/>
      <c r="HAS143" s="21"/>
      <c r="HAT143" s="21"/>
      <c r="HAU143" s="21"/>
      <c r="HAV143" s="21"/>
      <c r="HAW143" s="21"/>
      <c r="HAX143" s="21"/>
      <c r="HAY143" s="21"/>
      <c r="HAZ143" s="21"/>
      <c r="HBA143" s="21"/>
      <c r="HBB143" s="21"/>
      <c r="HBC143" s="21"/>
      <c r="HBD143" s="21"/>
      <c r="HBE143" s="21"/>
      <c r="HBF143" s="21"/>
      <c r="HBG143" s="21"/>
      <c r="HBH143" s="21"/>
      <c r="HBI143" s="21"/>
      <c r="HBJ143" s="21"/>
      <c r="HBK143" s="21"/>
      <c r="HBL143" s="21"/>
      <c r="HBM143" s="21"/>
      <c r="HBN143" s="21"/>
      <c r="HBO143" s="21"/>
      <c r="HBP143" s="21"/>
      <c r="HBQ143" s="21"/>
      <c r="HBR143" s="21"/>
      <c r="HBS143" s="21"/>
      <c r="HBT143" s="21"/>
      <c r="HBU143" s="21"/>
      <c r="HBV143" s="21"/>
      <c r="HBW143" s="21"/>
      <c r="HBX143" s="21"/>
      <c r="HBY143" s="21"/>
      <c r="HBZ143" s="21"/>
      <c r="HCA143" s="21"/>
      <c r="HCB143" s="21"/>
      <c r="HCC143" s="21"/>
      <c r="HCD143" s="21"/>
      <c r="HCE143" s="21"/>
      <c r="HCF143" s="21"/>
      <c r="HCG143" s="21"/>
      <c r="HCH143" s="21"/>
      <c r="HCI143" s="21"/>
      <c r="HCJ143" s="21"/>
      <c r="HCK143" s="21"/>
      <c r="HCL143" s="21"/>
      <c r="HCM143" s="21"/>
      <c r="HCN143" s="21"/>
      <c r="HCO143" s="21"/>
      <c r="HCP143" s="21"/>
      <c r="HCQ143" s="21"/>
      <c r="HCR143" s="21"/>
      <c r="HCS143" s="21"/>
      <c r="HCT143" s="21"/>
      <c r="HCU143" s="21"/>
      <c r="HCV143" s="21"/>
      <c r="HCW143" s="21"/>
      <c r="HCX143" s="21"/>
      <c r="HCY143" s="21"/>
      <c r="HCZ143" s="21"/>
      <c r="HDA143" s="21"/>
      <c r="HDB143" s="21"/>
      <c r="HDC143" s="21"/>
      <c r="HDD143" s="21"/>
      <c r="HDE143" s="21"/>
      <c r="HDF143" s="21"/>
      <c r="HDG143" s="21"/>
      <c r="HDH143" s="21"/>
      <c r="HDI143" s="21"/>
      <c r="HDJ143" s="21"/>
      <c r="HDK143" s="21"/>
      <c r="HDL143" s="21"/>
      <c r="HDM143" s="21"/>
      <c r="HDN143" s="21"/>
      <c r="HDO143" s="21"/>
      <c r="HDP143" s="21"/>
      <c r="HDQ143" s="21"/>
      <c r="HDR143" s="21"/>
      <c r="HDS143" s="21"/>
      <c r="HDT143" s="21"/>
      <c r="HDU143" s="21"/>
      <c r="HDV143" s="21"/>
      <c r="HDW143" s="21"/>
      <c r="HDX143" s="21"/>
      <c r="HDY143" s="21"/>
      <c r="HDZ143" s="21"/>
      <c r="HEA143" s="21"/>
      <c r="HEB143" s="21"/>
      <c r="HEC143" s="21"/>
      <c r="HED143" s="21"/>
      <c r="HEE143" s="21"/>
      <c r="HEF143" s="21"/>
      <c r="HEG143" s="21"/>
      <c r="HEH143" s="21"/>
      <c r="HEI143" s="21"/>
      <c r="HEJ143" s="21"/>
      <c r="HEK143" s="21"/>
      <c r="HEL143" s="21"/>
      <c r="HEM143" s="21"/>
      <c r="HEN143" s="21"/>
      <c r="HEO143" s="21"/>
      <c r="HEP143" s="21"/>
      <c r="HEQ143" s="21"/>
      <c r="HER143" s="21"/>
      <c r="HES143" s="21"/>
      <c r="HET143" s="21"/>
      <c r="HEU143" s="21"/>
      <c r="HEV143" s="21"/>
      <c r="HEW143" s="21"/>
      <c r="HEX143" s="21"/>
      <c r="HEY143" s="21"/>
      <c r="HEZ143" s="21"/>
      <c r="HFA143" s="21"/>
      <c r="HFB143" s="21"/>
      <c r="HFC143" s="21"/>
      <c r="HFD143" s="21"/>
      <c r="HFE143" s="21"/>
      <c r="HFF143" s="21"/>
      <c r="HFG143" s="21"/>
      <c r="HFH143" s="21"/>
      <c r="HFI143" s="21"/>
      <c r="HFJ143" s="21"/>
      <c r="HFK143" s="21"/>
      <c r="HFL143" s="21"/>
      <c r="HFM143" s="21"/>
      <c r="HFN143" s="21"/>
      <c r="HFO143" s="21"/>
      <c r="HFP143" s="21"/>
      <c r="HFQ143" s="21"/>
      <c r="HFR143" s="21"/>
      <c r="HFS143" s="21"/>
      <c r="HFT143" s="21"/>
      <c r="HFU143" s="21"/>
      <c r="HFV143" s="21"/>
      <c r="HFW143" s="21"/>
      <c r="HFX143" s="21"/>
      <c r="HFY143" s="21"/>
      <c r="HFZ143" s="21"/>
      <c r="HGA143" s="21"/>
      <c r="HGB143" s="21"/>
      <c r="HGC143" s="21"/>
      <c r="HGD143" s="21"/>
      <c r="HGE143" s="21"/>
      <c r="HGF143" s="21"/>
      <c r="HGG143" s="21"/>
      <c r="HGH143" s="21"/>
      <c r="HGI143" s="21"/>
      <c r="HGJ143" s="21"/>
      <c r="HGK143" s="21"/>
      <c r="HGL143" s="21"/>
      <c r="HGM143" s="21"/>
      <c r="HGN143" s="21"/>
      <c r="HGO143" s="21"/>
      <c r="HGP143" s="21"/>
      <c r="HGQ143" s="21"/>
      <c r="HGR143" s="21"/>
      <c r="HGS143" s="21"/>
      <c r="HGT143" s="21"/>
      <c r="HGU143" s="21"/>
      <c r="HGV143" s="21"/>
      <c r="HGW143" s="21"/>
      <c r="HGX143" s="21"/>
      <c r="HGY143" s="21"/>
      <c r="HGZ143" s="21"/>
      <c r="HHA143" s="21"/>
      <c r="HHB143" s="21"/>
      <c r="HHC143" s="21"/>
      <c r="HHD143" s="21"/>
      <c r="HHE143" s="21"/>
      <c r="HHF143" s="21"/>
      <c r="HHG143" s="21"/>
      <c r="HHH143" s="21"/>
      <c r="HHI143" s="21"/>
      <c r="HHJ143" s="21"/>
      <c r="HHK143" s="21"/>
      <c r="HHL143" s="21"/>
      <c r="HHM143" s="21"/>
      <c r="HHN143" s="21"/>
      <c r="HHO143" s="21"/>
      <c r="HHP143" s="21"/>
      <c r="HHQ143" s="21"/>
      <c r="HHR143" s="21"/>
      <c r="HHS143" s="21"/>
      <c r="HHT143" s="21"/>
      <c r="HHU143" s="21"/>
      <c r="HHV143" s="21"/>
      <c r="HHW143" s="21"/>
      <c r="HHX143" s="21"/>
      <c r="HHY143" s="21"/>
      <c r="HHZ143" s="21"/>
      <c r="HIA143" s="21"/>
      <c r="HIB143" s="21"/>
      <c r="HIC143" s="21"/>
      <c r="HID143" s="21"/>
      <c r="HIE143" s="21"/>
      <c r="HIF143" s="21"/>
      <c r="HIG143" s="21"/>
      <c r="HIH143" s="21"/>
      <c r="HII143" s="21"/>
      <c r="HIJ143" s="21"/>
      <c r="HIK143" s="21"/>
      <c r="HIL143" s="21"/>
      <c r="HIM143" s="21"/>
      <c r="HIN143" s="21"/>
      <c r="HIO143" s="21"/>
      <c r="HIP143" s="21"/>
      <c r="HIQ143" s="21"/>
      <c r="HIR143" s="21"/>
      <c r="HIS143" s="21"/>
      <c r="HIT143" s="21"/>
      <c r="HIU143" s="21"/>
      <c r="HIV143" s="21"/>
      <c r="HIW143" s="21"/>
      <c r="HIX143" s="21"/>
      <c r="HIY143" s="21"/>
      <c r="HIZ143" s="21"/>
      <c r="HJA143" s="21"/>
      <c r="HJB143" s="21"/>
      <c r="HJC143" s="21"/>
      <c r="HJD143" s="21"/>
      <c r="HJE143" s="21"/>
      <c r="HJF143" s="21"/>
      <c r="HJG143" s="21"/>
      <c r="HJH143" s="21"/>
      <c r="HJI143" s="21"/>
      <c r="HJJ143" s="21"/>
      <c r="HJK143" s="21"/>
      <c r="HJL143" s="21"/>
      <c r="HJM143" s="21"/>
      <c r="HJN143" s="21"/>
      <c r="HJO143" s="21"/>
      <c r="HJP143" s="21"/>
      <c r="HJQ143" s="21"/>
      <c r="HJR143" s="21"/>
      <c r="HJS143" s="21"/>
      <c r="HJT143" s="21"/>
      <c r="HJU143" s="21"/>
      <c r="HJV143" s="21"/>
      <c r="HJW143" s="21"/>
      <c r="HJX143" s="21"/>
      <c r="HJY143" s="21"/>
      <c r="HJZ143" s="21"/>
      <c r="HKA143" s="21"/>
      <c r="HKB143" s="21"/>
      <c r="HKC143" s="21"/>
      <c r="HKD143" s="21"/>
      <c r="HKE143" s="21"/>
      <c r="HKF143" s="21"/>
      <c r="HKG143" s="21"/>
      <c r="HKH143" s="21"/>
      <c r="HKI143" s="21"/>
      <c r="HKJ143" s="21"/>
      <c r="HKK143" s="21"/>
      <c r="HKL143" s="21"/>
      <c r="HKM143" s="21"/>
      <c r="HKN143" s="21"/>
      <c r="HKO143" s="21"/>
      <c r="HKP143" s="21"/>
      <c r="HKQ143" s="21"/>
      <c r="HKR143" s="21"/>
      <c r="HKS143" s="21"/>
      <c r="HKT143" s="21"/>
      <c r="HKU143" s="21"/>
      <c r="HKV143" s="21"/>
      <c r="HKW143" s="21"/>
      <c r="HKX143" s="21"/>
      <c r="HKY143" s="21"/>
      <c r="HKZ143" s="21"/>
      <c r="HLA143" s="21"/>
      <c r="HLB143" s="21"/>
      <c r="HLC143" s="21"/>
      <c r="HLD143" s="21"/>
      <c r="HLE143" s="21"/>
      <c r="HLF143" s="21"/>
      <c r="HLG143" s="21"/>
      <c r="HLH143" s="21"/>
      <c r="HLI143" s="21"/>
      <c r="HLJ143" s="21"/>
      <c r="HLK143" s="21"/>
      <c r="HLL143" s="21"/>
      <c r="HLM143" s="21"/>
      <c r="HLN143" s="21"/>
      <c r="HLO143" s="21"/>
      <c r="HLP143" s="21"/>
      <c r="HLQ143" s="21"/>
      <c r="HLR143" s="21"/>
      <c r="HLS143" s="21"/>
      <c r="HLT143" s="21"/>
      <c r="HLU143" s="21"/>
      <c r="HLV143" s="21"/>
      <c r="HLW143" s="21"/>
      <c r="HLX143" s="21"/>
      <c r="HLY143" s="21"/>
      <c r="HLZ143" s="21"/>
      <c r="HMA143" s="21"/>
      <c r="HMB143" s="21"/>
      <c r="HMC143" s="21"/>
      <c r="HMD143" s="21"/>
      <c r="HME143" s="21"/>
      <c r="HMF143" s="21"/>
      <c r="HMG143" s="21"/>
      <c r="HMH143" s="21"/>
      <c r="HMI143" s="21"/>
      <c r="HMJ143" s="21"/>
      <c r="HMK143" s="21"/>
      <c r="HML143" s="21"/>
      <c r="HMM143" s="21"/>
      <c r="HMN143" s="21"/>
      <c r="HMO143" s="21"/>
      <c r="HMP143" s="21"/>
      <c r="HMQ143" s="21"/>
      <c r="HMR143" s="21"/>
      <c r="HMS143" s="21"/>
      <c r="HMT143" s="21"/>
      <c r="HMU143" s="21"/>
      <c r="HMV143" s="21"/>
      <c r="HMW143" s="21"/>
      <c r="HMX143" s="21"/>
      <c r="HMY143" s="21"/>
      <c r="HMZ143" s="21"/>
      <c r="HNA143" s="21"/>
      <c r="HNB143" s="21"/>
      <c r="HNC143" s="21"/>
      <c r="HND143" s="21"/>
      <c r="HNE143" s="21"/>
      <c r="HNF143" s="21"/>
      <c r="HNG143" s="21"/>
      <c r="HNH143" s="21"/>
      <c r="HNI143" s="21"/>
      <c r="HNJ143" s="21"/>
      <c r="HNK143" s="21"/>
      <c r="HNL143" s="21"/>
      <c r="HNM143" s="21"/>
      <c r="HNN143" s="21"/>
      <c r="HNO143" s="21"/>
      <c r="HNP143" s="21"/>
      <c r="HNQ143" s="21"/>
      <c r="HNR143" s="21"/>
      <c r="HNS143" s="21"/>
      <c r="HNT143" s="21"/>
      <c r="HNU143" s="21"/>
      <c r="HNV143" s="21"/>
      <c r="HNW143" s="21"/>
      <c r="HNX143" s="21"/>
      <c r="HNY143" s="21"/>
      <c r="HNZ143" s="21"/>
      <c r="HOA143" s="21"/>
      <c r="HOB143" s="21"/>
      <c r="HOC143" s="21"/>
      <c r="HOD143" s="21"/>
      <c r="HOE143" s="21"/>
      <c r="HOF143" s="21"/>
      <c r="HOG143" s="21"/>
      <c r="HOH143" s="21"/>
      <c r="HOI143" s="21"/>
      <c r="HOJ143" s="21"/>
      <c r="HOK143" s="21"/>
      <c r="HOL143" s="21"/>
      <c r="HOM143" s="21"/>
      <c r="HON143" s="21"/>
      <c r="HOO143" s="21"/>
      <c r="HOP143" s="21"/>
      <c r="HOQ143" s="21"/>
      <c r="HOR143" s="21"/>
      <c r="HOS143" s="21"/>
      <c r="HOT143" s="21"/>
      <c r="HOU143" s="21"/>
      <c r="HOV143" s="21"/>
      <c r="HOW143" s="21"/>
      <c r="HOX143" s="21"/>
      <c r="HOY143" s="21"/>
      <c r="HOZ143" s="21"/>
      <c r="HPA143" s="21"/>
      <c r="HPB143" s="21"/>
      <c r="HPC143" s="21"/>
      <c r="HPD143" s="21"/>
      <c r="HPE143" s="21"/>
      <c r="HPF143" s="21"/>
      <c r="HPG143" s="21"/>
      <c r="HPH143" s="21"/>
      <c r="HPI143" s="21"/>
      <c r="HPJ143" s="21"/>
      <c r="HPK143" s="21"/>
      <c r="HPL143" s="21"/>
      <c r="HPM143" s="21"/>
      <c r="HPN143" s="21"/>
      <c r="HPO143" s="21"/>
      <c r="HPP143" s="21"/>
      <c r="HPQ143" s="21"/>
      <c r="HPR143" s="21"/>
      <c r="HPS143" s="21"/>
      <c r="HPT143" s="21"/>
      <c r="HPU143" s="21"/>
      <c r="HPV143" s="21"/>
      <c r="HPW143" s="21"/>
      <c r="HPX143" s="21"/>
      <c r="HPY143" s="21"/>
      <c r="HPZ143" s="21"/>
      <c r="HQA143" s="21"/>
      <c r="HQB143" s="21"/>
      <c r="HQC143" s="21"/>
      <c r="HQD143" s="21"/>
      <c r="HQE143" s="21"/>
      <c r="HQF143" s="21"/>
      <c r="HQG143" s="21"/>
      <c r="HQH143" s="21"/>
      <c r="HQI143" s="21"/>
      <c r="HQJ143" s="21"/>
      <c r="HQK143" s="21"/>
      <c r="HQL143" s="21"/>
      <c r="HQM143" s="21"/>
      <c r="HQN143" s="21"/>
      <c r="HQO143" s="21"/>
      <c r="HQP143" s="21"/>
      <c r="HQQ143" s="21"/>
      <c r="HQR143" s="21"/>
      <c r="HQS143" s="21"/>
      <c r="HQT143" s="21"/>
      <c r="HQU143" s="21"/>
      <c r="HQV143" s="21"/>
      <c r="HQW143" s="21"/>
      <c r="HQX143" s="21"/>
      <c r="HQY143" s="21"/>
      <c r="HQZ143" s="21"/>
      <c r="HRA143" s="21"/>
      <c r="HRB143" s="21"/>
      <c r="HRC143" s="21"/>
      <c r="HRD143" s="21"/>
      <c r="HRE143" s="21"/>
      <c r="HRF143" s="21"/>
      <c r="HRG143" s="21"/>
      <c r="HRH143" s="21"/>
      <c r="HRI143" s="21"/>
      <c r="HRJ143" s="21"/>
      <c r="HRK143" s="21"/>
      <c r="HRL143" s="21"/>
      <c r="HRM143" s="21"/>
      <c r="HRN143" s="21"/>
      <c r="HRO143" s="21"/>
      <c r="HRP143" s="21"/>
      <c r="HRQ143" s="21"/>
      <c r="HRR143" s="21"/>
      <c r="HRS143" s="21"/>
      <c r="HRT143" s="21"/>
      <c r="HRU143" s="21"/>
      <c r="HRV143" s="21"/>
      <c r="HRW143" s="21"/>
      <c r="HRX143" s="21"/>
      <c r="HRY143" s="21"/>
      <c r="HRZ143" s="21"/>
      <c r="HSA143" s="21"/>
      <c r="HSB143" s="21"/>
      <c r="HSC143" s="21"/>
      <c r="HSD143" s="21"/>
      <c r="HSE143" s="21"/>
      <c r="HSF143" s="21"/>
      <c r="HSG143" s="21"/>
      <c r="HSH143" s="21"/>
      <c r="HSI143" s="21"/>
      <c r="HSJ143" s="21"/>
      <c r="HSK143" s="21"/>
      <c r="HSL143" s="21"/>
      <c r="HSM143" s="21"/>
      <c r="HSN143" s="21"/>
      <c r="HSO143" s="21"/>
      <c r="HSP143" s="21"/>
      <c r="HSQ143" s="21"/>
      <c r="HSR143" s="21"/>
      <c r="HSS143" s="21"/>
      <c r="HST143" s="21"/>
      <c r="HSU143" s="21"/>
      <c r="HSV143" s="21"/>
      <c r="HSW143" s="21"/>
      <c r="HSX143" s="21"/>
      <c r="HSY143" s="21"/>
      <c r="HSZ143" s="21"/>
      <c r="HTA143" s="21"/>
      <c r="HTB143" s="21"/>
      <c r="HTC143" s="21"/>
      <c r="HTD143" s="21"/>
      <c r="HTE143" s="21"/>
      <c r="HTF143" s="21"/>
      <c r="HTG143" s="21"/>
      <c r="HTH143" s="21"/>
      <c r="HTI143" s="21"/>
      <c r="HTJ143" s="21"/>
      <c r="HTK143" s="21"/>
      <c r="HTL143" s="21"/>
      <c r="HTM143" s="21"/>
      <c r="HTN143" s="21"/>
      <c r="HTO143" s="21"/>
      <c r="HTP143" s="21"/>
      <c r="HTQ143" s="21"/>
      <c r="HTR143" s="21"/>
      <c r="HTS143" s="21"/>
      <c r="HTT143" s="21"/>
      <c r="HTU143" s="21"/>
      <c r="HTV143" s="21"/>
      <c r="HTW143" s="21"/>
      <c r="HTX143" s="21"/>
      <c r="HTY143" s="21"/>
      <c r="HTZ143" s="21"/>
      <c r="HUA143" s="21"/>
      <c r="HUB143" s="21"/>
      <c r="HUC143" s="21"/>
      <c r="HUD143" s="21"/>
      <c r="HUE143" s="21"/>
      <c r="HUF143" s="21"/>
      <c r="HUG143" s="21"/>
      <c r="HUH143" s="21"/>
      <c r="HUI143" s="21"/>
      <c r="HUJ143" s="21"/>
      <c r="HUK143" s="21"/>
      <c r="HUL143" s="21"/>
      <c r="HUM143" s="21"/>
      <c r="HUN143" s="21"/>
      <c r="HUO143" s="21"/>
      <c r="HUP143" s="21"/>
      <c r="HUQ143" s="21"/>
      <c r="HUR143" s="21"/>
      <c r="HUS143" s="21"/>
      <c r="HUT143" s="21"/>
      <c r="HUU143" s="21"/>
      <c r="HUV143" s="21"/>
      <c r="HUW143" s="21"/>
      <c r="HUX143" s="21"/>
      <c r="HUY143" s="21"/>
      <c r="HUZ143" s="21"/>
      <c r="HVA143" s="21"/>
      <c r="HVB143" s="21"/>
      <c r="HVC143" s="21"/>
      <c r="HVD143" s="21"/>
      <c r="HVE143" s="21"/>
      <c r="HVF143" s="21"/>
      <c r="HVG143" s="21"/>
      <c r="HVH143" s="21"/>
      <c r="HVI143" s="21"/>
      <c r="HVJ143" s="21"/>
      <c r="HVK143" s="21"/>
      <c r="HVL143" s="21"/>
      <c r="HVM143" s="21"/>
      <c r="HVN143" s="21"/>
      <c r="HVO143" s="21"/>
      <c r="HVP143" s="21"/>
      <c r="HVQ143" s="21"/>
      <c r="HVR143" s="21"/>
      <c r="HVS143" s="21"/>
      <c r="HVT143" s="21"/>
      <c r="HVU143" s="21"/>
      <c r="HVV143" s="21"/>
      <c r="HVW143" s="21"/>
      <c r="HVX143" s="21"/>
      <c r="HVY143" s="21"/>
      <c r="HVZ143" s="21"/>
      <c r="HWA143" s="21"/>
      <c r="HWB143" s="21"/>
      <c r="HWC143" s="21"/>
      <c r="HWD143" s="21"/>
      <c r="HWE143" s="21"/>
      <c r="HWF143" s="21"/>
      <c r="HWG143" s="21"/>
      <c r="HWH143" s="21"/>
      <c r="HWI143" s="21"/>
      <c r="HWJ143" s="21"/>
      <c r="HWK143" s="21"/>
      <c r="HWL143" s="21"/>
      <c r="HWM143" s="21"/>
      <c r="HWN143" s="21"/>
      <c r="HWO143" s="21"/>
      <c r="HWP143" s="21"/>
      <c r="HWQ143" s="21"/>
      <c r="HWR143" s="21"/>
      <c r="HWS143" s="21"/>
      <c r="HWT143" s="21"/>
      <c r="HWU143" s="21"/>
      <c r="HWV143" s="21"/>
      <c r="HWW143" s="21"/>
      <c r="HWX143" s="21"/>
      <c r="HWY143" s="21"/>
      <c r="HWZ143" s="21"/>
      <c r="HXA143" s="21"/>
      <c r="HXB143" s="21"/>
      <c r="HXC143" s="21"/>
      <c r="HXD143" s="21"/>
      <c r="HXE143" s="21"/>
      <c r="HXF143" s="21"/>
      <c r="HXG143" s="21"/>
      <c r="HXH143" s="21"/>
      <c r="HXI143" s="21"/>
      <c r="HXJ143" s="21"/>
      <c r="HXK143" s="21"/>
      <c r="HXL143" s="21"/>
      <c r="HXM143" s="21"/>
      <c r="HXN143" s="21"/>
      <c r="HXO143" s="21"/>
      <c r="HXP143" s="21"/>
      <c r="HXQ143" s="21"/>
      <c r="HXR143" s="21"/>
      <c r="HXS143" s="21"/>
      <c r="HXT143" s="21"/>
      <c r="HXU143" s="21"/>
      <c r="HXV143" s="21"/>
      <c r="HXW143" s="21"/>
      <c r="HXX143" s="21"/>
      <c r="HXY143" s="21"/>
      <c r="HXZ143" s="21"/>
      <c r="HYA143" s="21"/>
      <c r="HYB143" s="21"/>
      <c r="HYC143" s="21"/>
      <c r="HYD143" s="21"/>
      <c r="HYE143" s="21"/>
      <c r="HYF143" s="21"/>
      <c r="HYG143" s="21"/>
      <c r="HYH143" s="21"/>
      <c r="HYI143" s="21"/>
      <c r="HYJ143" s="21"/>
      <c r="HYK143" s="21"/>
      <c r="HYL143" s="21"/>
      <c r="HYM143" s="21"/>
      <c r="HYN143" s="21"/>
      <c r="HYO143" s="21"/>
      <c r="HYP143" s="21"/>
      <c r="HYQ143" s="21"/>
      <c r="HYR143" s="21"/>
      <c r="HYS143" s="21"/>
      <c r="HYT143" s="21"/>
      <c r="HYU143" s="21"/>
      <c r="HYV143" s="21"/>
      <c r="HYW143" s="21"/>
      <c r="HYX143" s="21"/>
      <c r="HYY143" s="21"/>
      <c r="HYZ143" s="21"/>
      <c r="HZA143" s="21"/>
      <c r="HZB143" s="21"/>
      <c r="HZC143" s="21"/>
      <c r="HZD143" s="21"/>
      <c r="HZE143" s="21"/>
      <c r="HZF143" s="21"/>
      <c r="HZG143" s="21"/>
      <c r="HZH143" s="21"/>
      <c r="HZI143" s="21"/>
      <c r="HZJ143" s="21"/>
      <c r="HZK143" s="21"/>
      <c r="HZL143" s="21"/>
      <c r="HZM143" s="21"/>
      <c r="HZN143" s="21"/>
      <c r="HZO143" s="21"/>
      <c r="HZP143" s="21"/>
      <c r="HZQ143" s="21"/>
      <c r="HZR143" s="21"/>
      <c r="HZS143" s="21"/>
      <c r="HZT143" s="21"/>
      <c r="HZU143" s="21"/>
      <c r="HZV143" s="21"/>
      <c r="HZW143" s="21"/>
      <c r="HZX143" s="21"/>
      <c r="HZY143" s="21"/>
      <c r="HZZ143" s="21"/>
      <c r="IAA143" s="21"/>
      <c r="IAB143" s="21"/>
      <c r="IAC143" s="21"/>
      <c r="IAD143" s="21"/>
      <c r="IAE143" s="21"/>
      <c r="IAF143" s="21"/>
      <c r="IAG143" s="21"/>
      <c r="IAH143" s="21"/>
      <c r="IAI143" s="21"/>
      <c r="IAJ143" s="21"/>
      <c r="IAK143" s="21"/>
      <c r="IAL143" s="21"/>
      <c r="IAM143" s="21"/>
      <c r="IAN143" s="21"/>
      <c r="IAO143" s="21"/>
      <c r="IAP143" s="21"/>
      <c r="IAQ143" s="21"/>
      <c r="IAR143" s="21"/>
      <c r="IAS143" s="21"/>
      <c r="IAT143" s="21"/>
      <c r="IAU143" s="21"/>
      <c r="IAV143" s="21"/>
      <c r="IAW143" s="21"/>
      <c r="IAX143" s="21"/>
      <c r="IAY143" s="21"/>
      <c r="IAZ143" s="21"/>
      <c r="IBA143" s="21"/>
      <c r="IBB143" s="21"/>
      <c r="IBC143" s="21"/>
      <c r="IBD143" s="21"/>
      <c r="IBE143" s="21"/>
      <c r="IBF143" s="21"/>
      <c r="IBG143" s="21"/>
      <c r="IBH143" s="21"/>
      <c r="IBI143" s="21"/>
      <c r="IBJ143" s="21"/>
      <c r="IBK143" s="21"/>
      <c r="IBL143" s="21"/>
      <c r="IBM143" s="21"/>
      <c r="IBN143" s="21"/>
      <c r="IBO143" s="21"/>
      <c r="IBP143" s="21"/>
      <c r="IBQ143" s="21"/>
      <c r="IBR143" s="21"/>
      <c r="IBS143" s="21"/>
      <c r="IBT143" s="21"/>
      <c r="IBU143" s="21"/>
      <c r="IBV143" s="21"/>
      <c r="IBW143" s="21"/>
      <c r="IBX143" s="21"/>
      <c r="IBY143" s="21"/>
      <c r="IBZ143" s="21"/>
      <c r="ICA143" s="21"/>
      <c r="ICB143" s="21"/>
      <c r="ICC143" s="21"/>
      <c r="ICD143" s="21"/>
      <c r="ICE143" s="21"/>
      <c r="ICF143" s="21"/>
      <c r="ICG143" s="21"/>
      <c r="ICH143" s="21"/>
      <c r="ICI143" s="21"/>
      <c r="ICJ143" s="21"/>
      <c r="ICK143" s="21"/>
      <c r="ICL143" s="21"/>
      <c r="ICM143" s="21"/>
      <c r="ICN143" s="21"/>
      <c r="ICO143" s="21"/>
      <c r="ICP143" s="21"/>
      <c r="ICQ143" s="21"/>
      <c r="ICR143" s="21"/>
      <c r="ICS143" s="21"/>
      <c r="ICT143" s="21"/>
      <c r="ICU143" s="21"/>
      <c r="ICV143" s="21"/>
      <c r="ICW143" s="21"/>
      <c r="ICX143" s="21"/>
      <c r="ICY143" s="21"/>
      <c r="ICZ143" s="21"/>
      <c r="IDA143" s="21"/>
      <c r="IDB143" s="21"/>
      <c r="IDC143" s="21"/>
      <c r="IDD143" s="21"/>
      <c r="IDE143" s="21"/>
      <c r="IDF143" s="21"/>
      <c r="IDG143" s="21"/>
      <c r="IDH143" s="21"/>
      <c r="IDI143" s="21"/>
      <c r="IDJ143" s="21"/>
      <c r="IDK143" s="21"/>
      <c r="IDL143" s="21"/>
      <c r="IDM143" s="21"/>
      <c r="IDN143" s="21"/>
      <c r="IDO143" s="21"/>
      <c r="IDP143" s="21"/>
      <c r="IDQ143" s="21"/>
      <c r="IDR143" s="21"/>
      <c r="IDS143" s="21"/>
      <c r="IDT143" s="21"/>
      <c r="IDU143" s="21"/>
      <c r="IDV143" s="21"/>
      <c r="IDW143" s="21"/>
      <c r="IDX143" s="21"/>
      <c r="IDY143" s="21"/>
      <c r="IDZ143" s="21"/>
      <c r="IEA143" s="21"/>
      <c r="IEB143" s="21"/>
      <c r="IEC143" s="21"/>
      <c r="IED143" s="21"/>
      <c r="IEE143" s="21"/>
      <c r="IEF143" s="21"/>
      <c r="IEG143" s="21"/>
      <c r="IEH143" s="21"/>
      <c r="IEI143" s="21"/>
      <c r="IEJ143" s="21"/>
      <c r="IEK143" s="21"/>
      <c r="IEL143" s="21"/>
      <c r="IEM143" s="21"/>
      <c r="IEN143" s="21"/>
      <c r="IEO143" s="21"/>
      <c r="IEP143" s="21"/>
      <c r="IEQ143" s="21"/>
      <c r="IER143" s="21"/>
      <c r="IES143" s="21"/>
      <c r="IET143" s="21"/>
      <c r="IEU143" s="21"/>
      <c r="IEV143" s="21"/>
      <c r="IEW143" s="21"/>
      <c r="IEX143" s="21"/>
      <c r="IEY143" s="21"/>
      <c r="IEZ143" s="21"/>
      <c r="IFA143" s="21"/>
      <c r="IFB143" s="21"/>
      <c r="IFC143" s="21"/>
      <c r="IFD143" s="21"/>
      <c r="IFE143" s="21"/>
      <c r="IFF143" s="21"/>
      <c r="IFG143" s="21"/>
      <c r="IFH143" s="21"/>
      <c r="IFI143" s="21"/>
      <c r="IFJ143" s="21"/>
      <c r="IFK143" s="21"/>
      <c r="IFL143" s="21"/>
      <c r="IFM143" s="21"/>
      <c r="IFN143" s="21"/>
      <c r="IFO143" s="21"/>
      <c r="IFP143" s="21"/>
      <c r="IFQ143" s="21"/>
      <c r="IFR143" s="21"/>
      <c r="IFS143" s="21"/>
      <c r="IFT143" s="21"/>
      <c r="IFU143" s="21"/>
      <c r="IFV143" s="21"/>
      <c r="IFW143" s="21"/>
      <c r="IFX143" s="21"/>
      <c r="IFY143" s="21"/>
      <c r="IFZ143" s="21"/>
      <c r="IGA143" s="21"/>
      <c r="IGB143" s="21"/>
      <c r="IGC143" s="21"/>
      <c r="IGD143" s="21"/>
      <c r="IGE143" s="21"/>
      <c r="IGF143" s="21"/>
      <c r="IGG143" s="21"/>
      <c r="IGH143" s="21"/>
      <c r="IGI143" s="21"/>
      <c r="IGJ143" s="21"/>
      <c r="IGK143" s="21"/>
      <c r="IGL143" s="21"/>
      <c r="IGM143" s="21"/>
      <c r="IGN143" s="21"/>
      <c r="IGO143" s="21"/>
      <c r="IGP143" s="21"/>
      <c r="IGQ143" s="21"/>
      <c r="IGR143" s="21"/>
      <c r="IGS143" s="21"/>
      <c r="IGT143" s="21"/>
      <c r="IGU143" s="21"/>
      <c r="IGV143" s="21"/>
      <c r="IGW143" s="21"/>
      <c r="IGX143" s="21"/>
      <c r="IGY143" s="21"/>
      <c r="IGZ143" s="21"/>
      <c r="IHA143" s="21"/>
      <c r="IHB143" s="21"/>
      <c r="IHC143" s="21"/>
      <c r="IHD143" s="21"/>
      <c r="IHE143" s="21"/>
      <c r="IHF143" s="21"/>
      <c r="IHG143" s="21"/>
      <c r="IHH143" s="21"/>
      <c r="IHI143" s="21"/>
      <c r="IHJ143" s="21"/>
      <c r="IHK143" s="21"/>
      <c r="IHL143" s="21"/>
      <c r="IHM143" s="21"/>
      <c r="IHN143" s="21"/>
      <c r="IHO143" s="21"/>
      <c r="IHP143" s="21"/>
      <c r="IHQ143" s="21"/>
      <c r="IHR143" s="21"/>
      <c r="IHS143" s="21"/>
      <c r="IHT143" s="21"/>
      <c r="IHU143" s="21"/>
      <c r="IHV143" s="21"/>
      <c r="IHW143" s="21"/>
      <c r="IHX143" s="21"/>
      <c r="IHY143" s="21"/>
      <c r="IHZ143" s="21"/>
      <c r="IIA143" s="21"/>
      <c r="IIB143" s="21"/>
      <c r="IIC143" s="21"/>
      <c r="IID143" s="21"/>
      <c r="IIE143" s="21"/>
      <c r="IIF143" s="21"/>
      <c r="IIG143" s="21"/>
      <c r="IIH143" s="21"/>
      <c r="III143" s="21"/>
      <c r="IIJ143" s="21"/>
      <c r="IIK143" s="21"/>
      <c r="IIL143" s="21"/>
      <c r="IIM143" s="21"/>
      <c r="IIN143" s="21"/>
      <c r="IIO143" s="21"/>
      <c r="IIP143" s="21"/>
      <c r="IIQ143" s="21"/>
      <c r="IIR143" s="21"/>
      <c r="IIS143" s="21"/>
      <c r="IIT143" s="21"/>
      <c r="IIU143" s="21"/>
      <c r="IIV143" s="21"/>
      <c r="IIW143" s="21"/>
      <c r="IIX143" s="21"/>
      <c r="IIY143" s="21"/>
      <c r="IIZ143" s="21"/>
      <c r="IJA143" s="21"/>
      <c r="IJB143" s="21"/>
      <c r="IJC143" s="21"/>
      <c r="IJD143" s="21"/>
      <c r="IJE143" s="21"/>
      <c r="IJF143" s="21"/>
      <c r="IJG143" s="21"/>
      <c r="IJH143" s="21"/>
      <c r="IJI143" s="21"/>
      <c r="IJJ143" s="21"/>
      <c r="IJK143" s="21"/>
      <c r="IJL143" s="21"/>
      <c r="IJM143" s="21"/>
      <c r="IJN143" s="21"/>
      <c r="IJO143" s="21"/>
      <c r="IJP143" s="21"/>
      <c r="IJQ143" s="21"/>
      <c r="IJR143" s="21"/>
      <c r="IJS143" s="21"/>
      <c r="IJT143" s="21"/>
      <c r="IJU143" s="21"/>
      <c r="IJV143" s="21"/>
      <c r="IJW143" s="21"/>
      <c r="IJX143" s="21"/>
      <c r="IJY143" s="21"/>
      <c r="IJZ143" s="21"/>
      <c r="IKA143" s="21"/>
      <c r="IKB143" s="21"/>
      <c r="IKC143" s="21"/>
      <c r="IKD143" s="21"/>
      <c r="IKE143" s="21"/>
      <c r="IKF143" s="21"/>
      <c r="IKG143" s="21"/>
      <c r="IKH143" s="21"/>
      <c r="IKI143" s="21"/>
      <c r="IKJ143" s="21"/>
      <c r="IKK143" s="21"/>
      <c r="IKL143" s="21"/>
      <c r="IKM143" s="21"/>
      <c r="IKN143" s="21"/>
      <c r="IKO143" s="21"/>
      <c r="IKP143" s="21"/>
      <c r="IKQ143" s="21"/>
      <c r="IKR143" s="21"/>
      <c r="IKS143" s="21"/>
      <c r="IKT143" s="21"/>
      <c r="IKU143" s="21"/>
      <c r="IKV143" s="21"/>
      <c r="IKW143" s="21"/>
      <c r="IKX143" s="21"/>
      <c r="IKY143" s="21"/>
      <c r="IKZ143" s="21"/>
      <c r="ILA143" s="21"/>
      <c r="ILB143" s="21"/>
      <c r="ILC143" s="21"/>
      <c r="ILD143" s="21"/>
      <c r="ILE143" s="21"/>
      <c r="ILF143" s="21"/>
      <c r="ILG143" s="21"/>
      <c r="ILH143" s="21"/>
      <c r="ILI143" s="21"/>
      <c r="ILJ143" s="21"/>
      <c r="ILK143" s="21"/>
      <c r="ILL143" s="21"/>
      <c r="ILM143" s="21"/>
      <c r="ILN143" s="21"/>
      <c r="ILO143" s="21"/>
      <c r="ILP143" s="21"/>
      <c r="ILQ143" s="21"/>
      <c r="ILR143" s="21"/>
      <c r="ILS143" s="21"/>
      <c r="ILT143" s="21"/>
      <c r="ILU143" s="21"/>
      <c r="ILV143" s="21"/>
      <c r="ILW143" s="21"/>
      <c r="ILX143" s="21"/>
      <c r="ILY143" s="21"/>
      <c r="ILZ143" s="21"/>
      <c r="IMA143" s="21"/>
      <c r="IMB143" s="21"/>
      <c r="IMC143" s="21"/>
      <c r="IMD143" s="21"/>
      <c r="IME143" s="21"/>
      <c r="IMF143" s="21"/>
      <c r="IMG143" s="21"/>
      <c r="IMH143" s="21"/>
      <c r="IMI143" s="21"/>
      <c r="IMJ143" s="21"/>
      <c r="IMK143" s="21"/>
      <c r="IML143" s="21"/>
      <c r="IMM143" s="21"/>
      <c r="IMN143" s="21"/>
      <c r="IMO143" s="21"/>
      <c r="IMP143" s="21"/>
      <c r="IMQ143" s="21"/>
      <c r="IMR143" s="21"/>
      <c r="IMS143" s="21"/>
      <c r="IMT143" s="21"/>
      <c r="IMU143" s="21"/>
      <c r="IMV143" s="21"/>
      <c r="IMW143" s="21"/>
      <c r="IMX143" s="21"/>
      <c r="IMY143" s="21"/>
      <c r="IMZ143" s="21"/>
      <c r="INA143" s="21"/>
      <c r="INB143" s="21"/>
      <c r="INC143" s="21"/>
      <c r="IND143" s="21"/>
      <c r="INE143" s="21"/>
      <c r="INF143" s="21"/>
      <c r="ING143" s="21"/>
      <c r="INH143" s="21"/>
      <c r="INI143" s="21"/>
      <c r="INJ143" s="21"/>
      <c r="INK143" s="21"/>
      <c r="INL143" s="21"/>
      <c r="INM143" s="21"/>
      <c r="INN143" s="21"/>
      <c r="INO143" s="21"/>
      <c r="INP143" s="21"/>
      <c r="INQ143" s="21"/>
      <c r="INR143" s="21"/>
      <c r="INS143" s="21"/>
      <c r="INT143" s="21"/>
      <c r="INU143" s="21"/>
      <c r="INV143" s="21"/>
      <c r="INW143" s="21"/>
      <c r="INX143" s="21"/>
      <c r="INY143" s="21"/>
      <c r="INZ143" s="21"/>
      <c r="IOA143" s="21"/>
      <c r="IOB143" s="21"/>
      <c r="IOC143" s="21"/>
      <c r="IOD143" s="21"/>
      <c r="IOE143" s="21"/>
      <c r="IOF143" s="21"/>
      <c r="IOG143" s="21"/>
      <c r="IOH143" s="21"/>
      <c r="IOI143" s="21"/>
      <c r="IOJ143" s="21"/>
      <c r="IOK143" s="21"/>
      <c r="IOL143" s="21"/>
      <c r="IOM143" s="21"/>
      <c r="ION143" s="21"/>
      <c r="IOO143" s="21"/>
      <c r="IOP143" s="21"/>
      <c r="IOQ143" s="21"/>
      <c r="IOR143" s="21"/>
      <c r="IOS143" s="21"/>
      <c r="IOT143" s="21"/>
      <c r="IOU143" s="21"/>
      <c r="IOV143" s="21"/>
      <c r="IOW143" s="21"/>
      <c r="IOX143" s="21"/>
      <c r="IOY143" s="21"/>
      <c r="IOZ143" s="21"/>
      <c r="IPA143" s="21"/>
      <c r="IPB143" s="21"/>
      <c r="IPC143" s="21"/>
      <c r="IPD143" s="21"/>
      <c r="IPE143" s="21"/>
      <c r="IPF143" s="21"/>
      <c r="IPG143" s="21"/>
      <c r="IPH143" s="21"/>
      <c r="IPI143" s="21"/>
      <c r="IPJ143" s="21"/>
      <c r="IPK143" s="21"/>
      <c r="IPL143" s="21"/>
      <c r="IPM143" s="21"/>
      <c r="IPN143" s="21"/>
      <c r="IPO143" s="21"/>
      <c r="IPP143" s="21"/>
      <c r="IPQ143" s="21"/>
      <c r="IPR143" s="21"/>
      <c r="IPS143" s="21"/>
      <c r="IPT143" s="21"/>
      <c r="IPU143" s="21"/>
      <c r="IPV143" s="21"/>
      <c r="IPW143" s="21"/>
      <c r="IPX143" s="21"/>
      <c r="IPY143" s="21"/>
      <c r="IPZ143" s="21"/>
      <c r="IQA143" s="21"/>
      <c r="IQB143" s="21"/>
      <c r="IQC143" s="21"/>
      <c r="IQD143" s="21"/>
      <c r="IQE143" s="21"/>
      <c r="IQF143" s="21"/>
      <c r="IQG143" s="21"/>
      <c r="IQH143" s="21"/>
      <c r="IQI143" s="21"/>
      <c r="IQJ143" s="21"/>
      <c r="IQK143" s="21"/>
      <c r="IQL143" s="21"/>
      <c r="IQM143" s="21"/>
      <c r="IQN143" s="21"/>
      <c r="IQO143" s="21"/>
      <c r="IQP143" s="21"/>
      <c r="IQQ143" s="21"/>
      <c r="IQR143" s="21"/>
      <c r="IQS143" s="21"/>
      <c r="IQT143" s="21"/>
      <c r="IQU143" s="21"/>
      <c r="IQV143" s="21"/>
      <c r="IQW143" s="21"/>
      <c r="IQX143" s="21"/>
      <c r="IQY143" s="21"/>
      <c r="IQZ143" s="21"/>
      <c r="IRA143" s="21"/>
      <c r="IRB143" s="21"/>
      <c r="IRC143" s="21"/>
      <c r="IRD143" s="21"/>
      <c r="IRE143" s="21"/>
      <c r="IRF143" s="21"/>
      <c r="IRG143" s="21"/>
      <c r="IRH143" s="21"/>
      <c r="IRI143" s="21"/>
      <c r="IRJ143" s="21"/>
      <c r="IRK143" s="21"/>
      <c r="IRL143" s="21"/>
      <c r="IRM143" s="21"/>
      <c r="IRN143" s="21"/>
      <c r="IRO143" s="21"/>
      <c r="IRP143" s="21"/>
      <c r="IRQ143" s="21"/>
      <c r="IRR143" s="21"/>
      <c r="IRS143" s="21"/>
      <c r="IRT143" s="21"/>
      <c r="IRU143" s="21"/>
      <c r="IRV143" s="21"/>
      <c r="IRW143" s="21"/>
      <c r="IRX143" s="21"/>
      <c r="IRY143" s="21"/>
      <c r="IRZ143" s="21"/>
      <c r="ISA143" s="21"/>
      <c r="ISB143" s="21"/>
      <c r="ISC143" s="21"/>
      <c r="ISD143" s="21"/>
      <c r="ISE143" s="21"/>
      <c r="ISF143" s="21"/>
      <c r="ISG143" s="21"/>
      <c r="ISH143" s="21"/>
      <c r="ISI143" s="21"/>
      <c r="ISJ143" s="21"/>
      <c r="ISK143" s="21"/>
      <c r="ISL143" s="21"/>
      <c r="ISM143" s="21"/>
      <c r="ISN143" s="21"/>
      <c r="ISO143" s="21"/>
      <c r="ISP143" s="21"/>
      <c r="ISQ143" s="21"/>
      <c r="ISR143" s="21"/>
      <c r="ISS143" s="21"/>
      <c r="IST143" s="21"/>
      <c r="ISU143" s="21"/>
      <c r="ISV143" s="21"/>
      <c r="ISW143" s="21"/>
      <c r="ISX143" s="21"/>
      <c r="ISY143" s="21"/>
      <c r="ISZ143" s="21"/>
      <c r="ITA143" s="21"/>
      <c r="ITB143" s="21"/>
      <c r="ITC143" s="21"/>
      <c r="ITD143" s="21"/>
      <c r="ITE143" s="21"/>
      <c r="ITF143" s="21"/>
      <c r="ITG143" s="21"/>
      <c r="ITH143" s="21"/>
      <c r="ITI143" s="21"/>
      <c r="ITJ143" s="21"/>
      <c r="ITK143" s="21"/>
      <c r="ITL143" s="21"/>
      <c r="ITM143" s="21"/>
      <c r="ITN143" s="21"/>
      <c r="ITO143" s="21"/>
      <c r="ITP143" s="21"/>
      <c r="ITQ143" s="21"/>
      <c r="ITR143" s="21"/>
      <c r="ITS143" s="21"/>
      <c r="ITT143" s="21"/>
      <c r="ITU143" s="21"/>
      <c r="ITV143" s="21"/>
      <c r="ITW143" s="21"/>
      <c r="ITX143" s="21"/>
      <c r="ITY143" s="21"/>
      <c r="ITZ143" s="21"/>
      <c r="IUA143" s="21"/>
      <c r="IUB143" s="21"/>
      <c r="IUC143" s="21"/>
      <c r="IUD143" s="21"/>
      <c r="IUE143" s="21"/>
      <c r="IUF143" s="21"/>
      <c r="IUG143" s="21"/>
      <c r="IUH143" s="21"/>
      <c r="IUI143" s="21"/>
      <c r="IUJ143" s="21"/>
      <c r="IUK143" s="21"/>
      <c r="IUL143" s="21"/>
      <c r="IUM143" s="21"/>
      <c r="IUN143" s="21"/>
      <c r="IUO143" s="21"/>
      <c r="IUP143" s="21"/>
      <c r="IUQ143" s="21"/>
      <c r="IUR143" s="21"/>
      <c r="IUS143" s="21"/>
      <c r="IUT143" s="21"/>
      <c r="IUU143" s="21"/>
      <c r="IUV143" s="21"/>
      <c r="IUW143" s="21"/>
      <c r="IUX143" s="21"/>
      <c r="IUY143" s="21"/>
      <c r="IUZ143" s="21"/>
      <c r="IVA143" s="21"/>
      <c r="IVB143" s="21"/>
      <c r="IVC143" s="21"/>
      <c r="IVD143" s="21"/>
      <c r="IVE143" s="21"/>
      <c r="IVF143" s="21"/>
      <c r="IVG143" s="21"/>
      <c r="IVH143" s="21"/>
      <c r="IVI143" s="21"/>
      <c r="IVJ143" s="21"/>
      <c r="IVK143" s="21"/>
      <c r="IVL143" s="21"/>
      <c r="IVM143" s="21"/>
      <c r="IVN143" s="21"/>
      <c r="IVO143" s="21"/>
      <c r="IVP143" s="21"/>
      <c r="IVQ143" s="21"/>
      <c r="IVR143" s="21"/>
      <c r="IVS143" s="21"/>
      <c r="IVT143" s="21"/>
      <c r="IVU143" s="21"/>
      <c r="IVV143" s="21"/>
      <c r="IVW143" s="21"/>
      <c r="IVX143" s="21"/>
      <c r="IVY143" s="21"/>
      <c r="IVZ143" s="21"/>
      <c r="IWA143" s="21"/>
      <c r="IWB143" s="21"/>
      <c r="IWC143" s="21"/>
      <c r="IWD143" s="21"/>
      <c r="IWE143" s="21"/>
      <c r="IWF143" s="21"/>
      <c r="IWG143" s="21"/>
      <c r="IWH143" s="21"/>
      <c r="IWI143" s="21"/>
      <c r="IWJ143" s="21"/>
      <c r="IWK143" s="21"/>
      <c r="IWL143" s="21"/>
      <c r="IWM143" s="21"/>
      <c r="IWN143" s="21"/>
      <c r="IWO143" s="21"/>
      <c r="IWP143" s="21"/>
      <c r="IWQ143" s="21"/>
      <c r="IWR143" s="21"/>
      <c r="IWS143" s="21"/>
      <c r="IWT143" s="21"/>
      <c r="IWU143" s="21"/>
      <c r="IWV143" s="21"/>
      <c r="IWW143" s="21"/>
      <c r="IWX143" s="21"/>
      <c r="IWY143" s="21"/>
      <c r="IWZ143" s="21"/>
      <c r="IXA143" s="21"/>
      <c r="IXB143" s="21"/>
      <c r="IXC143" s="21"/>
      <c r="IXD143" s="21"/>
      <c r="IXE143" s="21"/>
      <c r="IXF143" s="21"/>
      <c r="IXG143" s="21"/>
      <c r="IXH143" s="21"/>
      <c r="IXI143" s="21"/>
      <c r="IXJ143" s="21"/>
      <c r="IXK143" s="21"/>
      <c r="IXL143" s="21"/>
      <c r="IXM143" s="21"/>
      <c r="IXN143" s="21"/>
      <c r="IXO143" s="21"/>
      <c r="IXP143" s="21"/>
      <c r="IXQ143" s="21"/>
      <c r="IXR143" s="21"/>
      <c r="IXS143" s="21"/>
      <c r="IXT143" s="21"/>
      <c r="IXU143" s="21"/>
      <c r="IXV143" s="21"/>
      <c r="IXW143" s="21"/>
      <c r="IXX143" s="21"/>
      <c r="IXY143" s="21"/>
      <c r="IXZ143" s="21"/>
      <c r="IYA143" s="21"/>
      <c r="IYB143" s="21"/>
      <c r="IYC143" s="21"/>
      <c r="IYD143" s="21"/>
      <c r="IYE143" s="21"/>
      <c r="IYF143" s="21"/>
      <c r="IYG143" s="21"/>
      <c r="IYH143" s="21"/>
      <c r="IYI143" s="21"/>
      <c r="IYJ143" s="21"/>
      <c r="IYK143" s="21"/>
      <c r="IYL143" s="21"/>
      <c r="IYM143" s="21"/>
      <c r="IYN143" s="21"/>
      <c r="IYO143" s="21"/>
      <c r="IYP143" s="21"/>
      <c r="IYQ143" s="21"/>
      <c r="IYR143" s="21"/>
      <c r="IYS143" s="21"/>
      <c r="IYT143" s="21"/>
      <c r="IYU143" s="21"/>
      <c r="IYV143" s="21"/>
      <c r="IYW143" s="21"/>
      <c r="IYX143" s="21"/>
      <c r="IYY143" s="21"/>
      <c r="IYZ143" s="21"/>
      <c r="IZA143" s="21"/>
      <c r="IZB143" s="21"/>
      <c r="IZC143" s="21"/>
      <c r="IZD143" s="21"/>
      <c r="IZE143" s="21"/>
      <c r="IZF143" s="21"/>
      <c r="IZG143" s="21"/>
      <c r="IZH143" s="21"/>
      <c r="IZI143" s="21"/>
      <c r="IZJ143" s="21"/>
      <c r="IZK143" s="21"/>
      <c r="IZL143" s="21"/>
      <c r="IZM143" s="21"/>
      <c r="IZN143" s="21"/>
      <c r="IZO143" s="21"/>
      <c r="IZP143" s="21"/>
      <c r="IZQ143" s="21"/>
      <c r="IZR143" s="21"/>
      <c r="IZS143" s="21"/>
      <c r="IZT143" s="21"/>
      <c r="IZU143" s="21"/>
      <c r="IZV143" s="21"/>
      <c r="IZW143" s="21"/>
      <c r="IZX143" s="21"/>
      <c r="IZY143" s="21"/>
      <c r="IZZ143" s="21"/>
      <c r="JAA143" s="21"/>
      <c r="JAB143" s="21"/>
      <c r="JAC143" s="21"/>
      <c r="JAD143" s="21"/>
      <c r="JAE143" s="21"/>
      <c r="JAF143" s="21"/>
      <c r="JAG143" s="21"/>
      <c r="JAH143" s="21"/>
      <c r="JAI143" s="21"/>
      <c r="JAJ143" s="21"/>
      <c r="JAK143" s="21"/>
      <c r="JAL143" s="21"/>
      <c r="JAM143" s="21"/>
      <c r="JAN143" s="21"/>
      <c r="JAO143" s="21"/>
      <c r="JAP143" s="21"/>
      <c r="JAQ143" s="21"/>
      <c r="JAR143" s="21"/>
      <c r="JAS143" s="21"/>
      <c r="JAT143" s="21"/>
      <c r="JAU143" s="21"/>
      <c r="JAV143" s="21"/>
      <c r="JAW143" s="21"/>
      <c r="JAX143" s="21"/>
      <c r="JAY143" s="21"/>
      <c r="JAZ143" s="21"/>
      <c r="JBA143" s="21"/>
      <c r="JBB143" s="21"/>
      <c r="JBC143" s="21"/>
      <c r="JBD143" s="21"/>
      <c r="JBE143" s="21"/>
      <c r="JBF143" s="21"/>
      <c r="JBG143" s="21"/>
      <c r="JBH143" s="21"/>
      <c r="JBI143" s="21"/>
      <c r="JBJ143" s="21"/>
      <c r="JBK143" s="21"/>
      <c r="JBL143" s="21"/>
      <c r="JBM143" s="21"/>
      <c r="JBN143" s="21"/>
      <c r="JBO143" s="21"/>
      <c r="JBP143" s="21"/>
      <c r="JBQ143" s="21"/>
      <c r="JBR143" s="21"/>
      <c r="JBS143" s="21"/>
      <c r="JBT143" s="21"/>
      <c r="JBU143" s="21"/>
      <c r="JBV143" s="21"/>
      <c r="JBW143" s="21"/>
      <c r="JBX143" s="21"/>
      <c r="JBY143" s="21"/>
      <c r="JBZ143" s="21"/>
      <c r="JCA143" s="21"/>
      <c r="JCB143" s="21"/>
      <c r="JCC143" s="21"/>
      <c r="JCD143" s="21"/>
      <c r="JCE143" s="21"/>
      <c r="JCF143" s="21"/>
      <c r="JCG143" s="21"/>
      <c r="JCH143" s="21"/>
      <c r="JCI143" s="21"/>
      <c r="JCJ143" s="21"/>
      <c r="JCK143" s="21"/>
      <c r="JCL143" s="21"/>
      <c r="JCM143" s="21"/>
      <c r="JCN143" s="21"/>
      <c r="JCO143" s="21"/>
      <c r="JCP143" s="21"/>
      <c r="JCQ143" s="21"/>
      <c r="JCR143" s="21"/>
      <c r="JCS143" s="21"/>
      <c r="JCT143" s="21"/>
      <c r="JCU143" s="21"/>
      <c r="JCV143" s="21"/>
      <c r="JCW143" s="21"/>
      <c r="JCX143" s="21"/>
      <c r="JCY143" s="21"/>
      <c r="JCZ143" s="21"/>
      <c r="JDA143" s="21"/>
      <c r="JDB143" s="21"/>
      <c r="JDC143" s="21"/>
      <c r="JDD143" s="21"/>
      <c r="JDE143" s="21"/>
      <c r="JDF143" s="21"/>
      <c r="JDG143" s="21"/>
      <c r="JDH143" s="21"/>
      <c r="JDI143" s="21"/>
      <c r="JDJ143" s="21"/>
      <c r="JDK143" s="21"/>
      <c r="JDL143" s="21"/>
      <c r="JDM143" s="21"/>
      <c r="JDN143" s="21"/>
      <c r="JDO143" s="21"/>
      <c r="JDP143" s="21"/>
      <c r="JDQ143" s="21"/>
      <c r="JDR143" s="21"/>
      <c r="JDS143" s="21"/>
      <c r="JDT143" s="21"/>
      <c r="JDU143" s="21"/>
      <c r="JDV143" s="21"/>
      <c r="JDW143" s="21"/>
      <c r="JDX143" s="21"/>
      <c r="JDY143" s="21"/>
      <c r="JDZ143" s="21"/>
      <c r="JEA143" s="21"/>
      <c r="JEB143" s="21"/>
      <c r="JEC143" s="21"/>
      <c r="JED143" s="21"/>
      <c r="JEE143" s="21"/>
      <c r="JEF143" s="21"/>
      <c r="JEG143" s="21"/>
      <c r="JEH143" s="21"/>
      <c r="JEI143" s="21"/>
      <c r="JEJ143" s="21"/>
      <c r="JEK143" s="21"/>
      <c r="JEL143" s="21"/>
      <c r="JEM143" s="21"/>
      <c r="JEN143" s="21"/>
      <c r="JEO143" s="21"/>
      <c r="JEP143" s="21"/>
      <c r="JEQ143" s="21"/>
      <c r="JER143" s="21"/>
      <c r="JES143" s="21"/>
      <c r="JET143" s="21"/>
      <c r="JEU143" s="21"/>
      <c r="JEV143" s="21"/>
      <c r="JEW143" s="21"/>
      <c r="JEX143" s="21"/>
      <c r="JEY143" s="21"/>
      <c r="JEZ143" s="21"/>
      <c r="JFA143" s="21"/>
      <c r="JFB143" s="21"/>
      <c r="JFC143" s="21"/>
      <c r="JFD143" s="21"/>
      <c r="JFE143" s="21"/>
      <c r="JFF143" s="21"/>
      <c r="JFG143" s="21"/>
      <c r="JFH143" s="21"/>
      <c r="JFI143" s="21"/>
      <c r="JFJ143" s="21"/>
      <c r="JFK143" s="21"/>
      <c r="JFL143" s="21"/>
      <c r="JFM143" s="21"/>
      <c r="JFN143" s="21"/>
      <c r="JFO143" s="21"/>
      <c r="JFP143" s="21"/>
      <c r="JFQ143" s="21"/>
      <c r="JFR143" s="21"/>
      <c r="JFS143" s="21"/>
      <c r="JFT143" s="21"/>
      <c r="JFU143" s="21"/>
      <c r="JFV143" s="21"/>
      <c r="JFW143" s="21"/>
      <c r="JFX143" s="21"/>
      <c r="JFY143" s="21"/>
      <c r="JFZ143" s="21"/>
      <c r="JGA143" s="21"/>
      <c r="JGB143" s="21"/>
      <c r="JGC143" s="21"/>
      <c r="JGD143" s="21"/>
      <c r="JGE143" s="21"/>
      <c r="JGF143" s="21"/>
      <c r="JGG143" s="21"/>
      <c r="JGH143" s="21"/>
      <c r="JGI143" s="21"/>
      <c r="JGJ143" s="21"/>
      <c r="JGK143" s="21"/>
      <c r="JGL143" s="21"/>
      <c r="JGM143" s="21"/>
      <c r="JGN143" s="21"/>
      <c r="JGO143" s="21"/>
      <c r="JGP143" s="21"/>
      <c r="JGQ143" s="21"/>
      <c r="JGR143" s="21"/>
      <c r="JGS143" s="21"/>
      <c r="JGT143" s="21"/>
      <c r="JGU143" s="21"/>
      <c r="JGV143" s="21"/>
      <c r="JGW143" s="21"/>
      <c r="JGX143" s="21"/>
      <c r="JGY143" s="21"/>
      <c r="JGZ143" s="21"/>
      <c r="JHA143" s="21"/>
      <c r="JHB143" s="21"/>
      <c r="JHC143" s="21"/>
      <c r="JHD143" s="21"/>
      <c r="JHE143" s="21"/>
      <c r="JHF143" s="21"/>
      <c r="JHG143" s="21"/>
      <c r="JHH143" s="21"/>
      <c r="JHI143" s="21"/>
      <c r="JHJ143" s="21"/>
      <c r="JHK143" s="21"/>
      <c r="JHL143" s="21"/>
      <c r="JHM143" s="21"/>
      <c r="JHN143" s="21"/>
      <c r="JHO143" s="21"/>
      <c r="JHP143" s="21"/>
      <c r="JHQ143" s="21"/>
      <c r="JHR143" s="21"/>
      <c r="JHS143" s="21"/>
      <c r="JHT143" s="21"/>
      <c r="JHU143" s="21"/>
      <c r="JHV143" s="21"/>
      <c r="JHW143" s="21"/>
      <c r="JHX143" s="21"/>
      <c r="JHY143" s="21"/>
      <c r="JHZ143" s="21"/>
      <c r="JIA143" s="21"/>
      <c r="JIB143" s="21"/>
      <c r="JIC143" s="21"/>
      <c r="JID143" s="21"/>
      <c r="JIE143" s="21"/>
      <c r="JIF143" s="21"/>
      <c r="JIG143" s="21"/>
      <c r="JIH143" s="21"/>
      <c r="JII143" s="21"/>
      <c r="JIJ143" s="21"/>
      <c r="JIK143" s="21"/>
      <c r="JIL143" s="21"/>
      <c r="JIM143" s="21"/>
      <c r="JIN143" s="21"/>
      <c r="JIO143" s="21"/>
      <c r="JIP143" s="21"/>
      <c r="JIQ143" s="21"/>
      <c r="JIR143" s="21"/>
      <c r="JIS143" s="21"/>
      <c r="JIT143" s="21"/>
      <c r="JIU143" s="21"/>
      <c r="JIV143" s="21"/>
      <c r="JIW143" s="21"/>
      <c r="JIX143" s="21"/>
      <c r="JIY143" s="21"/>
      <c r="JIZ143" s="21"/>
      <c r="JJA143" s="21"/>
      <c r="JJB143" s="21"/>
      <c r="JJC143" s="21"/>
      <c r="JJD143" s="21"/>
      <c r="JJE143" s="21"/>
      <c r="JJF143" s="21"/>
      <c r="JJG143" s="21"/>
      <c r="JJH143" s="21"/>
      <c r="JJI143" s="21"/>
      <c r="JJJ143" s="21"/>
      <c r="JJK143" s="21"/>
      <c r="JJL143" s="21"/>
      <c r="JJM143" s="21"/>
      <c r="JJN143" s="21"/>
      <c r="JJO143" s="21"/>
      <c r="JJP143" s="21"/>
      <c r="JJQ143" s="21"/>
      <c r="JJR143" s="21"/>
      <c r="JJS143" s="21"/>
      <c r="JJT143" s="21"/>
      <c r="JJU143" s="21"/>
      <c r="JJV143" s="21"/>
      <c r="JJW143" s="21"/>
      <c r="JJX143" s="21"/>
      <c r="JJY143" s="21"/>
      <c r="JJZ143" s="21"/>
      <c r="JKA143" s="21"/>
      <c r="JKB143" s="21"/>
      <c r="JKC143" s="21"/>
      <c r="JKD143" s="21"/>
      <c r="JKE143" s="21"/>
      <c r="JKF143" s="21"/>
      <c r="JKG143" s="21"/>
      <c r="JKH143" s="21"/>
      <c r="JKI143" s="21"/>
      <c r="JKJ143" s="21"/>
      <c r="JKK143" s="21"/>
      <c r="JKL143" s="21"/>
      <c r="JKM143" s="21"/>
      <c r="JKN143" s="21"/>
      <c r="JKO143" s="21"/>
      <c r="JKP143" s="21"/>
      <c r="JKQ143" s="21"/>
      <c r="JKR143" s="21"/>
      <c r="JKS143" s="21"/>
      <c r="JKT143" s="21"/>
      <c r="JKU143" s="21"/>
      <c r="JKV143" s="21"/>
      <c r="JKW143" s="21"/>
      <c r="JKX143" s="21"/>
      <c r="JKY143" s="21"/>
      <c r="JKZ143" s="21"/>
      <c r="JLA143" s="21"/>
      <c r="JLB143" s="21"/>
      <c r="JLC143" s="21"/>
      <c r="JLD143" s="21"/>
      <c r="JLE143" s="21"/>
      <c r="JLF143" s="21"/>
      <c r="JLG143" s="21"/>
      <c r="JLH143" s="21"/>
      <c r="JLI143" s="21"/>
      <c r="JLJ143" s="21"/>
      <c r="JLK143" s="21"/>
      <c r="JLL143" s="21"/>
      <c r="JLM143" s="21"/>
      <c r="JLN143" s="21"/>
      <c r="JLO143" s="21"/>
      <c r="JLP143" s="21"/>
      <c r="JLQ143" s="21"/>
      <c r="JLR143" s="21"/>
      <c r="JLS143" s="21"/>
      <c r="JLT143" s="21"/>
      <c r="JLU143" s="21"/>
      <c r="JLV143" s="21"/>
      <c r="JLW143" s="21"/>
      <c r="JLX143" s="21"/>
      <c r="JLY143" s="21"/>
      <c r="JLZ143" s="21"/>
      <c r="JMA143" s="21"/>
      <c r="JMB143" s="21"/>
      <c r="JMC143" s="21"/>
      <c r="JMD143" s="21"/>
      <c r="JME143" s="21"/>
      <c r="JMF143" s="21"/>
      <c r="JMG143" s="21"/>
      <c r="JMH143" s="21"/>
      <c r="JMI143" s="21"/>
      <c r="JMJ143" s="21"/>
      <c r="JMK143" s="21"/>
      <c r="JML143" s="21"/>
      <c r="JMM143" s="21"/>
      <c r="JMN143" s="21"/>
      <c r="JMO143" s="21"/>
      <c r="JMP143" s="21"/>
      <c r="JMQ143" s="21"/>
      <c r="JMR143" s="21"/>
      <c r="JMS143" s="21"/>
      <c r="JMT143" s="21"/>
      <c r="JMU143" s="21"/>
      <c r="JMV143" s="21"/>
      <c r="JMW143" s="21"/>
      <c r="JMX143" s="21"/>
      <c r="JMY143" s="21"/>
      <c r="JMZ143" s="21"/>
      <c r="JNA143" s="21"/>
      <c r="JNB143" s="21"/>
      <c r="JNC143" s="21"/>
      <c r="JND143" s="21"/>
      <c r="JNE143" s="21"/>
      <c r="JNF143" s="21"/>
      <c r="JNG143" s="21"/>
      <c r="JNH143" s="21"/>
      <c r="JNI143" s="21"/>
      <c r="JNJ143" s="21"/>
      <c r="JNK143" s="21"/>
      <c r="JNL143" s="21"/>
      <c r="JNM143" s="21"/>
      <c r="JNN143" s="21"/>
      <c r="JNO143" s="21"/>
      <c r="JNP143" s="21"/>
      <c r="JNQ143" s="21"/>
      <c r="JNR143" s="21"/>
      <c r="JNS143" s="21"/>
      <c r="JNT143" s="21"/>
      <c r="JNU143" s="21"/>
      <c r="JNV143" s="21"/>
      <c r="JNW143" s="21"/>
      <c r="JNX143" s="21"/>
      <c r="JNY143" s="21"/>
      <c r="JNZ143" s="21"/>
      <c r="JOA143" s="21"/>
      <c r="JOB143" s="21"/>
      <c r="JOC143" s="21"/>
      <c r="JOD143" s="21"/>
      <c r="JOE143" s="21"/>
      <c r="JOF143" s="21"/>
      <c r="JOG143" s="21"/>
      <c r="JOH143" s="21"/>
      <c r="JOI143" s="21"/>
      <c r="JOJ143" s="21"/>
      <c r="JOK143" s="21"/>
      <c r="JOL143" s="21"/>
      <c r="JOM143" s="21"/>
      <c r="JON143" s="21"/>
      <c r="JOO143" s="21"/>
      <c r="JOP143" s="21"/>
      <c r="JOQ143" s="21"/>
      <c r="JOR143" s="21"/>
      <c r="JOS143" s="21"/>
      <c r="JOT143" s="21"/>
      <c r="JOU143" s="21"/>
      <c r="JOV143" s="21"/>
      <c r="JOW143" s="21"/>
      <c r="JOX143" s="21"/>
      <c r="JOY143" s="21"/>
      <c r="JOZ143" s="21"/>
      <c r="JPA143" s="21"/>
      <c r="JPB143" s="21"/>
      <c r="JPC143" s="21"/>
      <c r="JPD143" s="21"/>
      <c r="JPE143" s="21"/>
      <c r="JPF143" s="21"/>
      <c r="JPG143" s="21"/>
      <c r="JPH143" s="21"/>
      <c r="JPI143" s="21"/>
      <c r="JPJ143" s="21"/>
      <c r="JPK143" s="21"/>
      <c r="JPL143" s="21"/>
      <c r="JPM143" s="21"/>
      <c r="JPN143" s="21"/>
      <c r="JPO143" s="21"/>
      <c r="JPP143" s="21"/>
      <c r="JPQ143" s="21"/>
      <c r="JPR143" s="21"/>
      <c r="JPS143" s="21"/>
      <c r="JPT143" s="21"/>
      <c r="JPU143" s="21"/>
      <c r="JPV143" s="21"/>
      <c r="JPW143" s="21"/>
      <c r="JPX143" s="21"/>
      <c r="JPY143" s="21"/>
      <c r="JPZ143" s="21"/>
      <c r="JQA143" s="21"/>
      <c r="JQB143" s="21"/>
      <c r="JQC143" s="21"/>
      <c r="JQD143" s="21"/>
      <c r="JQE143" s="21"/>
      <c r="JQF143" s="21"/>
      <c r="JQG143" s="21"/>
      <c r="JQH143" s="21"/>
      <c r="JQI143" s="21"/>
      <c r="JQJ143" s="21"/>
      <c r="JQK143" s="21"/>
      <c r="JQL143" s="21"/>
      <c r="JQM143" s="21"/>
      <c r="JQN143" s="21"/>
      <c r="JQO143" s="21"/>
      <c r="JQP143" s="21"/>
      <c r="JQQ143" s="21"/>
      <c r="JQR143" s="21"/>
      <c r="JQS143" s="21"/>
      <c r="JQT143" s="21"/>
      <c r="JQU143" s="21"/>
      <c r="JQV143" s="21"/>
      <c r="JQW143" s="21"/>
      <c r="JQX143" s="21"/>
      <c r="JQY143" s="21"/>
      <c r="JQZ143" s="21"/>
      <c r="JRA143" s="21"/>
      <c r="JRB143" s="21"/>
      <c r="JRC143" s="21"/>
      <c r="JRD143" s="21"/>
      <c r="JRE143" s="21"/>
      <c r="JRF143" s="21"/>
      <c r="JRG143" s="21"/>
      <c r="JRH143" s="21"/>
      <c r="JRI143" s="21"/>
      <c r="JRJ143" s="21"/>
      <c r="JRK143" s="21"/>
      <c r="JRL143" s="21"/>
      <c r="JRM143" s="21"/>
      <c r="JRN143" s="21"/>
      <c r="JRO143" s="21"/>
      <c r="JRP143" s="21"/>
      <c r="JRQ143" s="21"/>
      <c r="JRR143" s="21"/>
      <c r="JRS143" s="21"/>
      <c r="JRT143" s="21"/>
      <c r="JRU143" s="21"/>
      <c r="JRV143" s="21"/>
      <c r="JRW143" s="21"/>
      <c r="JRX143" s="21"/>
      <c r="JRY143" s="21"/>
      <c r="JRZ143" s="21"/>
      <c r="JSA143" s="21"/>
      <c r="JSB143" s="21"/>
      <c r="JSC143" s="21"/>
      <c r="JSD143" s="21"/>
      <c r="JSE143" s="21"/>
      <c r="JSF143" s="21"/>
      <c r="JSG143" s="21"/>
      <c r="JSH143" s="21"/>
      <c r="JSI143" s="21"/>
      <c r="JSJ143" s="21"/>
      <c r="JSK143" s="21"/>
      <c r="JSL143" s="21"/>
      <c r="JSM143" s="21"/>
      <c r="JSN143" s="21"/>
      <c r="JSO143" s="21"/>
      <c r="JSP143" s="21"/>
      <c r="JSQ143" s="21"/>
      <c r="JSR143" s="21"/>
      <c r="JSS143" s="21"/>
      <c r="JST143" s="21"/>
      <c r="JSU143" s="21"/>
      <c r="JSV143" s="21"/>
      <c r="JSW143" s="21"/>
      <c r="JSX143" s="21"/>
      <c r="JSY143" s="21"/>
      <c r="JSZ143" s="21"/>
      <c r="JTA143" s="21"/>
      <c r="JTB143" s="21"/>
      <c r="JTC143" s="21"/>
      <c r="JTD143" s="21"/>
      <c r="JTE143" s="21"/>
      <c r="JTF143" s="21"/>
      <c r="JTG143" s="21"/>
      <c r="JTH143" s="21"/>
      <c r="JTI143" s="21"/>
      <c r="JTJ143" s="21"/>
      <c r="JTK143" s="21"/>
      <c r="JTL143" s="21"/>
      <c r="JTM143" s="21"/>
      <c r="JTN143" s="21"/>
      <c r="JTO143" s="21"/>
      <c r="JTP143" s="21"/>
      <c r="JTQ143" s="21"/>
      <c r="JTR143" s="21"/>
      <c r="JTS143" s="21"/>
      <c r="JTT143" s="21"/>
      <c r="JTU143" s="21"/>
      <c r="JTV143" s="21"/>
      <c r="JTW143" s="21"/>
      <c r="JTX143" s="21"/>
      <c r="JTY143" s="21"/>
      <c r="JTZ143" s="21"/>
      <c r="JUA143" s="21"/>
      <c r="JUB143" s="21"/>
      <c r="JUC143" s="21"/>
      <c r="JUD143" s="21"/>
      <c r="JUE143" s="21"/>
      <c r="JUF143" s="21"/>
      <c r="JUG143" s="21"/>
      <c r="JUH143" s="21"/>
      <c r="JUI143" s="21"/>
      <c r="JUJ143" s="21"/>
      <c r="JUK143" s="21"/>
      <c r="JUL143" s="21"/>
      <c r="JUM143" s="21"/>
      <c r="JUN143" s="21"/>
      <c r="JUO143" s="21"/>
      <c r="JUP143" s="21"/>
      <c r="JUQ143" s="21"/>
      <c r="JUR143" s="21"/>
      <c r="JUS143" s="21"/>
      <c r="JUT143" s="21"/>
      <c r="JUU143" s="21"/>
      <c r="JUV143" s="21"/>
      <c r="JUW143" s="21"/>
      <c r="JUX143" s="21"/>
      <c r="JUY143" s="21"/>
      <c r="JUZ143" s="21"/>
      <c r="JVA143" s="21"/>
      <c r="JVB143" s="21"/>
      <c r="JVC143" s="21"/>
      <c r="JVD143" s="21"/>
      <c r="JVE143" s="21"/>
      <c r="JVF143" s="21"/>
      <c r="JVG143" s="21"/>
      <c r="JVH143" s="21"/>
      <c r="JVI143" s="21"/>
      <c r="JVJ143" s="21"/>
      <c r="JVK143" s="21"/>
      <c r="JVL143" s="21"/>
      <c r="JVM143" s="21"/>
      <c r="JVN143" s="21"/>
      <c r="JVO143" s="21"/>
      <c r="JVP143" s="21"/>
      <c r="JVQ143" s="21"/>
      <c r="JVR143" s="21"/>
      <c r="JVS143" s="21"/>
      <c r="JVT143" s="21"/>
      <c r="JVU143" s="21"/>
      <c r="JVV143" s="21"/>
      <c r="JVW143" s="21"/>
      <c r="JVX143" s="21"/>
      <c r="JVY143" s="21"/>
      <c r="JVZ143" s="21"/>
      <c r="JWA143" s="21"/>
      <c r="JWB143" s="21"/>
      <c r="JWC143" s="21"/>
      <c r="JWD143" s="21"/>
      <c r="JWE143" s="21"/>
      <c r="JWF143" s="21"/>
      <c r="JWG143" s="21"/>
      <c r="JWH143" s="21"/>
      <c r="JWI143" s="21"/>
      <c r="JWJ143" s="21"/>
      <c r="JWK143" s="21"/>
      <c r="JWL143" s="21"/>
      <c r="JWM143" s="21"/>
      <c r="JWN143" s="21"/>
      <c r="JWO143" s="21"/>
      <c r="JWP143" s="21"/>
      <c r="JWQ143" s="21"/>
      <c r="JWR143" s="21"/>
      <c r="JWS143" s="21"/>
      <c r="JWT143" s="21"/>
      <c r="JWU143" s="21"/>
      <c r="JWV143" s="21"/>
      <c r="JWW143" s="21"/>
      <c r="JWX143" s="21"/>
      <c r="JWY143" s="21"/>
      <c r="JWZ143" s="21"/>
      <c r="JXA143" s="21"/>
      <c r="JXB143" s="21"/>
      <c r="JXC143" s="21"/>
      <c r="JXD143" s="21"/>
      <c r="JXE143" s="21"/>
      <c r="JXF143" s="21"/>
      <c r="JXG143" s="21"/>
      <c r="JXH143" s="21"/>
      <c r="JXI143" s="21"/>
      <c r="JXJ143" s="21"/>
      <c r="JXK143" s="21"/>
      <c r="JXL143" s="21"/>
      <c r="JXM143" s="21"/>
      <c r="JXN143" s="21"/>
      <c r="JXO143" s="21"/>
      <c r="JXP143" s="21"/>
      <c r="JXQ143" s="21"/>
      <c r="JXR143" s="21"/>
      <c r="JXS143" s="21"/>
      <c r="JXT143" s="21"/>
      <c r="JXU143" s="21"/>
      <c r="JXV143" s="21"/>
      <c r="JXW143" s="21"/>
      <c r="JXX143" s="21"/>
      <c r="JXY143" s="21"/>
      <c r="JXZ143" s="21"/>
      <c r="JYA143" s="21"/>
      <c r="JYB143" s="21"/>
      <c r="JYC143" s="21"/>
      <c r="JYD143" s="21"/>
      <c r="JYE143" s="21"/>
      <c r="JYF143" s="21"/>
      <c r="JYG143" s="21"/>
      <c r="JYH143" s="21"/>
      <c r="JYI143" s="21"/>
      <c r="JYJ143" s="21"/>
      <c r="JYK143" s="21"/>
      <c r="JYL143" s="21"/>
      <c r="JYM143" s="21"/>
      <c r="JYN143" s="21"/>
      <c r="JYO143" s="21"/>
      <c r="JYP143" s="21"/>
      <c r="JYQ143" s="21"/>
      <c r="JYR143" s="21"/>
      <c r="JYS143" s="21"/>
      <c r="JYT143" s="21"/>
      <c r="JYU143" s="21"/>
      <c r="JYV143" s="21"/>
      <c r="JYW143" s="21"/>
      <c r="JYX143" s="21"/>
      <c r="JYY143" s="21"/>
      <c r="JYZ143" s="21"/>
      <c r="JZA143" s="21"/>
      <c r="JZB143" s="21"/>
      <c r="JZC143" s="21"/>
      <c r="JZD143" s="21"/>
      <c r="JZE143" s="21"/>
      <c r="JZF143" s="21"/>
      <c r="JZG143" s="21"/>
      <c r="JZH143" s="21"/>
      <c r="JZI143" s="21"/>
      <c r="JZJ143" s="21"/>
      <c r="JZK143" s="21"/>
      <c r="JZL143" s="21"/>
      <c r="JZM143" s="21"/>
      <c r="JZN143" s="21"/>
      <c r="JZO143" s="21"/>
      <c r="JZP143" s="21"/>
      <c r="JZQ143" s="21"/>
      <c r="JZR143" s="21"/>
      <c r="JZS143" s="21"/>
      <c r="JZT143" s="21"/>
      <c r="JZU143" s="21"/>
      <c r="JZV143" s="21"/>
      <c r="JZW143" s="21"/>
      <c r="JZX143" s="21"/>
      <c r="JZY143" s="21"/>
      <c r="JZZ143" s="21"/>
      <c r="KAA143" s="21"/>
      <c r="KAB143" s="21"/>
      <c r="KAC143" s="21"/>
      <c r="KAD143" s="21"/>
      <c r="KAE143" s="21"/>
      <c r="KAF143" s="21"/>
      <c r="KAG143" s="21"/>
      <c r="KAH143" s="21"/>
      <c r="KAI143" s="21"/>
      <c r="KAJ143" s="21"/>
      <c r="KAK143" s="21"/>
      <c r="KAL143" s="21"/>
      <c r="KAM143" s="21"/>
      <c r="KAN143" s="21"/>
      <c r="KAO143" s="21"/>
      <c r="KAP143" s="21"/>
      <c r="KAQ143" s="21"/>
      <c r="KAR143" s="21"/>
      <c r="KAS143" s="21"/>
      <c r="KAT143" s="21"/>
      <c r="KAU143" s="21"/>
      <c r="KAV143" s="21"/>
      <c r="KAW143" s="21"/>
      <c r="KAX143" s="21"/>
      <c r="KAY143" s="21"/>
      <c r="KAZ143" s="21"/>
      <c r="KBA143" s="21"/>
      <c r="KBB143" s="21"/>
      <c r="KBC143" s="21"/>
      <c r="KBD143" s="21"/>
      <c r="KBE143" s="21"/>
      <c r="KBF143" s="21"/>
      <c r="KBG143" s="21"/>
      <c r="KBH143" s="21"/>
      <c r="KBI143" s="21"/>
      <c r="KBJ143" s="21"/>
      <c r="KBK143" s="21"/>
      <c r="KBL143" s="21"/>
      <c r="KBM143" s="21"/>
      <c r="KBN143" s="21"/>
      <c r="KBO143" s="21"/>
      <c r="KBP143" s="21"/>
      <c r="KBQ143" s="21"/>
      <c r="KBR143" s="21"/>
      <c r="KBS143" s="21"/>
      <c r="KBT143" s="21"/>
      <c r="KBU143" s="21"/>
      <c r="KBV143" s="21"/>
      <c r="KBW143" s="21"/>
      <c r="KBX143" s="21"/>
      <c r="KBY143" s="21"/>
      <c r="KBZ143" s="21"/>
      <c r="KCA143" s="21"/>
      <c r="KCB143" s="21"/>
      <c r="KCC143" s="21"/>
      <c r="KCD143" s="21"/>
      <c r="KCE143" s="21"/>
      <c r="KCF143" s="21"/>
      <c r="KCG143" s="21"/>
      <c r="KCH143" s="21"/>
      <c r="KCI143" s="21"/>
      <c r="KCJ143" s="21"/>
      <c r="KCK143" s="21"/>
      <c r="KCL143" s="21"/>
      <c r="KCM143" s="21"/>
      <c r="KCN143" s="21"/>
      <c r="KCO143" s="21"/>
      <c r="KCP143" s="21"/>
      <c r="KCQ143" s="21"/>
      <c r="KCR143" s="21"/>
      <c r="KCS143" s="21"/>
      <c r="KCT143" s="21"/>
      <c r="KCU143" s="21"/>
      <c r="KCV143" s="21"/>
      <c r="KCW143" s="21"/>
      <c r="KCX143" s="21"/>
      <c r="KCY143" s="21"/>
      <c r="KCZ143" s="21"/>
      <c r="KDA143" s="21"/>
      <c r="KDB143" s="21"/>
      <c r="KDC143" s="21"/>
      <c r="KDD143" s="21"/>
      <c r="KDE143" s="21"/>
      <c r="KDF143" s="21"/>
      <c r="KDG143" s="21"/>
      <c r="KDH143" s="21"/>
      <c r="KDI143" s="21"/>
      <c r="KDJ143" s="21"/>
      <c r="KDK143" s="21"/>
      <c r="KDL143" s="21"/>
      <c r="KDM143" s="21"/>
      <c r="KDN143" s="21"/>
      <c r="KDO143" s="21"/>
      <c r="KDP143" s="21"/>
      <c r="KDQ143" s="21"/>
      <c r="KDR143" s="21"/>
      <c r="KDS143" s="21"/>
      <c r="KDT143" s="21"/>
      <c r="KDU143" s="21"/>
      <c r="KDV143" s="21"/>
      <c r="KDW143" s="21"/>
      <c r="KDX143" s="21"/>
      <c r="KDY143" s="21"/>
      <c r="KDZ143" s="21"/>
      <c r="KEA143" s="21"/>
      <c r="KEB143" s="21"/>
      <c r="KEC143" s="21"/>
      <c r="KED143" s="21"/>
      <c r="KEE143" s="21"/>
      <c r="KEF143" s="21"/>
      <c r="KEG143" s="21"/>
      <c r="KEH143" s="21"/>
      <c r="KEI143" s="21"/>
      <c r="KEJ143" s="21"/>
      <c r="KEK143" s="21"/>
      <c r="KEL143" s="21"/>
      <c r="KEM143" s="21"/>
      <c r="KEN143" s="21"/>
      <c r="KEO143" s="21"/>
      <c r="KEP143" s="21"/>
      <c r="KEQ143" s="21"/>
      <c r="KER143" s="21"/>
      <c r="KES143" s="21"/>
      <c r="KET143" s="21"/>
      <c r="KEU143" s="21"/>
      <c r="KEV143" s="21"/>
      <c r="KEW143" s="21"/>
      <c r="KEX143" s="21"/>
      <c r="KEY143" s="21"/>
      <c r="KEZ143" s="21"/>
      <c r="KFA143" s="21"/>
      <c r="KFB143" s="21"/>
      <c r="KFC143" s="21"/>
      <c r="KFD143" s="21"/>
      <c r="KFE143" s="21"/>
      <c r="KFF143" s="21"/>
      <c r="KFG143" s="21"/>
      <c r="KFH143" s="21"/>
      <c r="KFI143" s="21"/>
      <c r="KFJ143" s="21"/>
      <c r="KFK143" s="21"/>
      <c r="KFL143" s="21"/>
      <c r="KFM143" s="21"/>
      <c r="KFN143" s="21"/>
      <c r="KFO143" s="21"/>
      <c r="KFP143" s="21"/>
      <c r="KFQ143" s="21"/>
      <c r="KFR143" s="21"/>
      <c r="KFS143" s="21"/>
      <c r="KFT143" s="21"/>
      <c r="KFU143" s="21"/>
      <c r="KFV143" s="21"/>
      <c r="KFW143" s="21"/>
      <c r="KFX143" s="21"/>
      <c r="KFY143" s="21"/>
      <c r="KFZ143" s="21"/>
      <c r="KGA143" s="21"/>
      <c r="KGB143" s="21"/>
      <c r="KGC143" s="21"/>
      <c r="KGD143" s="21"/>
      <c r="KGE143" s="21"/>
      <c r="KGF143" s="21"/>
      <c r="KGG143" s="21"/>
      <c r="KGH143" s="21"/>
      <c r="KGI143" s="21"/>
      <c r="KGJ143" s="21"/>
      <c r="KGK143" s="21"/>
      <c r="KGL143" s="21"/>
      <c r="KGM143" s="21"/>
      <c r="KGN143" s="21"/>
      <c r="KGO143" s="21"/>
      <c r="KGP143" s="21"/>
      <c r="KGQ143" s="21"/>
      <c r="KGR143" s="21"/>
      <c r="KGS143" s="21"/>
      <c r="KGT143" s="21"/>
      <c r="KGU143" s="21"/>
      <c r="KGV143" s="21"/>
      <c r="KGW143" s="21"/>
      <c r="KGX143" s="21"/>
      <c r="KGY143" s="21"/>
      <c r="KGZ143" s="21"/>
      <c r="KHA143" s="21"/>
      <c r="KHB143" s="21"/>
      <c r="KHC143" s="21"/>
      <c r="KHD143" s="21"/>
      <c r="KHE143" s="21"/>
      <c r="KHF143" s="21"/>
      <c r="KHG143" s="21"/>
      <c r="KHH143" s="21"/>
      <c r="KHI143" s="21"/>
      <c r="KHJ143" s="21"/>
      <c r="KHK143" s="21"/>
      <c r="KHL143" s="21"/>
      <c r="KHM143" s="21"/>
      <c r="KHN143" s="21"/>
      <c r="KHO143" s="21"/>
      <c r="KHP143" s="21"/>
      <c r="KHQ143" s="21"/>
      <c r="KHR143" s="21"/>
      <c r="KHS143" s="21"/>
      <c r="KHT143" s="21"/>
      <c r="KHU143" s="21"/>
      <c r="KHV143" s="21"/>
      <c r="KHW143" s="21"/>
      <c r="KHX143" s="21"/>
      <c r="KHY143" s="21"/>
      <c r="KHZ143" s="21"/>
      <c r="KIA143" s="21"/>
      <c r="KIB143" s="21"/>
      <c r="KIC143" s="21"/>
      <c r="KID143" s="21"/>
      <c r="KIE143" s="21"/>
      <c r="KIF143" s="21"/>
      <c r="KIG143" s="21"/>
      <c r="KIH143" s="21"/>
      <c r="KII143" s="21"/>
      <c r="KIJ143" s="21"/>
      <c r="KIK143" s="21"/>
      <c r="KIL143" s="21"/>
      <c r="KIM143" s="21"/>
      <c r="KIN143" s="21"/>
      <c r="KIO143" s="21"/>
      <c r="KIP143" s="21"/>
      <c r="KIQ143" s="21"/>
      <c r="KIR143" s="21"/>
      <c r="KIS143" s="21"/>
      <c r="KIT143" s="21"/>
      <c r="KIU143" s="21"/>
      <c r="KIV143" s="21"/>
      <c r="KIW143" s="21"/>
      <c r="KIX143" s="21"/>
      <c r="KIY143" s="21"/>
      <c r="KIZ143" s="21"/>
      <c r="KJA143" s="21"/>
      <c r="KJB143" s="21"/>
      <c r="KJC143" s="21"/>
      <c r="KJD143" s="21"/>
      <c r="KJE143" s="21"/>
      <c r="KJF143" s="21"/>
      <c r="KJG143" s="21"/>
      <c r="KJH143" s="21"/>
      <c r="KJI143" s="21"/>
      <c r="KJJ143" s="21"/>
      <c r="KJK143" s="21"/>
      <c r="KJL143" s="21"/>
      <c r="KJM143" s="21"/>
      <c r="KJN143" s="21"/>
      <c r="KJO143" s="21"/>
      <c r="KJP143" s="21"/>
      <c r="KJQ143" s="21"/>
      <c r="KJR143" s="21"/>
      <c r="KJS143" s="21"/>
      <c r="KJT143" s="21"/>
      <c r="KJU143" s="21"/>
      <c r="KJV143" s="21"/>
      <c r="KJW143" s="21"/>
      <c r="KJX143" s="21"/>
      <c r="KJY143" s="21"/>
      <c r="KJZ143" s="21"/>
      <c r="KKA143" s="21"/>
      <c r="KKB143" s="21"/>
      <c r="KKC143" s="21"/>
      <c r="KKD143" s="21"/>
      <c r="KKE143" s="21"/>
      <c r="KKF143" s="21"/>
      <c r="KKG143" s="21"/>
      <c r="KKH143" s="21"/>
      <c r="KKI143" s="21"/>
      <c r="KKJ143" s="21"/>
      <c r="KKK143" s="21"/>
      <c r="KKL143" s="21"/>
      <c r="KKM143" s="21"/>
      <c r="KKN143" s="21"/>
      <c r="KKO143" s="21"/>
      <c r="KKP143" s="21"/>
      <c r="KKQ143" s="21"/>
      <c r="KKR143" s="21"/>
      <c r="KKS143" s="21"/>
      <c r="KKT143" s="21"/>
      <c r="KKU143" s="21"/>
      <c r="KKV143" s="21"/>
      <c r="KKW143" s="21"/>
      <c r="KKX143" s="21"/>
      <c r="KKY143" s="21"/>
      <c r="KKZ143" s="21"/>
      <c r="KLA143" s="21"/>
      <c r="KLB143" s="21"/>
      <c r="KLC143" s="21"/>
      <c r="KLD143" s="21"/>
      <c r="KLE143" s="21"/>
      <c r="KLF143" s="21"/>
      <c r="KLG143" s="21"/>
      <c r="KLH143" s="21"/>
      <c r="KLI143" s="21"/>
      <c r="KLJ143" s="21"/>
      <c r="KLK143" s="21"/>
      <c r="KLL143" s="21"/>
      <c r="KLM143" s="21"/>
      <c r="KLN143" s="21"/>
      <c r="KLO143" s="21"/>
      <c r="KLP143" s="21"/>
      <c r="KLQ143" s="21"/>
      <c r="KLR143" s="21"/>
      <c r="KLS143" s="21"/>
      <c r="KLT143" s="21"/>
      <c r="KLU143" s="21"/>
      <c r="KLV143" s="21"/>
      <c r="KLW143" s="21"/>
      <c r="KLX143" s="21"/>
      <c r="KLY143" s="21"/>
      <c r="KLZ143" s="21"/>
      <c r="KMA143" s="21"/>
      <c r="KMB143" s="21"/>
      <c r="KMC143" s="21"/>
      <c r="KMD143" s="21"/>
      <c r="KME143" s="21"/>
      <c r="KMF143" s="21"/>
      <c r="KMG143" s="21"/>
      <c r="KMH143" s="21"/>
      <c r="KMI143" s="21"/>
      <c r="KMJ143" s="21"/>
      <c r="KMK143" s="21"/>
      <c r="KML143" s="21"/>
      <c r="KMM143" s="21"/>
      <c r="KMN143" s="21"/>
      <c r="KMO143" s="21"/>
      <c r="KMP143" s="21"/>
      <c r="KMQ143" s="21"/>
      <c r="KMR143" s="21"/>
      <c r="KMS143" s="21"/>
      <c r="KMT143" s="21"/>
      <c r="KMU143" s="21"/>
      <c r="KMV143" s="21"/>
      <c r="KMW143" s="21"/>
      <c r="KMX143" s="21"/>
      <c r="KMY143" s="21"/>
      <c r="KMZ143" s="21"/>
      <c r="KNA143" s="21"/>
      <c r="KNB143" s="21"/>
      <c r="KNC143" s="21"/>
      <c r="KND143" s="21"/>
      <c r="KNE143" s="21"/>
      <c r="KNF143" s="21"/>
      <c r="KNG143" s="21"/>
      <c r="KNH143" s="21"/>
      <c r="KNI143" s="21"/>
      <c r="KNJ143" s="21"/>
      <c r="KNK143" s="21"/>
      <c r="KNL143" s="21"/>
      <c r="KNM143" s="21"/>
      <c r="KNN143" s="21"/>
      <c r="KNO143" s="21"/>
      <c r="KNP143" s="21"/>
      <c r="KNQ143" s="21"/>
      <c r="KNR143" s="21"/>
      <c r="KNS143" s="21"/>
      <c r="KNT143" s="21"/>
      <c r="KNU143" s="21"/>
      <c r="KNV143" s="21"/>
      <c r="KNW143" s="21"/>
      <c r="KNX143" s="21"/>
      <c r="KNY143" s="21"/>
      <c r="KNZ143" s="21"/>
      <c r="KOA143" s="21"/>
      <c r="KOB143" s="21"/>
      <c r="KOC143" s="21"/>
      <c r="KOD143" s="21"/>
      <c r="KOE143" s="21"/>
      <c r="KOF143" s="21"/>
      <c r="KOG143" s="21"/>
      <c r="KOH143" s="21"/>
      <c r="KOI143" s="21"/>
      <c r="KOJ143" s="21"/>
      <c r="KOK143" s="21"/>
      <c r="KOL143" s="21"/>
      <c r="KOM143" s="21"/>
      <c r="KON143" s="21"/>
      <c r="KOO143" s="21"/>
      <c r="KOP143" s="21"/>
      <c r="KOQ143" s="21"/>
      <c r="KOR143" s="21"/>
      <c r="KOS143" s="21"/>
      <c r="KOT143" s="21"/>
      <c r="KOU143" s="21"/>
      <c r="KOV143" s="21"/>
      <c r="KOW143" s="21"/>
      <c r="KOX143" s="21"/>
      <c r="KOY143" s="21"/>
      <c r="KOZ143" s="21"/>
      <c r="KPA143" s="21"/>
      <c r="KPB143" s="21"/>
      <c r="KPC143" s="21"/>
      <c r="KPD143" s="21"/>
      <c r="KPE143" s="21"/>
      <c r="KPF143" s="21"/>
      <c r="KPG143" s="21"/>
      <c r="KPH143" s="21"/>
      <c r="KPI143" s="21"/>
      <c r="KPJ143" s="21"/>
      <c r="KPK143" s="21"/>
      <c r="KPL143" s="21"/>
      <c r="KPM143" s="21"/>
      <c r="KPN143" s="21"/>
      <c r="KPO143" s="21"/>
      <c r="KPP143" s="21"/>
      <c r="KPQ143" s="21"/>
      <c r="KPR143" s="21"/>
      <c r="KPS143" s="21"/>
      <c r="KPT143" s="21"/>
      <c r="KPU143" s="21"/>
      <c r="KPV143" s="21"/>
      <c r="KPW143" s="21"/>
      <c r="KPX143" s="21"/>
      <c r="KPY143" s="21"/>
      <c r="KPZ143" s="21"/>
      <c r="KQA143" s="21"/>
      <c r="KQB143" s="21"/>
      <c r="KQC143" s="21"/>
      <c r="KQD143" s="21"/>
      <c r="KQE143" s="21"/>
      <c r="KQF143" s="21"/>
      <c r="KQG143" s="21"/>
      <c r="KQH143" s="21"/>
      <c r="KQI143" s="21"/>
      <c r="KQJ143" s="21"/>
      <c r="KQK143" s="21"/>
      <c r="KQL143" s="21"/>
      <c r="KQM143" s="21"/>
      <c r="KQN143" s="21"/>
      <c r="KQO143" s="21"/>
      <c r="KQP143" s="21"/>
      <c r="KQQ143" s="21"/>
      <c r="KQR143" s="21"/>
      <c r="KQS143" s="21"/>
      <c r="KQT143" s="21"/>
      <c r="KQU143" s="21"/>
      <c r="KQV143" s="21"/>
      <c r="KQW143" s="21"/>
      <c r="KQX143" s="21"/>
      <c r="KQY143" s="21"/>
      <c r="KQZ143" s="21"/>
      <c r="KRA143" s="21"/>
      <c r="KRB143" s="21"/>
      <c r="KRC143" s="21"/>
      <c r="KRD143" s="21"/>
      <c r="KRE143" s="21"/>
      <c r="KRF143" s="21"/>
      <c r="KRG143" s="21"/>
      <c r="KRH143" s="21"/>
      <c r="KRI143" s="21"/>
      <c r="KRJ143" s="21"/>
      <c r="KRK143" s="21"/>
      <c r="KRL143" s="21"/>
      <c r="KRM143" s="21"/>
      <c r="KRN143" s="21"/>
      <c r="KRO143" s="21"/>
      <c r="KRP143" s="21"/>
      <c r="KRQ143" s="21"/>
      <c r="KRR143" s="21"/>
      <c r="KRS143" s="21"/>
      <c r="KRT143" s="21"/>
      <c r="KRU143" s="21"/>
      <c r="KRV143" s="21"/>
      <c r="KRW143" s="21"/>
      <c r="KRX143" s="21"/>
      <c r="KRY143" s="21"/>
      <c r="KRZ143" s="21"/>
      <c r="KSA143" s="21"/>
      <c r="KSB143" s="21"/>
      <c r="KSC143" s="21"/>
      <c r="KSD143" s="21"/>
      <c r="KSE143" s="21"/>
      <c r="KSF143" s="21"/>
      <c r="KSG143" s="21"/>
      <c r="KSH143" s="21"/>
      <c r="KSI143" s="21"/>
      <c r="KSJ143" s="21"/>
      <c r="KSK143" s="21"/>
      <c r="KSL143" s="21"/>
      <c r="KSM143" s="21"/>
      <c r="KSN143" s="21"/>
      <c r="KSO143" s="21"/>
      <c r="KSP143" s="21"/>
      <c r="KSQ143" s="21"/>
      <c r="KSR143" s="21"/>
      <c r="KSS143" s="21"/>
      <c r="KST143" s="21"/>
      <c r="KSU143" s="21"/>
      <c r="KSV143" s="21"/>
      <c r="KSW143" s="21"/>
      <c r="KSX143" s="21"/>
      <c r="KSY143" s="21"/>
      <c r="KSZ143" s="21"/>
      <c r="KTA143" s="21"/>
      <c r="KTB143" s="21"/>
      <c r="KTC143" s="21"/>
      <c r="KTD143" s="21"/>
      <c r="KTE143" s="21"/>
      <c r="KTF143" s="21"/>
      <c r="KTG143" s="21"/>
      <c r="KTH143" s="21"/>
      <c r="KTI143" s="21"/>
      <c r="KTJ143" s="21"/>
      <c r="KTK143" s="21"/>
      <c r="KTL143" s="21"/>
      <c r="KTM143" s="21"/>
      <c r="KTN143" s="21"/>
      <c r="KTO143" s="21"/>
      <c r="KTP143" s="21"/>
      <c r="KTQ143" s="21"/>
      <c r="KTR143" s="21"/>
      <c r="KTS143" s="21"/>
      <c r="KTT143" s="21"/>
      <c r="KTU143" s="21"/>
      <c r="KTV143" s="21"/>
      <c r="KTW143" s="21"/>
      <c r="KTX143" s="21"/>
      <c r="KTY143" s="21"/>
      <c r="KTZ143" s="21"/>
      <c r="KUA143" s="21"/>
      <c r="KUB143" s="21"/>
      <c r="KUC143" s="21"/>
      <c r="KUD143" s="21"/>
      <c r="KUE143" s="21"/>
      <c r="KUF143" s="21"/>
      <c r="KUG143" s="21"/>
      <c r="KUH143" s="21"/>
      <c r="KUI143" s="21"/>
      <c r="KUJ143" s="21"/>
      <c r="KUK143" s="21"/>
      <c r="KUL143" s="21"/>
      <c r="KUM143" s="21"/>
      <c r="KUN143" s="21"/>
      <c r="KUO143" s="21"/>
      <c r="KUP143" s="21"/>
      <c r="KUQ143" s="21"/>
      <c r="KUR143" s="21"/>
      <c r="KUS143" s="21"/>
      <c r="KUT143" s="21"/>
      <c r="KUU143" s="21"/>
      <c r="KUV143" s="21"/>
      <c r="KUW143" s="21"/>
      <c r="KUX143" s="21"/>
      <c r="KUY143" s="21"/>
      <c r="KUZ143" s="21"/>
      <c r="KVA143" s="21"/>
      <c r="KVB143" s="21"/>
      <c r="KVC143" s="21"/>
      <c r="KVD143" s="21"/>
      <c r="KVE143" s="21"/>
      <c r="KVF143" s="21"/>
      <c r="KVG143" s="21"/>
      <c r="KVH143" s="21"/>
      <c r="KVI143" s="21"/>
      <c r="KVJ143" s="21"/>
      <c r="KVK143" s="21"/>
      <c r="KVL143" s="21"/>
      <c r="KVM143" s="21"/>
      <c r="KVN143" s="21"/>
      <c r="KVO143" s="21"/>
      <c r="KVP143" s="21"/>
      <c r="KVQ143" s="21"/>
      <c r="KVR143" s="21"/>
      <c r="KVS143" s="21"/>
      <c r="KVT143" s="21"/>
      <c r="KVU143" s="21"/>
      <c r="KVV143" s="21"/>
      <c r="KVW143" s="21"/>
      <c r="KVX143" s="21"/>
      <c r="KVY143" s="21"/>
      <c r="KVZ143" s="21"/>
      <c r="KWA143" s="21"/>
      <c r="KWB143" s="21"/>
      <c r="KWC143" s="21"/>
      <c r="KWD143" s="21"/>
      <c r="KWE143" s="21"/>
      <c r="KWF143" s="21"/>
      <c r="KWG143" s="21"/>
      <c r="KWH143" s="21"/>
      <c r="KWI143" s="21"/>
      <c r="KWJ143" s="21"/>
      <c r="KWK143" s="21"/>
      <c r="KWL143" s="21"/>
      <c r="KWM143" s="21"/>
      <c r="KWN143" s="21"/>
      <c r="KWO143" s="21"/>
      <c r="KWP143" s="21"/>
      <c r="KWQ143" s="21"/>
      <c r="KWR143" s="21"/>
      <c r="KWS143" s="21"/>
      <c r="KWT143" s="21"/>
      <c r="KWU143" s="21"/>
      <c r="KWV143" s="21"/>
      <c r="KWW143" s="21"/>
      <c r="KWX143" s="21"/>
      <c r="KWY143" s="21"/>
      <c r="KWZ143" s="21"/>
      <c r="KXA143" s="21"/>
      <c r="KXB143" s="21"/>
      <c r="KXC143" s="21"/>
      <c r="KXD143" s="21"/>
      <c r="KXE143" s="21"/>
      <c r="KXF143" s="21"/>
      <c r="KXG143" s="21"/>
      <c r="KXH143" s="21"/>
      <c r="KXI143" s="21"/>
      <c r="KXJ143" s="21"/>
      <c r="KXK143" s="21"/>
      <c r="KXL143" s="21"/>
      <c r="KXM143" s="21"/>
      <c r="KXN143" s="21"/>
      <c r="KXO143" s="21"/>
      <c r="KXP143" s="21"/>
      <c r="KXQ143" s="21"/>
      <c r="KXR143" s="21"/>
      <c r="KXS143" s="21"/>
      <c r="KXT143" s="21"/>
      <c r="KXU143" s="21"/>
      <c r="KXV143" s="21"/>
      <c r="KXW143" s="21"/>
      <c r="KXX143" s="21"/>
      <c r="KXY143" s="21"/>
      <c r="KXZ143" s="21"/>
      <c r="KYA143" s="21"/>
      <c r="KYB143" s="21"/>
      <c r="KYC143" s="21"/>
      <c r="KYD143" s="21"/>
      <c r="KYE143" s="21"/>
      <c r="KYF143" s="21"/>
      <c r="KYG143" s="21"/>
      <c r="KYH143" s="21"/>
      <c r="KYI143" s="21"/>
      <c r="KYJ143" s="21"/>
      <c r="KYK143" s="21"/>
      <c r="KYL143" s="21"/>
      <c r="KYM143" s="21"/>
      <c r="KYN143" s="21"/>
      <c r="KYO143" s="21"/>
      <c r="KYP143" s="21"/>
      <c r="KYQ143" s="21"/>
      <c r="KYR143" s="21"/>
      <c r="KYS143" s="21"/>
      <c r="KYT143" s="21"/>
      <c r="KYU143" s="21"/>
      <c r="KYV143" s="21"/>
      <c r="KYW143" s="21"/>
      <c r="KYX143" s="21"/>
      <c r="KYY143" s="21"/>
      <c r="KYZ143" s="21"/>
      <c r="KZA143" s="21"/>
      <c r="KZB143" s="21"/>
      <c r="KZC143" s="21"/>
      <c r="KZD143" s="21"/>
      <c r="KZE143" s="21"/>
      <c r="KZF143" s="21"/>
      <c r="KZG143" s="21"/>
      <c r="KZH143" s="21"/>
      <c r="KZI143" s="21"/>
      <c r="KZJ143" s="21"/>
      <c r="KZK143" s="21"/>
      <c r="KZL143" s="21"/>
      <c r="KZM143" s="21"/>
      <c r="KZN143" s="21"/>
      <c r="KZO143" s="21"/>
      <c r="KZP143" s="21"/>
      <c r="KZQ143" s="21"/>
      <c r="KZR143" s="21"/>
      <c r="KZS143" s="21"/>
      <c r="KZT143" s="21"/>
      <c r="KZU143" s="21"/>
      <c r="KZV143" s="21"/>
      <c r="KZW143" s="21"/>
      <c r="KZX143" s="21"/>
      <c r="KZY143" s="21"/>
      <c r="KZZ143" s="21"/>
      <c r="LAA143" s="21"/>
      <c r="LAB143" s="21"/>
      <c r="LAC143" s="21"/>
      <c r="LAD143" s="21"/>
      <c r="LAE143" s="21"/>
      <c r="LAF143" s="21"/>
      <c r="LAG143" s="21"/>
      <c r="LAH143" s="21"/>
      <c r="LAI143" s="21"/>
      <c r="LAJ143" s="21"/>
      <c r="LAK143" s="21"/>
      <c r="LAL143" s="21"/>
      <c r="LAM143" s="21"/>
      <c r="LAN143" s="21"/>
      <c r="LAO143" s="21"/>
      <c r="LAP143" s="21"/>
      <c r="LAQ143" s="21"/>
      <c r="LAR143" s="21"/>
      <c r="LAS143" s="21"/>
      <c r="LAT143" s="21"/>
      <c r="LAU143" s="21"/>
      <c r="LAV143" s="21"/>
      <c r="LAW143" s="21"/>
      <c r="LAX143" s="21"/>
      <c r="LAY143" s="21"/>
      <c r="LAZ143" s="21"/>
      <c r="LBA143" s="21"/>
      <c r="LBB143" s="21"/>
      <c r="LBC143" s="21"/>
      <c r="LBD143" s="21"/>
      <c r="LBE143" s="21"/>
      <c r="LBF143" s="21"/>
      <c r="LBG143" s="21"/>
      <c r="LBH143" s="21"/>
      <c r="LBI143" s="21"/>
      <c r="LBJ143" s="21"/>
      <c r="LBK143" s="21"/>
      <c r="LBL143" s="21"/>
      <c r="LBM143" s="21"/>
      <c r="LBN143" s="21"/>
      <c r="LBO143" s="21"/>
      <c r="LBP143" s="21"/>
      <c r="LBQ143" s="21"/>
      <c r="LBR143" s="21"/>
      <c r="LBS143" s="21"/>
      <c r="LBT143" s="21"/>
      <c r="LBU143" s="21"/>
      <c r="LBV143" s="21"/>
      <c r="LBW143" s="21"/>
      <c r="LBX143" s="21"/>
      <c r="LBY143" s="21"/>
      <c r="LBZ143" s="21"/>
      <c r="LCA143" s="21"/>
      <c r="LCB143" s="21"/>
      <c r="LCC143" s="21"/>
      <c r="LCD143" s="21"/>
      <c r="LCE143" s="21"/>
      <c r="LCF143" s="21"/>
      <c r="LCG143" s="21"/>
      <c r="LCH143" s="21"/>
      <c r="LCI143" s="21"/>
      <c r="LCJ143" s="21"/>
      <c r="LCK143" s="21"/>
      <c r="LCL143" s="21"/>
      <c r="LCM143" s="21"/>
      <c r="LCN143" s="21"/>
      <c r="LCO143" s="21"/>
      <c r="LCP143" s="21"/>
      <c r="LCQ143" s="21"/>
      <c r="LCR143" s="21"/>
      <c r="LCS143" s="21"/>
      <c r="LCT143" s="21"/>
      <c r="LCU143" s="21"/>
      <c r="LCV143" s="21"/>
      <c r="LCW143" s="21"/>
      <c r="LCX143" s="21"/>
      <c r="LCY143" s="21"/>
      <c r="LCZ143" s="21"/>
      <c r="LDA143" s="21"/>
      <c r="LDB143" s="21"/>
      <c r="LDC143" s="21"/>
      <c r="LDD143" s="21"/>
      <c r="LDE143" s="21"/>
      <c r="LDF143" s="21"/>
      <c r="LDG143" s="21"/>
      <c r="LDH143" s="21"/>
      <c r="LDI143" s="21"/>
      <c r="LDJ143" s="21"/>
      <c r="LDK143" s="21"/>
      <c r="LDL143" s="21"/>
      <c r="LDM143" s="21"/>
      <c r="LDN143" s="21"/>
      <c r="LDO143" s="21"/>
      <c r="LDP143" s="21"/>
      <c r="LDQ143" s="21"/>
      <c r="LDR143" s="21"/>
      <c r="LDS143" s="21"/>
      <c r="LDT143" s="21"/>
      <c r="LDU143" s="21"/>
      <c r="LDV143" s="21"/>
      <c r="LDW143" s="21"/>
      <c r="LDX143" s="21"/>
      <c r="LDY143" s="21"/>
      <c r="LDZ143" s="21"/>
      <c r="LEA143" s="21"/>
      <c r="LEB143" s="21"/>
      <c r="LEC143" s="21"/>
      <c r="LED143" s="21"/>
      <c r="LEE143" s="21"/>
      <c r="LEF143" s="21"/>
      <c r="LEG143" s="21"/>
      <c r="LEH143" s="21"/>
      <c r="LEI143" s="21"/>
      <c r="LEJ143" s="21"/>
      <c r="LEK143" s="21"/>
      <c r="LEL143" s="21"/>
      <c r="LEM143" s="21"/>
      <c r="LEN143" s="21"/>
      <c r="LEO143" s="21"/>
      <c r="LEP143" s="21"/>
      <c r="LEQ143" s="21"/>
      <c r="LER143" s="21"/>
      <c r="LES143" s="21"/>
      <c r="LET143" s="21"/>
      <c r="LEU143" s="21"/>
      <c r="LEV143" s="21"/>
      <c r="LEW143" s="21"/>
      <c r="LEX143" s="21"/>
      <c r="LEY143" s="21"/>
      <c r="LEZ143" s="21"/>
      <c r="LFA143" s="21"/>
      <c r="LFB143" s="21"/>
      <c r="LFC143" s="21"/>
      <c r="LFD143" s="21"/>
      <c r="LFE143" s="21"/>
      <c r="LFF143" s="21"/>
      <c r="LFG143" s="21"/>
      <c r="LFH143" s="21"/>
      <c r="LFI143" s="21"/>
      <c r="LFJ143" s="21"/>
      <c r="LFK143" s="21"/>
      <c r="LFL143" s="21"/>
      <c r="LFM143" s="21"/>
      <c r="LFN143" s="21"/>
      <c r="LFO143" s="21"/>
      <c r="LFP143" s="21"/>
      <c r="LFQ143" s="21"/>
      <c r="LFR143" s="21"/>
      <c r="LFS143" s="21"/>
      <c r="LFT143" s="21"/>
      <c r="LFU143" s="21"/>
      <c r="LFV143" s="21"/>
      <c r="LFW143" s="21"/>
      <c r="LFX143" s="21"/>
      <c r="LFY143" s="21"/>
      <c r="LFZ143" s="21"/>
      <c r="LGA143" s="21"/>
      <c r="LGB143" s="21"/>
      <c r="LGC143" s="21"/>
      <c r="LGD143" s="21"/>
      <c r="LGE143" s="21"/>
      <c r="LGF143" s="21"/>
      <c r="LGG143" s="21"/>
      <c r="LGH143" s="21"/>
      <c r="LGI143" s="21"/>
      <c r="LGJ143" s="21"/>
      <c r="LGK143" s="21"/>
      <c r="LGL143" s="21"/>
      <c r="LGM143" s="21"/>
      <c r="LGN143" s="21"/>
      <c r="LGO143" s="21"/>
      <c r="LGP143" s="21"/>
      <c r="LGQ143" s="21"/>
      <c r="LGR143" s="21"/>
      <c r="LGS143" s="21"/>
      <c r="LGT143" s="21"/>
      <c r="LGU143" s="21"/>
      <c r="LGV143" s="21"/>
      <c r="LGW143" s="21"/>
      <c r="LGX143" s="21"/>
      <c r="LGY143" s="21"/>
      <c r="LGZ143" s="21"/>
      <c r="LHA143" s="21"/>
      <c r="LHB143" s="21"/>
      <c r="LHC143" s="21"/>
      <c r="LHD143" s="21"/>
      <c r="LHE143" s="21"/>
      <c r="LHF143" s="21"/>
      <c r="LHG143" s="21"/>
      <c r="LHH143" s="21"/>
      <c r="LHI143" s="21"/>
      <c r="LHJ143" s="21"/>
      <c r="LHK143" s="21"/>
      <c r="LHL143" s="21"/>
      <c r="LHM143" s="21"/>
      <c r="LHN143" s="21"/>
      <c r="LHO143" s="21"/>
      <c r="LHP143" s="21"/>
      <c r="LHQ143" s="21"/>
      <c r="LHR143" s="21"/>
      <c r="LHS143" s="21"/>
      <c r="LHT143" s="21"/>
      <c r="LHU143" s="21"/>
      <c r="LHV143" s="21"/>
      <c r="LHW143" s="21"/>
      <c r="LHX143" s="21"/>
      <c r="LHY143" s="21"/>
      <c r="LHZ143" s="21"/>
      <c r="LIA143" s="21"/>
      <c r="LIB143" s="21"/>
      <c r="LIC143" s="21"/>
      <c r="LID143" s="21"/>
      <c r="LIE143" s="21"/>
      <c r="LIF143" s="21"/>
      <c r="LIG143" s="21"/>
      <c r="LIH143" s="21"/>
      <c r="LII143" s="21"/>
      <c r="LIJ143" s="21"/>
      <c r="LIK143" s="21"/>
      <c r="LIL143" s="21"/>
      <c r="LIM143" s="21"/>
      <c r="LIN143" s="21"/>
      <c r="LIO143" s="21"/>
      <c r="LIP143" s="21"/>
      <c r="LIQ143" s="21"/>
      <c r="LIR143" s="21"/>
      <c r="LIS143" s="21"/>
      <c r="LIT143" s="21"/>
      <c r="LIU143" s="21"/>
      <c r="LIV143" s="21"/>
      <c r="LIW143" s="21"/>
      <c r="LIX143" s="21"/>
      <c r="LIY143" s="21"/>
      <c r="LIZ143" s="21"/>
      <c r="LJA143" s="21"/>
      <c r="LJB143" s="21"/>
      <c r="LJC143" s="21"/>
      <c r="LJD143" s="21"/>
      <c r="LJE143" s="21"/>
      <c r="LJF143" s="21"/>
      <c r="LJG143" s="21"/>
      <c r="LJH143" s="21"/>
      <c r="LJI143" s="21"/>
      <c r="LJJ143" s="21"/>
      <c r="LJK143" s="21"/>
      <c r="LJL143" s="21"/>
      <c r="LJM143" s="21"/>
      <c r="LJN143" s="21"/>
      <c r="LJO143" s="21"/>
      <c r="LJP143" s="21"/>
      <c r="LJQ143" s="21"/>
      <c r="LJR143" s="21"/>
      <c r="LJS143" s="21"/>
      <c r="LJT143" s="21"/>
      <c r="LJU143" s="21"/>
      <c r="LJV143" s="21"/>
      <c r="LJW143" s="21"/>
      <c r="LJX143" s="21"/>
      <c r="LJY143" s="21"/>
      <c r="LJZ143" s="21"/>
      <c r="LKA143" s="21"/>
      <c r="LKB143" s="21"/>
      <c r="LKC143" s="21"/>
      <c r="LKD143" s="21"/>
      <c r="LKE143" s="21"/>
      <c r="LKF143" s="21"/>
      <c r="LKG143" s="21"/>
      <c r="LKH143" s="21"/>
      <c r="LKI143" s="21"/>
      <c r="LKJ143" s="21"/>
      <c r="LKK143" s="21"/>
      <c r="LKL143" s="21"/>
      <c r="LKM143" s="21"/>
      <c r="LKN143" s="21"/>
      <c r="LKO143" s="21"/>
      <c r="LKP143" s="21"/>
      <c r="LKQ143" s="21"/>
      <c r="LKR143" s="21"/>
      <c r="LKS143" s="21"/>
      <c r="LKT143" s="21"/>
      <c r="LKU143" s="21"/>
      <c r="LKV143" s="21"/>
      <c r="LKW143" s="21"/>
      <c r="LKX143" s="21"/>
      <c r="LKY143" s="21"/>
      <c r="LKZ143" s="21"/>
      <c r="LLA143" s="21"/>
      <c r="LLB143" s="21"/>
      <c r="LLC143" s="21"/>
      <c r="LLD143" s="21"/>
      <c r="LLE143" s="21"/>
      <c r="LLF143" s="21"/>
      <c r="LLG143" s="21"/>
      <c r="LLH143" s="21"/>
      <c r="LLI143" s="21"/>
      <c r="LLJ143" s="21"/>
      <c r="LLK143" s="21"/>
      <c r="LLL143" s="21"/>
      <c r="LLM143" s="21"/>
      <c r="LLN143" s="21"/>
      <c r="LLO143" s="21"/>
      <c r="LLP143" s="21"/>
      <c r="LLQ143" s="21"/>
      <c r="LLR143" s="21"/>
      <c r="LLS143" s="21"/>
      <c r="LLT143" s="21"/>
      <c r="LLU143" s="21"/>
      <c r="LLV143" s="21"/>
      <c r="LLW143" s="21"/>
      <c r="LLX143" s="21"/>
      <c r="LLY143" s="21"/>
      <c r="LLZ143" s="21"/>
      <c r="LMA143" s="21"/>
      <c r="LMB143" s="21"/>
      <c r="LMC143" s="21"/>
      <c r="LMD143" s="21"/>
      <c r="LME143" s="21"/>
      <c r="LMF143" s="21"/>
      <c r="LMG143" s="21"/>
      <c r="LMH143" s="21"/>
      <c r="LMI143" s="21"/>
      <c r="LMJ143" s="21"/>
      <c r="LMK143" s="21"/>
      <c r="LML143" s="21"/>
      <c r="LMM143" s="21"/>
      <c r="LMN143" s="21"/>
      <c r="LMO143" s="21"/>
      <c r="LMP143" s="21"/>
      <c r="LMQ143" s="21"/>
      <c r="LMR143" s="21"/>
      <c r="LMS143" s="21"/>
      <c r="LMT143" s="21"/>
      <c r="LMU143" s="21"/>
      <c r="LMV143" s="21"/>
      <c r="LMW143" s="21"/>
      <c r="LMX143" s="21"/>
      <c r="LMY143" s="21"/>
      <c r="LMZ143" s="21"/>
      <c r="LNA143" s="21"/>
      <c r="LNB143" s="21"/>
      <c r="LNC143" s="21"/>
      <c r="LND143" s="21"/>
      <c r="LNE143" s="21"/>
      <c r="LNF143" s="21"/>
      <c r="LNG143" s="21"/>
      <c r="LNH143" s="21"/>
      <c r="LNI143" s="21"/>
      <c r="LNJ143" s="21"/>
      <c r="LNK143" s="21"/>
      <c r="LNL143" s="21"/>
      <c r="LNM143" s="21"/>
      <c r="LNN143" s="21"/>
      <c r="LNO143" s="21"/>
      <c r="LNP143" s="21"/>
      <c r="LNQ143" s="21"/>
      <c r="LNR143" s="21"/>
      <c r="LNS143" s="21"/>
      <c r="LNT143" s="21"/>
      <c r="LNU143" s="21"/>
      <c r="LNV143" s="21"/>
      <c r="LNW143" s="21"/>
      <c r="LNX143" s="21"/>
      <c r="LNY143" s="21"/>
      <c r="LNZ143" s="21"/>
      <c r="LOA143" s="21"/>
      <c r="LOB143" s="21"/>
      <c r="LOC143" s="21"/>
      <c r="LOD143" s="21"/>
      <c r="LOE143" s="21"/>
      <c r="LOF143" s="21"/>
      <c r="LOG143" s="21"/>
      <c r="LOH143" s="21"/>
      <c r="LOI143" s="21"/>
      <c r="LOJ143" s="21"/>
      <c r="LOK143" s="21"/>
      <c r="LOL143" s="21"/>
      <c r="LOM143" s="21"/>
      <c r="LON143" s="21"/>
      <c r="LOO143" s="21"/>
      <c r="LOP143" s="21"/>
      <c r="LOQ143" s="21"/>
      <c r="LOR143" s="21"/>
      <c r="LOS143" s="21"/>
      <c r="LOT143" s="21"/>
      <c r="LOU143" s="21"/>
      <c r="LOV143" s="21"/>
      <c r="LOW143" s="21"/>
      <c r="LOX143" s="21"/>
      <c r="LOY143" s="21"/>
      <c r="LOZ143" s="21"/>
      <c r="LPA143" s="21"/>
      <c r="LPB143" s="21"/>
      <c r="LPC143" s="21"/>
      <c r="LPD143" s="21"/>
      <c r="LPE143" s="21"/>
      <c r="LPF143" s="21"/>
      <c r="LPG143" s="21"/>
      <c r="LPH143" s="21"/>
      <c r="LPI143" s="21"/>
      <c r="LPJ143" s="21"/>
      <c r="LPK143" s="21"/>
      <c r="LPL143" s="21"/>
      <c r="LPM143" s="21"/>
      <c r="LPN143" s="21"/>
      <c r="LPO143" s="21"/>
      <c r="LPP143" s="21"/>
      <c r="LPQ143" s="21"/>
      <c r="LPR143" s="21"/>
      <c r="LPS143" s="21"/>
      <c r="LPT143" s="21"/>
      <c r="LPU143" s="21"/>
      <c r="LPV143" s="21"/>
      <c r="LPW143" s="21"/>
      <c r="LPX143" s="21"/>
      <c r="LPY143" s="21"/>
      <c r="LPZ143" s="21"/>
      <c r="LQA143" s="21"/>
      <c r="LQB143" s="21"/>
      <c r="LQC143" s="21"/>
      <c r="LQD143" s="21"/>
      <c r="LQE143" s="21"/>
      <c r="LQF143" s="21"/>
      <c r="LQG143" s="21"/>
      <c r="LQH143" s="21"/>
      <c r="LQI143" s="21"/>
      <c r="LQJ143" s="21"/>
      <c r="LQK143" s="21"/>
      <c r="LQL143" s="21"/>
      <c r="LQM143" s="21"/>
      <c r="LQN143" s="21"/>
      <c r="LQO143" s="21"/>
      <c r="LQP143" s="21"/>
      <c r="LQQ143" s="21"/>
      <c r="LQR143" s="21"/>
      <c r="LQS143" s="21"/>
      <c r="LQT143" s="21"/>
      <c r="LQU143" s="21"/>
      <c r="LQV143" s="21"/>
      <c r="LQW143" s="21"/>
      <c r="LQX143" s="21"/>
      <c r="LQY143" s="21"/>
      <c r="LQZ143" s="21"/>
      <c r="LRA143" s="21"/>
      <c r="LRB143" s="21"/>
      <c r="LRC143" s="21"/>
      <c r="LRD143" s="21"/>
      <c r="LRE143" s="21"/>
      <c r="LRF143" s="21"/>
      <c r="LRG143" s="21"/>
      <c r="LRH143" s="21"/>
      <c r="LRI143" s="21"/>
      <c r="LRJ143" s="21"/>
      <c r="LRK143" s="21"/>
      <c r="LRL143" s="21"/>
      <c r="LRM143" s="21"/>
      <c r="LRN143" s="21"/>
      <c r="LRO143" s="21"/>
      <c r="LRP143" s="21"/>
      <c r="LRQ143" s="21"/>
      <c r="LRR143" s="21"/>
      <c r="LRS143" s="21"/>
      <c r="LRT143" s="21"/>
      <c r="LRU143" s="21"/>
      <c r="LRV143" s="21"/>
      <c r="LRW143" s="21"/>
      <c r="LRX143" s="21"/>
      <c r="LRY143" s="21"/>
      <c r="LRZ143" s="21"/>
      <c r="LSA143" s="21"/>
      <c r="LSB143" s="21"/>
      <c r="LSC143" s="21"/>
      <c r="LSD143" s="21"/>
      <c r="LSE143" s="21"/>
      <c r="LSF143" s="21"/>
      <c r="LSG143" s="21"/>
      <c r="LSH143" s="21"/>
      <c r="LSI143" s="21"/>
      <c r="LSJ143" s="21"/>
      <c r="LSK143" s="21"/>
      <c r="LSL143" s="21"/>
      <c r="LSM143" s="21"/>
      <c r="LSN143" s="21"/>
      <c r="LSO143" s="21"/>
      <c r="LSP143" s="21"/>
      <c r="LSQ143" s="21"/>
      <c r="LSR143" s="21"/>
      <c r="LSS143" s="21"/>
      <c r="LST143" s="21"/>
      <c r="LSU143" s="21"/>
      <c r="LSV143" s="21"/>
      <c r="LSW143" s="21"/>
      <c r="LSX143" s="21"/>
      <c r="LSY143" s="21"/>
      <c r="LSZ143" s="21"/>
      <c r="LTA143" s="21"/>
      <c r="LTB143" s="21"/>
      <c r="LTC143" s="21"/>
      <c r="LTD143" s="21"/>
      <c r="LTE143" s="21"/>
      <c r="LTF143" s="21"/>
      <c r="LTG143" s="21"/>
      <c r="LTH143" s="21"/>
      <c r="LTI143" s="21"/>
      <c r="LTJ143" s="21"/>
      <c r="LTK143" s="21"/>
      <c r="LTL143" s="21"/>
      <c r="LTM143" s="21"/>
      <c r="LTN143" s="21"/>
      <c r="LTO143" s="21"/>
      <c r="LTP143" s="21"/>
      <c r="LTQ143" s="21"/>
      <c r="LTR143" s="21"/>
      <c r="LTS143" s="21"/>
      <c r="LTT143" s="21"/>
      <c r="LTU143" s="21"/>
      <c r="LTV143" s="21"/>
      <c r="LTW143" s="21"/>
      <c r="LTX143" s="21"/>
      <c r="LTY143" s="21"/>
      <c r="LTZ143" s="21"/>
      <c r="LUA143" s="21"/>
      <c r="LUB143" s="21"/>
      <c r="LUC143" s="21"/>
      <c r="LUD143" s="21"/>
      <c r="LUE143" s="21"/>
      <c r="LUF143" s="21"/>
      <c r="LUG143" s="21"/>
      <c r="LUH143" s="21"/>
      <c r="LUI143" s="21"/>
      <c r="LUJ143" s="21"/>
      <c r="LUK143" s="21"/>
      <c r="LUL143" s="21"/>
      <c r="LUM143" s="21"/>
      <c r="LUN143" s="21"/>
      <c r="LUO143" s="21"/>
      <c r="LUP143" s="21"/>
      <c r="LUQ143" s="21"/>
      <c r="LUR143" s="21"/>
      <c r="LUS143" s="21"/>
      <c r="LUT143" s="21"/>
      <c r="LUU143" s="21"/>
      <c r="LUV143" s="21"/>
      <c r="LUW143" s="21"/>
      <c r="LUX143" s="21"/>
      <c r="LUY143" s="21"/>
      <c r="LUZ143" s="21"/>
      <c r="LVA143" s="21"/>
      <c r="LVB143" s="21"/>
      <c r="LVC143" s="21"/>
      <c r="LVD143" s="21"/>
      <c r="LVE143" s="21"/>
      <c r="LVF143" s="21"/>
      <c r="LVG143" s="21"/>
      <c r="LVH143" s="21"/>
      <c r="LVI143" s="21"/>
      <c r="LVJ143" s="21"/>
      <c r="LVK143" s="21"/>
      <c r="LVL143" s="21"/>
      <c r="LVM143" s="21"/>
      <c r="LVN143" s="21"/>
      <c r="LVO143" s="21"/>
      <c r="LVP143" s="21"/>
      <c r="LVQ143" s="21"/>
      <c r="LVR143" s="21"/>
      <c r="LVS143" s="21"/>
      <c r="LVT143" s="21"/>
      <c r="LVU143" s="21"/>
      <c r="LVV143" s="21"/>
      <c r="LVW143" s="21"/>
      <c r="LVX143" s="21"/>
      <c r="LVY143" s="21"/>
      <c r="LVZ143" s="21"/>
      <c r="LWA143" s="21"/>
      <c r="LWB143" s="21"/>
      <c r="LWC143" s="21"/>
      <c r="LWD143" s="21"/>
      <c r="LWE143" s="21"/>
      <c r="LWF143" s="21"/>
      <c r="LWG143" s="21"/>
      <c r="LWH143" s="21"/>
      <c r="LWI143" s="21"/>
      <c r="LWJ143" s="21"/>
      <c r="LWK143" s="21"/>
      <c r="LWL143" s="21"/>
      <c r="LWM143" s="21"/>
      <c r="LWN143" s="21"/>
      <c r="LWO143" s="21"/>
      <c r="LWP143" s="21"/>
      <c r="LWQ143" s="21"/>
      <c r="LWR143" s="21"/>
      <c r="LWS143" s="21"/>
      <c r="LWT143" s="21"/>
      <c r="LWU143" s="21"/>
      <c r="LWV143" s="21"/>
      <c r="LWW143" s="21"/>
      <c r="LWX143" s="21"/>
      <c r="LWY143" s="21"/>
      <c r="LWZ143" s="21"/>
      <c r="LXA143" s="21"/>
      <c r="LXB143" s="21"/>
      <c r="LXC143" s="21"/>
      <c r="LXD143" s="21"/>
      <c r="LXE143" s="21"/>
      <c r="LXF143" s="21"/>
      <c r="LXG143" s="21"/>
      <c r="LXH143" s="21"/>
      <c r="LXI143" s="21"/>
      <c r="LXJ143" s="21"/>
      <c r="LXK143" s="21"/>
      <c r="LXL143" s="21"/>
      <c r="LXM143" s="21"/>
      <c r="LXN143" s="21"/>
      <c r="LXO143" s="21"/>
      <c r="LXP143" s="21"/>
      <c r="LXQ143" s="21"/>
      <c r="LXR143" s="21"/>
      <c r="LXS143" s="21"/>
      <c r="LXT143" s="21"/>
      <c r="LXU143" s="21"/>
      <c r="LXV143" s="21"/>
      <c r="LXW143" s="21"/>
      <c r="LXX143" s="21"/>
      <c r="LXY143" s="21"/>
      <c r="LXZ143" s="21"/>
      <c r="LYA143" s="21"/>
      <c r="LYB143" s="21"/>
      <c r="LYC143" s="21"/>
      <c r="LYD143" s="21"/>
      <c r="LYE143" s="21"/>
      <c r="LYF143" s="21"/>
      <c r="LYG143" s="21"/>
      <c r="LYH143" s="21"/>
      <c r="LYI143" s="21"/>
      <c r="LYJ143" s="21"/>
      <c r="LYK143" s="21"/>
      <c r="LYL143" s="21"/>
      <c r="LYM143" s="21"/>
      <c r="LYN143" s="21"/>
      <c r="LYO143" s="21"/>
      <c r="LYP143" s="21"/>
      <c r="LYQ143" s="21"/>
      <c r="LYR143" s="21"/>
      <c r="LYS143" s="21"/>
      <c r="LYT143" s="21"/>
      <c r="LYU143" s="21"/>
      <c r="LYV143" s="21"/>
      <c r="LYW143" s="21"/>
      <c r="LYX143" s="21"/>
      <c r="LYY143" s="21"/>
      <c r="LYZ143" s="21"/>
      <c r="LZA143" s="21"/>
      <c r="LZB143" s="21"/>
      <c r="LZC143" s="21"/>
      <c r="LZD143" s="21"/>
      <c r="LZE143" s="21"/>
      <c r="LZF143" s="21"/>
      <c r="LZG143" s="21"/>
      <c r="LZH143" s="21"/>
      <c r="LZI143" s="21"/>
      <c r="LZJ143" s="21"/>
      <c r="LZK143" s="21"/>
      <c r="LZL143" s="21"/>
      <c r="LZM143" s="21"/>
      <c r="LZN143" s="21"/>
      <c r="LZO143" s="21"/>
      <c r="LZP143" s="21"/>
      <c r="LZQ143" s="21"/>
      <c r="LZR143" s="21"/>
      <c r="LZS143" s="21"/>
      <c r="LZT143" s="21"/>
      <c r="LZU143" s="21"/>
      <c r="LZV143" s="21"/>
      <c r="LZW143" s="21"/>
      <c r="LZX143" s="21"/>
      <c r="LZY143" s="21"/>
      <c r="LZZ143" s="21"/>
      <c r="MAA143" s="21"/>
      <c r="MAB143" s="21"/>
      <c r="MAC143" s="21"/>
      <c r="MAD143" s="21"/>
      <c r="MAE143" s="21"/>
      <c r="MAF143" s="21"/>
      <c r="MAG143" s="21"/>
      <c r="MAH143" s="21"/>
      <c r="MAI143" s="21"/>
      <c r="MAJ143" s="21"/>
      <c r="MAK143" s="21"/>
      <c r="MAL143" s="21"/>
      <c r="MAM143" s="21"/>
      <c r="MAN143" s="21"/>
      <c r="MAO143" s="21"/>
      <c r="MAP143" s="21"/>
      <c r="MAQ143" s="21"/>
      <c r="MAR143" s="21"/>
      <c r="MAS143" s="21"/>
      <c r="MAT143" s="21"/>
      <c r="MAU143" s="21"/>
      <c r="MAV143" s="21"/>
      <c r="MAW143" s="21"/>
      <c r="MAX143" s="21"/>
      <c r="MAY143" s="21"/>
      <c r="MAZ143" s="21"/>
      <c r="MBA143" s="21"/>
      <c r="MBB143" s="21"/>
      <c r="MBC143" s="21"/>
      <c r="MBD143" s="21"/>
      <c r="MBE143" s="21"/>
      <c r="MBF143" s="21"/>
      <c r="MBG143" s="21"/>
      <c r="MBH143" s="21"/>
      <c r="MBI143" s="21"/>
      <c r="MBJ143" s="21"/>
      <c r="MBK143" s="21"/>
      <c r="MBL143" s="21"/>
      <c r="MBM143" s="21"/>
      <c r="MBN143" s="21"/>
      <c r="MBO143" s="21"/>
      <c r="MBP143" s="21"/>
      <c r="MBQ143" s="21"/>
      <c r="MBR143" s="21"/>
      <c r="MBS143" s="21"/>
      <c r="MBT143" s="21"/>
      <c r="MBU143" s="21"/>
      <c r="MBV143" s="21"/>
      <c r="MBW143" s="21"/>
      <c r="MBX143" s="21"/>
      <c r="MBY143" s="21"/>
      <c r="MBZ143" s="21"/>
      <c r="MCA143" s="21"/>
      <c r="MCB143" s="21"/>
      <c r="MCC143" s="21"/>
      <c r="MCD143" s="21"/>
      <c r="MCE143" s="21"/>
      <c r="MCF143" s="21"/>
      <c r="MCG143" s="21"/>
      <c r="MCH143" s="21"/>
      <c r="MCI143" s="21"/>
      <c r="MCJ143" s="21"/>
      <c r="MCK143" s="21"/>
      <c r="MCL143" s="21"/>
      <c r="MCM143" s="21"/>
      <c r="MCN143" s="21"/>
      <c r="MCO143" s="21"/>
      <c r="MCP143" s="21"/>
      <c r="MCQ143" s="21"/>
      <c r="MCR143" s="21"/>
      <c r="MCS143" s="21"/>
      <c r="MCT143" s="21"/>
      <c r="MCU143" s="21"/>
      <c r="MCV143" s="21"/>
      <c r="MCW143" s="21"/>
      <c r="MCX143" s="21"/>
      <c r="MCY143" s="21"/>
      <c r="MCZ143" s="21"/>
      <c r="MDA143" s="21"/>
      <c r="MDB143" s="21"/>
      <c r="MDC143" s="21"/>
      <c r="MDD143" s="21"/>
      <c r="MDE143" s="21"/>
      <c r="MDF143" s="21"/>
      <c r="MDG143" s="21"/>
      <c r="MDH143" s="21"/>
      <c r="MDI143" s="21"/>
      <c r="MDJ143" s="21"/>
      <c r="MDK143" s="21"/>
      <c r="MDL143" s="21"/>
      <c r="MDM143" s="21"/>
      <c r="MDN143" s="21"/>
      <c r="MDO143" s="21"/>
      <c r="MDP143" s="21"/>
      <c r="MDQ143" s="21"/>
      <c r="MDR143" s="21"/>
      <c r="MDS143" s="21"/>
      <c r="MDT143" s="21"/>
      <c r="MDU143" s="21"/>
      <c r="MDV143" s="21"/>
      <c r="MDW143" s="21"/>
      <c r="MDX143" s="21"/>
      <c r="MDY143" s="21"/>
      <c r="MDZ143" s="21"/>
      <c r="MEA143" s="21"/>
      <c r="MEB143" s="21"/>
      <c r="MEC143" s="21"/>
      <c r="MED143" s="21"/>
      <c r="MEE143" s="21"/>
      <c r="MEF143" s="21"/>
      <c r="MEG143" s="21"/>
      <c r="MEH143" s="21"/>
      <c r="MEI143" s="21"/>
      <c r="MEJ143" s="21"/>
      <c r="MEK143" s="21"/>
      <c r="MEL143" s="21"/>
      <c r="MEM143" s="21"/>
      <c r="MEN143" s="21"/>
      <c r="MEO143" s="21"/>
      <c r="MEP143" s="21"/>
      <c r="MEQ143" s="21"/>
      <c r="MER143" s="21"/>
      <c r="MES143" s="21"/>
      <c r="MET143" s="21"/>
      <c r="MEU143" s="21"/>
      <c r="MEV143" s="21"/>
      <c r="MEW143" s="21"/>
      <c r="MEX143" s="21"/>
      <c r="MEY143" s="21"/>
      <c r="MEZ143" s="21"/>
      <c r="MFA143" s="21"/>
      <c r="MFB143" s="21"/>
      <c r="MFC143" s="21"/>
      <c r="MFD143" s="21"/>
      <c r="MFE143" s="21"/>
      <c r="MFF143" s="21"/>
      <c r="MFG143" s="21"/>
      <c r="MFH143" s="21"/>
      <c r="MFI143" s="21"/>
      <c r="MFJ143" s="21"/>
      <c r="MFK143" s="21"/>
      <c r="MFL143" s="21"/>
      <c r="MFM143" s="21"/>
      <c r="MFN143" s="21"/>
      <c r="MFO143" s="21"/>
      <c r="MFP143" s="21"/>
      <c r="MFQ143" s="21"/>
      <c r="MFR143" s="21"/>
      <c r="MFS143" s="21"/>
      <c r="MFT143" s="21"/>
      <c r="MFU143" s="21"/>
      <c r="MFV143" s="21"/>
      <c r="MFW143" s="21"/>
      <c r="MFX143" s="21"/>
      <c r="MFY143" s="21"/>
      <c r="MFZ143" s="21"/>
      <c r="MGA143" s="21"/>
      <c r="MGB143" s="21"/>
      <c r="MGC143" s="21"/>
      <c r="MGD143" s="21"/>
      <c r="MGE143" s="21"/>
      <c r="MGF143" s="21"/>
      <c r="MGG143" s="21"/>
      <c r="MGH143" s="21"/>
      <c r="MGI143" s="21"/>
      <c r="MGJ143" s="21"/>
      <c r="MGK143" s="21"/>
      <c r="MGL143" s="21"/>
      <c r="MGM143" s="21"/>
      <c r="MGN143" s="21"/>
      <c r="MGO143" s="21"/>
      <c r="MGP143" s="21"/>
      <c r="MGQ143" s="21"/>
      <c r="MGR143" s="21"/>
      <c r="MGS143" s="21"/>
      <c r="MGT143" s="21"/>
      <c r="MGU143" s="21"/>
      <c r="MGV143" s="21"/>
      <c r="MGW143" s="21"/>
      <c r="MGX143" s="21"/>
      <c r="MGY143" s="21"/>
      <c r="MGZ143" s="21"/>
      <c r="MHA143" s="21"/>
      <c r="MHB143" s="21"/>
      <c r="MHC143" s="21"/>
      <c r="MHD143" s="21"/>
      <c r="MHE143" s="21"/>
      <c r="MHF143" s="21"/>
      <c r="MHG143" s="21"/>
      <c r="MHH143" s="21"/>
      <c r="MHI143" s="21"/>
      <c r="MHJ143" s="21"/>
      <c r="MHK143" s="21"/>
      <c r="MHL143" s="21"/>
      <c r="MHM143" s="21"/>
      <c r="MHN143" s="21"/>
      <c r="MHO143" s="21"/>
      <c r="MHP143" s="21"/>
      <c r="MHQ143" s="21"/>
      <c r="MHR143" s="21"/>
      <c r="MHS143" s="21"/>
      <c r="MHT143" s="21"/>
      <c r="MHU143" s="21"/>
      <c r="MHV143" s="21"/>
      <c r="MHW143" s="21"/>
      <c r="MHX143" s="21"/>
      <c r="MHY143" s="21"/>
      <c r="MHZ143" s="21"/>
      <c r="MIA143" s="21"/>
      <c r="MIB143" s="21"/>
      <c r="MIC143" s="21"/>
      <c r="MID143" s="21"/>
      <c r="MIE143" s="21"/>
      <c r="MIF143" s="21"/>
      <c r="MIG143" s="21"/>
      <c r="MIH143" s="21"/>
      <c r="MII143" s="21"/>
      <c r="MIJ143" s="21"/>
      <c r="MIK143" s="21"/>
      <c r="MIL143" s="21"/>
      <c r="MIM143" s="21"/>
      <c r="MIN143" s="21"/>
      <c r="MIO143" s="21"/>
      <c r="MIP143" s="21"/>
      <c r="MIQ143" s="21"/>
      <c r="MIR143" s="21"/>
      <c r="MIS143" s="21"/>
      <c r="MIT143" s="21"/>
      <c r="MIU143" s="21"/>
      <c r="MIV143" s="21"/>
      <c r="MIW143" s="21"/>
      <c r="MIX143" s="21"/>
      <c r="MIY143" s="21"/>
      <c r="MIZ143" s="21"/>
      <c r="MJA143" s="21"/>
      <c r="MJB143" s="21"/>
      <c r="MJC143" s="21"/>
      <c r="MJD143" s="21"/>
      <c r="MJE143" s="21"/>
      <c r="MJF143" s="21"/>
      <c r="MJG143" s="21"/>
      <c r="MJH143" s="21"/>
      <c r="MJI143" s="21"/>
      <c r="MJJ143" s="21"/>
      <c r="MJK143" s="21"/>
      <c r="MJL143" s="21"/>
      <c r="MJM143" s="21"/>
      <c r="MJN143" s="21"/>
      <c r="MJO143" s="21"/>
      <c r="MJP143" s="21"/>
      <c r="MJQ143" s="21"/>
      <c r="MJR143" s="21"/>
      <c r="MJS143" s="21"/>
      <c r="MJT143" s="21"/>
      <c r="MJU143" s="21"/>
      <c r="MJV143" s="21"/>
      <c r="MJW143" s="21"/>
      <c r="MJX143" s="21"/>
      <c r="MJY143" s="21"/>
      <c r="MJZ143" s="21"/>
      <c r="MKA143" s="21"/>
      <c r="MKB143" s="21"/>
      <c r="MKC143" s="21"/>
      <c r="MKD143" s="21"/>
      <c r="MKE143" s="21"/>
      <c r="MKF143" s="21"/>
      <c r="MKG143" s="21"/>
      <c r="MKH143" s="21"/>
      <c r="MKI143" s="21"/>
      <c r="MKJ143" s="21"/>
      <c r="MKK143" s="21"/>
      <c r="MKL143" s="21"/>
      <c r="MKM143" s="21"/>
      <c r="MKN143" s="21"/>
      <c r="MKO143" s="21"/>
      <c r="MKP143" s="21"/>
      <c r="MKQ143" s="21"/>
      <c r="MKR143" s="21"/>
      <c r="MKS143" s="21"/>
      <c r="MKT143" s="21"/>
      <c r="MKU143" s="21"/>
      <c r="MKV143" s="21"/>
      <c r="MKW143" s="21"/>
      <c r="MKX143" s="21"/>
      <c r="MKY143" s="21"/>
      <c r="MKZ143" s="21"/>
      <c r="MLA143" s="21"/>
      <c r="MLB143" s="21"/>
      <c r="MLC143" s="21"/>
      <c r="MLD143" s="21"/>
      <c r="MLE143" s="21"/>
      <c r="MLF143" s="21"/>
      <c r="MLG143" s="21"/>
      <c r="MLH143" s="21"/>
      <c r="MLI143" s="21"/>
      <c r="MLJ143" s="21"/>
      <c r="MLK143" s="21"/>
      <c r="MLL143" s="21"/>
      <c r="MLM143" s="21"/>
      <c r="MLN143" s="21"/>
      <c r="MLO143" s="21"/>
      <c r="MLP143" s="21"/>
      <c r="MLQ143" s="21"/>
      <c r="MLR143" s="21"/>
      <c r="MLS143" s="21"/>
      <c r="MLT143" s="21"/>
      <c r="MLU143" s="21"/>
      <c r="MLV143" s="21"/>
      <c r="MLW143" s="21"/>
      <c r="MLX143" s="21"/>
      <c r="MLY143" s="21"/>
      <c r="MLZ143" s="21"/>
      <c r="MMA143" s="21"/>
      <c r="MMB143" s="21"/>
      <c r="MMC143" s="21"/>
      <c r="MMD143" s="21"/>
      <c r="MME143" s="21"/>
      <c r="MMF143" s="21"/>
      <c r="MMG143" s="21"/>
      <c r="MMH143" s="21"/>
      <c r="MMI143" s="21"/>
      <c r="MMJ143" s="21"/>
      <c r="MMK143" s="21"/>
      <c r="MML143" s="21"/>
      <c r="MMM143" s="21"/>
      <c r="MMN143" s="21"/>
      <c r="MMO143" s="21"/>
      <c r="MMP143" s="21"/>
      <c r="MMQ143" s="21"/>
      <c r="MMR143" s="21"/>
      <c r="MMS143" s="21"/>
      <c r="MMT143" s="21"/>
      <c r="MMU143" s="21"/>
      <c r="MMV143" s="21"/>
      <c r="MMW143" s="21"/>
      <c r="MMX143" s="21"/>
      <c r="MMY143" s="21"/>
      <c r="MMZ143" s="21"/>
      <c r="MNA143" s="21"/>
      <c r="MNB143" s="21"/>
      <c r="MNC143" s="21"/>
      <c r="MND143" s="21"/>
      <c r="MNE143" s="21"/>
      <c r="MNF143" s="21"/>
      <c r="MNG143" s="21"/>
      <c r="MNH143" s="21"/>
      <c r="MNI143" s="21"/>
      <c r="MNJ143" s="21"/>
      <c r="MNK143" s="21"/>
      <c r="MNL143" s="21"/>
      <c r="MNM143" s="21"/>
      <c r="MNN143" s="21"/>
      <c r="MNO143" s="21"/>
      <c r="MNP143" s="21"/>
      <c r="MNQ143" s="21"/>
      <c r="MNR143" s="21"/>
      <c r="MNS143" s="21"/>
      <c r="MNT143" s="21"/>
      <c r="MNU143" s="21"/>
      <c r="MNV143" s="21"/>
      <c r="MNW143" s="21"/>
      <c r="MNX143" s="21"/>
      <c r="MNY143" s="21"/>
      <c r="MNZ143" s="21"/>
      <c r="MOA143" s="21"/>
      <c r="MOB143" s="21"/>
      <c r="MOC143" s="21"/>
      <c r="MOD143" s="21"/>
      <c r="MOE143" s="21"/>
      <c r="MOF143" s="21"/>
      <c r="MOG143" s="21"/>
      <c r="MOH143" s="21"/>
      <c r="MOI143" s="21"/>
      <c r="MOJ143" s="21"/>
      <c r="MOK143" s="21"/>
      <c r="MOL143" s="21"/>
      <c r="MOM143" s="21"/>
      <c r="MON143" s="21"/>
      <c r="MOO143" s="21"/>
      <c r="MOP143" s="21"/>
      <c r="MOQ143" s="21"/>
      <c r="MOR143" s="21"/>
      <c r="MOS143" s="21"/>
      <c r="MOT143" s="21"/>
      <c r="MOU143" s="21"/>
      <c r="MOV143" s="21"/>
      <c r="MOW143" s="21"/>
      <c r="MOX143" s="21"/>
      <c r="MOY143" s="21"/>
      <c r="MOZ143" s="21"/>
      <c r="MPA143" s="21"/>
      <c r="MPB143" s="21"/>
      <c r="MPC143" s="21"/>
      <c r="MPD143" s="21"/>
      <c r="MPE143" s="21"/>
      <c r="MPF143" s="21"/>
      <c r="MPG143" s="21"/>
      <c r="MPH143" s="21"/>
      <c r="MPI143" s="21"/>
      <c r="MPJ143" s="21"/>
      <c r="MPK143" s="21"/>
      <c r="MPL143" s="21"/>
      <c r="MPM143" s="21"/>
      <c r="MPN143" s="21"/>
      <c r="MPO143" s="21"/>
      <c r="MPP143" s="21"/>
      <c r="MPQ143" s="21"/>
      <c r="MPR143" s="21"/>
      <c r="MPS143" s="21"/>
      <c r="MPT143" s="21"/>
      <c r="MPU143" s="21"/>
      <c r="MPV143" s="21"/>
      <c r="MPW143" s="21"/>
      <c r="MPX143" s="21"/>
      <c r="MPY143" s="21"/>
      <c r="MPZ143" s="21"/>
      <c r="MQA143" s="21"/>
      <c r="MQB143" s="21"/>
      <c r="MQC143" s="21"/>
      <c r="MQD143" s="21"/>
      <c r="MQE143" s="21"/>
      <c r="MQF143" s="21"/>
      <c r="MQG143" s="21"/>
      <c r="MQH143" s="21"/>
      <c r="MQI143" s="21"/>
      <c r="MQJ143" s="21"/>
      <c r="MQK143" s="21"/>
      <c r="MQL143" s="21"/>
      <c r="MQM143" s="21"/>
      <c r="MQN143" s="21"/>
      <c r="MQO143" s="21"/>
      <c r="MQP143" s="21"/>
      <c r="MQQ143" s="21"/>
      <c r="MQR143" s="21"/>
      <c r="MQS143" s="21"/>
      <c r="MQT143" s="21"/>
      <c r="MQU143" s="21"/>
      <c r="MQV143" s="21"/>
      <c r="MQW143" s="21"/>
      <c r="MQX143" s="21"/>
      <c r="MQY143" s="21"/>
      <c r="MQZ143" s="21"/>
      <c r="MRA143" s="21"/>
      <c r="MRB143" s="21"/>
      <c r="MRC143" s="21"/>
      <c r="MRD143" s="21"/>
      <c r="MRE143" s="21"/>
      <c r="MRF143" s="21"/>
      <c r="MRG143" s="21"/>
      <c r="MRH143" s="21"/>
      <c r="MRI143" s="21"/>
      <c r="MRJ143" s="21"/>
      <c r="MRK143" s="21"/>
      <c r="MRL143" s="21"/>
      <c r="MRM143" s="21"/>
      <c r="MRN143" s="21"/>
      <c r="MRO143" s="21"/>
      <c r="MRP143" s="21"/>
      <c r="MRQ143" s="21"/>
      <c r="MRR143" s="21"/>
      <c r="MRS143" s="21"/>
      <c r="MRT143" s="21"/>
      <c r="MRU143" s="21"/>
      <c r="MRV143" s="21"/>
      <c r="MRW143" s="21"/>
      <c r="MRX143" s="21"/>
      <c r="MRY143" s="21"/>
      <c r="MRZ143" s="21"/>
      <c r="MSA143" s="21"/>
      <c r="MSB143" s="21"/>
      <c r="MSC143" s="21"/>
      <c r="MSD143" s="21"/>
      <c r="MSE143" s="21"/>
      <c r="MSF143" s="21"/>
      <c r="MSG143" s="21"/>
      <c r="MSH143" s="21"/>
      <c r="MSI143" s="21"/>
      <c r="MSJ143" s="21"/>
      <c r="MSK143" s="21"/>
      <c r="MSL143" s="21"/>
      <c r="MSM143" s="21"/>
      <c r="MSN143" s="21"/>
      <c r="MSO143" s="21"/>
      <c r="MSP143" s="21"/>
      <c r="MSQ143" s="21"/>
      <c r="MSR143" s="21"/>
      <c r="MSS143" s="21"/>
      <c r="MST143" s="21"/>
      <c r="MSU143" s="21"/>
      <c r="MSV143" s="21"/>
      <c r="MSW143" s="21"/>
      <c r="MSX143" s="21"/>
      <c r="MSY143" s="21"/>
      <c r="MSZ143" s="21"/>
      <c r="MTA143" s="21"/>
      <c r="MTB143" s="21"/>
      <c r="MTC143" s="21"/>
      <c r="MTD143" s="21"/>
      <c r="MTE143" s="21"/>
      <c r="MTF143" s="21"/>
      <c r="MTG143" s="21"/>
      <c r="MTH143" s="21"/>
      <c r="MTI143" s="21"/>
      <c r="MTJ143" s="21"/>
      <c r="MTK143" s="21"/>
      <c r="MTL143" s="21"/>
      <c r="MTM143" s="21"/>
      <c r="MTN143" s="21"/>
      <c r="MTO143" s="21"/>
      <c r="MTP143" s="21"/>
      <c r="MTQ143" s="21"/>
      <c r="MTR143" s="21"/>
      <c r="MTS143" s="21"/>
      <c r="MTT143" s="21"/>
      <c r="MTU143" s="21"/>
      <c r="MTV143" s="21"/>
      <c r="MTW143" s="21"/>
      <c r="MTX143" s="21"/>
      <c r="MTY143" s="21"/>
      <c r="MTZ143" s="21"/>
      <c r="MUA143" s="21"/>
      <c r="MUB143" s="21"/>
      <c r="MUC143" s="21"/>
      <c r="MUD143" s="21"/>
      <c r="MUE143" s="21"/>
      <c r="MUF143" s="21"/>
      <c r="MUG143" s="21"/>
      <c r="MUH143" s="21"/>
      <c r="MUI143" s="21"/>
      <c r="MUJ143" s="21"/>
      <c r="MUK143" s="21"/>
      <c r="MUL143" s="21"/>
      <c r="MUM143" s="21"/>
      <c r="MUN143" s="21"/>
      <c r="MUO143" s="21"/>
      <c r="MUP143" s="21"/>
      <c r="MUQ143" s="21"/>
      <c r="MUR143" s="21"/>
      <c r="MUS143" s="21"/>
      <c r="MUT143" s="21"/>
      <c r="MUU143" s="21"/>
      <c r="MUV143" s="21"/>
      <c r="MUW143" s="21"/>
      <c r="MUX143" s="21"/>
      <c r="MUY143" s="21"/>
      <c r="MUZ143" s="21"/>
      <c r="MVA143" s="21"/>
      <c r="MVB143" s="21"/>
      <c r="MVC143" s="21"/>
      <c r="MVD143" s="21"/>
      <c r="MVE143" s="21"/>
      <c r="MVF143" s="21"/>
      <c r="MVG143" s="21"/>
      <c r="MVH143" s="21"/>
      <c r="MVI143" s="21"/>
      <c r="MVJ143" s="21"/>
      <c r="MVK143" s="21"/>
      <c r="MVL143" s="21"/>
      <c r="MVM143" s="21"/>
      <c r="MVN143" s="21"/>
      <c r="MVO143" s="21"/>
      <c r="MVP143" s="21"/>
      <c r="MVQ143" s="21"/>
      <c r="MVR143" s="21"/>
      <c r="MVS143" s="21"/>
      <c r="MVT143" s="21"/>
      <c r="MVU143" s="21"/>
      <c r="MVV143" s="21"/>
      <c r="MVW143" s="21"/>
      <c r="MVX143" s="21"/>
      <c r="MVY143" s="21"/>
      <c r="MVZ143" s="21"/>
      <c r="MWA143" s="21"/>
      <c r="MWB143" s="21"/>
      <c r="MWC143" s="21"/>
      <c r="MWD143" s="21"/>
      <c r="MWE143" s="21"/>
      <c r="MWF143" s="21"/>
      <c r="MWG143" s="21"/>
      <c r="MWH143" s="21"/>
      <c r="MWI143" s="21"/>
      <c r="MWJ143" s="21"/>
      <c r="MWK143" s="21"/>
      <c r="MWL143" s="21"/>
      <c r="MWM143" s="21"/>
      <c r="MWN143" s="21"/>
      <c r="MWO143" s="21"/>
      <c r="MWP143" s="21"/>
      <c r="MWQ143" s="21"/>
      <c r="MWR143" s="21"/>
      <c r="MWS143" s="21"/>
      <c r="MWT143" s="21"/>
      <c r="MWU143" s="21"/>
      <c r="MWV143" s="21"/>
      <c r="MWW143" s="21"/>
      <c r="MWX143" s="21"/>
      <c r="MWY143" s="21"/>
      <c r="MWZ143" s="21"/>
      <c r="MXA143" s="21"/>
      <c r="MXB143" s="21"/>
      <c r="MXC143" s="21"/>
      <c r="MXD143" s="21"/>
      <c r="MXE143" s="21"/>
      <c r="MXF143" s="21"/>
      <c r="MXG143" s="21"/>
      <c r="MXH143" s="21"/>
      <c r="MXI143" s="21"/>
      <c r="MXJ143" s="21"/>
      <c r="MXK143" s="21"/>
      <c r="MXL143" s="21"/>
      <c r="MXM143" s="21"/>
      <c r="MXN143" s="21"/>
      <c r="MXO143" s="21"/>
      <c r="MXP143" s="21"/>
      <c r="MXQ143" s="21"/>
      <c r="MXR143" s="21"/>
      <c r="MXS143" s="21"/>
      <c r="MXT143" s="21"/>
      <c r="MXU143" s="21"/>
      <c r="MXV143" s="21"/>
      <c r="MXW143" s="21"/>
      <c r="MXX143" s="21"/>
      <c r="MXY143" s="21"/>
      <c r="MXZ143" s="21"/>
      <c r="MYA143" s="21"/>
      <c r="MYB143" s="21"/>
      <c r="MYC143" s="21"/>
      <c r="MYD143" s="21"/>
      <c r="MYE143" s="21"/>
      <c r="MYF143" s="21"/>
      <c r="MYG143" s="21"/>
      <c r="MYH143" s="21"/>
      <c r="MYI143" s="21"/>
      <c r="MYJ143" s="21"/>
      <c r="MYK143" s="21"/>
      <c r="MYL143" s="21"/>
      <c r="MYM143" s="21"/>
      <c r="MYN143" s="21"/>
      <c r="MYO143" s="21"/>
      <c r="MYP143" s="21"/>
      <c r="MYQ143" s="21"/>
      <c r="MYR143" s="21"/>
      <c r="MYS143" s="21"/>
      <c r="MYT143" s="21"/>
      <c r="MYU143" s="21"/>
      <c r="MYV143" s="21"/>
      <c r="MYW143" s="21"/>
      <c r="MYX143" s="21"/>
      <c r="MYY143" s="21"/>
      <c r="MYZ143" s="21"/>
      <c r="MZA143" s="21"/>
      <c r="MZB143" s="21"/>
      <c r="MZC143" s="21"/>
      <c r="MZD143" s="21"/>
      <c r="MZE143" s="21"/>
      <c r="MZF143" s="21"/>
      <c r="MZG143" s="21"/>
      <c r="MZH143" s="21"/>
      <c r="MZI143" s="21"/>
      <c r="MZJ143" s="21"/>
      <c r="MZK143" s="21"/>
      <c r="MZL143" s="21"/>
      <c r="MZM143" s="21"/>
      <c r="MZN143" s="21"/>
      <c r="MZO143" s="21"/>
      <c r="MZP143" s="21"/>
      <c r="MZQ143" s="21"/>
      <c r="MZR143" s="21"/>
      <c r="MZS143" s="21"/>
      <c r="MZT143" s="21"/>
      <c r="MZU143" s="21"/>
      <c r="MZV143" s="21"/>
      <c r="MZW143" s="21"/>
      <c r="MZX143" s="21"/>
      <c r="MZY143" s="21"/>
      <c r="MZZ143" s="21"/>
      <c r="NAA143" s="21"/>
      <c r="NAB143" s="21"/>
      <c r="NAC143" s="21"/>
      <c r="NAD143" s="21"/>
      <c r="NAE143" s="21"/>
      <c r="NAF143" s="21"/>
      <c r="NAG143" s="21"/>
      <c r="NAH143" s="21"/>
      <c r="NAI143" s="21"/>
      <c r="NAJ143" s="21"/>
      <c r="NAK143" s="21"/>
      <c r="NAL143" s="21"/>
      <c r="NAM143" s="21"/>
      <c r="NAN143" s="21"/>
      <c r="NAO143" s="21"/>
      <c r="NAP143" s="21"/>
      <c r="NAQ143" s="21"/>
      <c r="NAR143" s="21"/>
      <c r="NAS143" s="21"/>
      <c r="NAT143" s="21"/>
      <c r="NAU143" s="21"/>
      <c r="NAV143" s="21"/>
      <c r="NAW143" s="21"/>
      <c r="NAX143" s="21"/>
      <c r="NAY143" s="21"/>
      <c r="NAZ143" s="21"/>
      <c r="NBA143" s="21"/>
      <c r="NBB143" s="21"/>
      <c r="NBC143" s="21"/>
      <c r="NBD143" s="21"/>
      <c r="NBE143" s="21"/>
      <c r="NBF143" s="21"/>
      <c r="NBG143" s="21"/>
      <c r="NBH143" s="21"/>
      <c r="NBI143" s="21"/>
      <c r="NBJ143" s="21"/>
      <c r="NBK143" s="21"/>
      <c r="NBL143" s="21"/>
      <c r="NBM143" s="21"/>
      <c r="NBN143" s="21"/>
      <c r="NBO143" s="21"/>
      <c r="NBP143" s="21"/>
      <c r="NBQ143" s="21"/>
      <c r="NBR143" s="21"/>
      <c r="NBS143" s="21"/>
      <c r="NBT143" s="21"/>
      <c r="NBU143" s="21"/>
      <c r="NBV143" s="21"/>
      <c r="NBW143" s="21"/>
      <c r="NBX143" s="21"/>
      <c r="NBY143" s="21"/>
      <c r="NBZ143" s="21"/>
      <c r="NCA143" s="21"/>
      <c r="NCB143" s="21"/>
      <c r="NCC143" s="21"/>
      <c r="NCD143" s="21"/>
      <c r="NCE143" s="21"/>
      <c r="NCF143" s="21"/>
      <c r="NCG143" s="21"/>
      <c r="NCH143" s="21"/>
      <c r="NCI143" s="21"/>
      <c r="NCJ143" s="21"/>
      <c r="NCK143" s="21"/>
      <c r="NCL143" s="21"/>
      <c r="NCM143" s="21"/>
      <c r="NCN143" s="21"/>
      <c r="NCO143" s="21"/>
      <c r="NCP143" s="21"/>
      <c r="NCQ143" s="21"/>
      <c r="NCR143" s="21"/>
      <c r="NCS143" s="21"/>
      <c r="NCT143" s="21"/>
      <c r="NCU143" s="21"/>
      <c r="NCV143" s="21"/>
      <c r="NCW143" s="21"/>
      <c r="NCX143" s="21"/>
      <c r="NCY143" s="21"/>
      <c r="NCZ143" s="21"/>
      <c r="NDA143" s="21"/>
      <c r="NDB143" s="21"/>
      <c r="NDC143" s="21"/>
      <c r="NDD143" s="21"/>
      <c r="NDE143" s="21"/>
      <c r="NDF143" s="21"/>
      <c r="NDG143" s="21"/>
      <c r="NDH143" s="21"/>
      <c r="NDI143" s="21"/>
      <c r="NDJ143" s="21"/>
      <c r="NDK143" s="21"/>
      <c r="NDL143" s="21"/>
      <c r="NDM143" s="21"/>
      <c r="NDN143" s="21"/>
      <c r="NDO143" s="21"/>
      <c r="NDP143" s="21"/>
      <c r="NDQ143" s="21"/>
      <c r="NDR143" s="21"/>
      <c r="NDS143" s="21"/>
      <c r="NDT143" s="21"/>
      <c r="NDU143" s="21"/>
      <c r="NDV143" s="21"/>
      <c r="NDW143" s="21"/>
      <c r="NDX143" s="21"/>
      <c r="NDY143" s="21"/>
      <c r="NDZ143" s="21"/>
      <c r="NEA143" s="21"/>
      <c r="NEB143" s="21"/>
      <c r="NEC143" s="21"/>
      <c r="NED143" s="21"/>
      <c r="NEE143" s="21"/>
      <c r="NEF143" s="21"/>
      <c r="NEG143" s="21"/>
      <c r="NEH143" s="21"/>
      <c r="NEI143" s="21"/>
      <c r="NEJ143" s="21"/>
      <c r="NEK143" s="21"/>
      <c r="NEL143" s="21"/>
      <c r="NEM143" s="21"/>
      <c r="NEN143" s="21"/>
      <c r="NEO143" s="21"/>
      <c r="NEP143" s="21"/>
      <c r="NEQ143" s="21"/>
      <c r="NER143" s="21"/>
      <c r="NES143" s="21"/>
      <c r="NET143" s="21"/>
      <c r="NEU143" s="21"/>
      <c r="NEV143" s="21"/>
      <c r="NEW143" s="21"/>
      <c r="NEX143" s="21"/>
      <c r="NEY143" s="21"/>
      <c r="NEZ143" s="21"/>
      <c r="NFA143" s="21"/>
      <c r="NFB143" s="21"/>
      <c r="NFC143" s="21"/>
      <c r="NFD143" s="21"/>
      <c r="NFE143" s="21"/>
      <c r="NFF143" s="21"/>
      <c r="NFG143" s="21"/>
      <c r="NFH143" s="21"/>
      <c r="NFI143" s="21"/>
      <c r="NFJ143" s="21"/>
      <c r="NFK143" s="21"/>
      <c r="NFL143" s="21"/>
      <c r="NFM143" s="21"/>
      <c r="NFN143" s="21"/>
      <c r="NFO143" s="21"/>
      <c r="NFP143" s="21"/>
      <c r="NFQ143" s="21"/>
      <c r="NFR143" s="21"/>
      <c r="NFS143" s="21"/>
      <c r="NFT143" s="21"/>
      <c r="NFU143" s="21"/>
      <c r="NFV143" s="21"/>
      <c r="NFW143" s="21"/>
      <c r="NFX143" s="21"/>
      <c r="NFY143" s="21"/>
      <c r="NFZ143" s="21"/>
      <c r="NGA143" s="21"/>
      <c r="NGB143" s="21"/>
      <c r="NGC143" s="21"/>
      <c r="NGD143" s="21"/>
      <c r="NGE143" s="21"/>
      <c r="NGF143" s="21"/>
      <c r="NGG143" s="21"/>
      <c r="NGH143" s="21"/>
      <c r="NGI143" s="21"/>
      <c r="NGJ143" s="21"/>
      <c r="NGK143" s="21"/>
      <c r="NGL143" s="21"/>
      <c r="NGM143" s="21"/>
      <c r="NGN143" s="21"/>
      <c r="NGO143" s="21"/>
      <c r="NGP143" s="21"/>
      <c r="NGQ143" s="21"/>
      <c r="NGR143" s="21"/>
      <c r="NGS143" s="21"/>
      <c r="NGT143" s="21"/>
      <c r="NGU143" s="21"/>
      <c r="NGV143" s="21"/>
      <c r="NGW143" s="21"/>
      <c r="NGX143" s="21"/>
      <c r="NGY143" s="21"/>
      <c r="NGZ143" s="21"/>
      <c r="NHA143" s="21"/>
      <c r="NHB143" s="21"/>
      <c r="NHC143" s="21"/>
      <c r="NHD143" s="21"/>
      <c r="NHE143" s="21"/>
      <c r="NHF143" s="21"/>
      <c r="NHG143" s="21"/>
      <c r="NHH143" s="21"/>
      <c r="NHI143" s="21"/>
      <c r="NHJ143" s="21"/>
      <c r="NHK143" s="21"/>
      <c r="NHL143" s="21"/>
      <c r="NHM143" s="21"/>
      <c r="NHN143" s="21"/>
      <c r="NHO143" s="21"/>
      <c r="NHP143" s="21"/>
      <c r="NHQ143" s="21"/>
      <c r="NHR143" s="21"/>
      <c r="NHS143" s="21"/>
      <c r="NHT143" s="21"/>
      <c r="NHU143" s="21"/>
      <c r="NHV143" s="21"/>
      <c r="NHW143" s="21"/>
      <c r="NHX143" s="21"/>
      <c r="NHY143" s="21"/>
      <c r="NHZ143" s="21"/>
      <c r="NIA143" s="21"/>
      <c r="NIB143" s="21"/>
      <c r="NIC143" s="21"/>
      <c r="NID143" s="21"/>
      <c r="NIE143" s="21"/>
      <c r="NIF143" s="21"/>
      <c r="NIG143" s="21"/>
      <c r="NIH143" s="21"/>
      <c r="NII143" s="21"/>
      <c r="NIJ143" s="21"/>
      <c r="NIK143" s="21"/>
      <c r="NIL143" s="21"/>
      <c r="NIM143" s="21"/>
      <c r="NIN143" s="21"/>
      <c r="NIO143" s="21"/>
      <c r="NIP143" s="21"/>
      <c r="NIQ143" s="21"/>
      <c r="NIR143" s="21"/>
      <c r="NIS143" s="21"/>
      <c r="NIT143" s="21"/>
      <c r="NIU143" s="21"/>
      <c r="NIV143" s="21"/>
      <c r="NIW143" s="21"/>
      <c r="NIX143" s="21"/>
      <c r="NIY143" s="21"/>
      <c r="NIZ143" s="21"/>
      <c r="NJA143" s="21"/>
      <c r="NJB143" s="21"/>
      <c r="NJC143" s="21"/>
      <c r="NJD143" s="21"/>
      <c r="NJE143" s="21"/>
      <c r="NJF143" s="21"/>
      <c r="NJG143" s="21"/>
      <c r="NJH143" s="21"/>
      <c r="NJI143" s="21"/>
      <c r="NJJ143" s="21"/>
      <c r="NJK143" s="21"/>
      <c r="NJL143" s="21"/>
      <c r="NJM143" s="21"/>
      <c r="NJN143" s="21"/>
      <c r="NJO143" s="21"/>
      <c r="NJP143" s="21"/>
      <c r="NJQ143" s="21"/>
      <c r="NJR143" s="21"/>
      <c r="NJS143" s="21"/>
      <c r="NJT143" s="21"/>
      <c r="NJU143" s="21"/>
      <c r="NJV143" s="21"/>
      <c r="NJW143" s="21"/>
      <c r="NJX143" s="21"/>
      <c r="NJY143" s="21"/>
      <c r="NJZ143" s="21"/>
      <c r="NKA143" s="21"/>
      <c r="NKB143" s="21"/>
      <c r="NKC143" s="21"/>
      <c r="NKD143" s="21"/>
      <c r="NKE143" s="21"/>
      <c r="NKF143" s="21"/>
      <c r="NKG143" s="21"/>
      <c r="NKH143" s="21"/>
      <c r="NKI143" s="21"/>
      <c r="NKJ143" s="21"/>
      <c r="NKK143" s="21"/>
      <c r="NKL143" s="21"/>
      <c r="NKM143" s="21"/>
      <c r="NKN143" s="21"/>
      <c r="NKO143" s="21"/>
      <c r="NKP143" s="21"/>
      <c r="NKQ143" s="21"/>
      <c r="NKR143" s="21"/>
      <c r="NKS143" s="21"/>
      <c r="NKT143" s="21"/>
      <c r="NKU143" s="21"/>
      <c r="NKV143" s="21"/>
      <c r="NKW143" s="21"/>
      <c r="NKX143" s="21"/>
      <c r="NKY143" s="21"/>
      <c r="NKZ143" s="21"/>
      <c r="NLA143" s="21"/>
      <c r="NLB143" s="21"/>
      <c r="NLC143" s="21"/>
      <c r="NLD143" s="21"/>
      <c r="NLE143" s="21"/>
      <c r="NLF143" s="21"/>
      <c r="NLG143" s="21"/>
      <c r="NLH143" s="21"/>
      <c r="NLI143" s="21"/>
      <c r="NLJ143" s="21"/>
      <c r="NLK143" s="21"/>
      <c r="NLL143" s="21"/>
      <c r="NLM143" s="21"/>
      <c r="NLN143" s="21"/>
      <c r="NLO143" s="21"/>
      <c r="NLP143" s="21"/>
      <c r="NLQ143" s="21"/>
      <c r="NLR143" s="21"/>
      <c r="NLS143" s="21"/>
      <c r="NLT143" s="21"/>
      <c r="NLU143" s="21"/>
      <c r="NLV143" s="21"/>
      <c r="NLW143" s="21"/>
      <c r="NLX143" s="21"/>
      <c r="NLY143" s="21"/>
      <c r="NLZ143" s="21"/>
      <c r="NMA143" s="21"/>
      <c r="NMB143" s="21"/>
      <c r="NMC143" s="21"/>
      <c r="NMD143" s="21"/>
      <c r="NME143" s="21"/>
      <c r="NMF143" s="21"/>
      <c r="NMG143" s="21"/>
      <c r="NMH143" s="21"/>
      <c r="NMI143" s="21"/>
      <c r="NMJ143" s="21"/>
      <c r="NMK143" s="21"/>
      <c r="NML143" s="21"/>
      <c r="NMM143" s="21"/>
      <c r="NMN143" s="21"/>
      <c r="NMO143" s="21"/>
      <c r="NMP143" s="21"/>
      <c r="NMQ143" s="21"/>
      <c r="NMR143" s="21"/>
      <c r="NMS143" s="21"/>
      <c r="NMT143" s="21"/>
      <c r="NMU143" s="21"/>
      <c r="NMV143" s="21"/>
      <c r="NMW143" s="21"/>
      <c r="NMX143" s="21"/>
      <c r="NMY143" s="21"/>
      <c r="NMZ143" s="21"/>
      <c r="NNA143" s="21"/>
      <c r="NNB143" s="21"/>
      <c r="NNC143" s="21"/>
      <c r="NND143" s="21"/>
      <c r="NNE143" s="21"/>
      <c r="NNF143" s="21"/>
      <c r="NNG143" s="21"/>
      <c r="NNH143" s="21"/>
      <c r="NNI143" s="21"/>
      <c r="NNJ143" s="21"/>
      <c r="NNK143" s="21"/>
      <c r="NNL143" s="21"/>
      <c r="NNM143" s="21"/>
      <c r="NNN143" s="21"/>
      <c r="NNO143" s="21"/>
      <c r="NNP143" s="21"/>
      <c r="NNQ143" s="21"/>
      <c r="NNR143" s="21"/>
      <c r="NNS143" s="21"/>
      <c r="NNT143" s="21"/>
      <c r="NNU143" s="21"/>
      <c r="NNV143" s="21"/>
      <c r="NNW143" s="21"/>
      <c r="NNX143" s="21"/>
      <c r="NNY143" s="21"/>
      <c r="NNZ143" s="21"/>
      <c r="NOA143" s="21"/>
      <c r="NOB143" s="21"/>
      <c r="NOC143" s="21"/>
      <c r="NOD143" s="21"/>
      <c r="NOE143" s="21"/>
      <c r="NOF143" s="21"/>
      <c r="NOG143" s="21"/>
      <c r="NOH143" s="21"/>
      <c r="NOI143" s="21"/>
      <c r="NOJ143" s="21"/>
      <c r="NOK143" s="21"/>
      <c r="NOL143" s="21"/>
      <c r="NOM143" s="21"/>
      <c r="NON143" s="21"/>
      <c r="NOO143" s="21"/>
      <c r="NOP143" s="21"/>
      <c r="NOQ143" s="21"/>
      <c r="NOR143" s="21"/>
      <c r="NOS143" s="21"/>
      <c r="NOT143" s="21"/>
      <c r="NOU143" s="21"/>
      <c r="NOV143" s="21"/>
      <c r="NOW143" s="21"/>
      <c r="NOX143" s="21"/>
      <c r="NOY143" s="21"/>
      <c r="NOZ143" s="21"/>
      <c r="NPA143" s="21"/>
      <c r="NPB143" s="21"/>
      <c r="NPC143" s="21"/>
      <c r="NPD143" s="21"/>
      <c r="NPE143" s="21"/>
      <c r="NPF143" s="21"/>
      <c r="NPG143" s="21"/>
      <c r="NPH143" s="21"/>
      <c r="NPI143" s="21"/>
      <c r="NPJ143" s="21"/>
      <c r="NPK143" s="21"/>
      <c r="NPL143" s="21"/>
      <c r="NPM143" s="21"/>
      <c r="NPN143" s="21"/>
      <c r="NPO143" s="21"/>
      <c r="NPP143" s="21"/>
      <c r="NPQ143" s="21"/>
      <c r="NPR143" s="21"/>
      <c r="NPS143" s="21"/>
      <c r="NPT143" s="21"/>
      <c r="NPU143" s="21"/>
      <c r="NPV143" s="21"/>
      <c r="NPW143" s="21"/>
      <c r="NPX143" s="21"/>
      <c r="NPY143" s="21"/>
      <c r="NPZ143" s="21"/>
      <c r="NQA143" s="21"/>
      <c r="NQB143" s="21"/>
      <c r="NQC143" s="21"/>
      <c r="NQD143" s="21"/>
      <c r="NQE143" s="21"/>
      <c r="NQF143" s="21"/>
      <c r="NQG143" s="21"/>
      <c r="NQH143" s="21"/>
      <c r="NQI143" s="21"/>
      <c r="NQJ143" s="21"/>
      <c r="NQK143" s="21"/>
      <c r="NQL143" s="21"/>
      <c r="NQM143" s="21"/>
      <c r="NQN143" s="21"/>
      <c r="NQO143" s="21"/>
      <c r="NQP143" s="21"/>
      <c r="NQQ143" s="21"/>
      <c r="NQR143" s="21"/>
      <c r="NQS143" s="21"/>
      <c r="NQT143" s="21"/>
      <c r="NQU143" s="21"/>
      <c r="NQV143" s="21"/>
      <c r="NQW143" s="21"/>
      <c r="NQX143" s="21"/>
      <c r="NQY143" s="21"/>
      <c r="NQZ143" s="21"/>
      <c r="NRA143" s="21"/>
      <c r="NRB143" s="21"/>
      <c r="NRC143" s="21"/>
      <c r="NRD143" s="21"/>
      <c r="NRE143" s="21"/>
      <c r="NRF143" s="21"/>
      <c r="NRG143" s="21"/>
      <c r="NRH143" s="21"/>
      <c r="NRI143" s="21"/>
      <c r="NRJ143" s="21"/>
      <c r="NRK143" s="21"/>
      <c r="NRL143" s="21"/>
      <c r="NRM143" s="21"/>
      <c r="NRN143" s="21"/>
      <c r="NRO143" s="21"/>
      <c r="NRP143" s="21"/>
      <c r="NRQ143" s="21"/>
      <c r="NRR143" s="21"/>
      <c r="NRS143" s="21"/>
      <c r="NRT143" s="21"/>
      <c r="NRU143" s="21"/>
      <c r="NRV143" s="21"/>
      <c r="NRW143" s="21"/>
      <c r="NRX143" s="21"/>
      <c r="NRY143" s="21"/>
      <c r="NRZ143" s="21"/>
      <c r="NSA143" s="21"/>
      <c r="NSB143" s="21"/>
      <c r="NSC143" s="21"/>
      <c r="NSD143" s="21"/>
      <c r="NSE143" s="21"/>
      <c r="NSF143" s="21"/>
      <c r="NSG143" s="21"/>
      <c r="NSH143" s="21"/>
      <c r="NSI143" s="21"/>
      <c r="NSJ143" s="21"/>
      <c r="NSK143" s="21"/>
      <c r="NSL143" s="21"/>
      <c r="NSM143" s="21"/>
      <c r="NSN143" s="21"/>
      <c r="NSO143" s="21"/>
      <c r="NSP143" s="21"/>
      <c r="NSQ143" s="21"/>
      <c r="NSR143" s="21"/>
      <c r="NSS143" s="21"/>
      <c r="NST143" s="21"/>
      <c r="NSU143" s="21"/>
      <c r="NSV143" s="21"/>
      <c r="NSW143" s="21"/>
      <c r="NSX143" s="21"/>
      <c r="NSY143" s="21"/>
      <c r="NSZ143" s="21"/>
      <c r="NTA143" s="21"/>
      <c r="NTB143" s="21"/>
      <c r="NTC143" s="21"/>
      <c r="NTD143" s="21"/>
      <c r="NTE143" s="21"/>
      <c r="NTF143" s="21"/>
      <c r="NTG143" s="21"/>
      <c r="NTH143" s="21"/>
      <c r="NTI143" s="21"/>
      <c r="NTJ143" s="21"/>
      <c r="NTK143" s="21"/>
      <c r="NTL143" s="21"/>
      <c r="NTM143" s="21"/>
      <c r="NTN143" s="21"/>
      <c r="NTO143" s="21"/>
      <c r="NTP143" s="21"/>
      <c r="NTQ143" s="21"/>
      <c r="NTR143" s="21"/>
      <c r="NTS143" s="21"/>
      <c r="NTT143" s="21"/>
      <c r="NTU143" s="21"/>
      <c r="NTV143" s="21"/>
      <c r="NTW143" s="21"/>
      <c r="NTX143" s="21"/>
      <c r="NTY143" s="21"/>
      <c r="NTZ143" s="21"/>
      <c r="NUA143" s="21"/>
      <c r="NUB143" s="21"/>
      <c r="NUC143" s="21"/>
      <c r="NUD143" s="21"/>
      <c r="NUE143" s="21"/>
      <c r="NUF143" s="21"/>
      <c r="NUG143" s="21"/>
      <c r="NUH143" s="21"/>
      <c r="NUI143" s="21"/>
      <c r="NUJ143" s="21"/>
      <c r="NUK143" s="21"/>
      <c r="NUL143" s="21"/>
      <c r="NUM143" s="21"/>
      <c r="NUN143" s="21"/>
      <c r="NUO143" s="21"/>
      <c r="NUP143" s="21"/>
      <c r="NUQ143" s="21"/>
      <c r="NUR143" s="21"/>
      <c r="NUS143" s="21"/>
      <c r="NUT143" s="21"/>
      <c r="NUU143" s="21"/>
      <c r="NUV143" s="21"/>
      <c r="NUW143" s="21"/>
      <c r="NUX143" s="21"/>
      <c r="NUY143" s="21"/>
      <c r="NUZ143" s="21"/>
      <c r="NVA143" s="21"/>
      <c r="NVB143" s="21"/>
      <c r="NVC143" s="21"/>
      <c r="NVD143" s="21"/>
      <c r="NVE143" s="21"/>
      <c r="NVF143" s="21"/>
      <c r="NVG143" s="21"/>
      <c r="NVH143" s="21"/>
      <c r="NVI143" s="21"/>
      <c r="NVJ143" s="21"/>
      <c r="NVK143" s="21"/>
      <c r="NVL143" s="21"/>
      <c r="NVM143" s="21"/>
      <c r="NVN143" s="21"/>
      <c r="NVO143" s="21"/>
      <c r="NVP143" s="21"/>
      <c r="NVQ143" s="21"/>
      <c r="NVR143" s="21"/>
      <c r="NVS143" s="21"/>
      <c r="NVT143" s="21"/>
      <c r="NVU143" s="21"/>
      <c r="NVV143" s="21"/>
      <c r="NVW143" s="21"/>
      <c r="NVX143" s="21"/>
      <c r="NVY143" s="21"/>
      <c r="NVZ143" s="21"/>
      <c r="NWA143" s="21"/>
      <c r="NWB143" s="21"/>
      <c r="NWC143" s="21"/>
      <c r="NWD143" s="21"/>
      <c r="NWE143" s="21"/>
      <c r="NWF143" s="21"/>
      <c r="NWG143" s="21"/>
      <c r="NWH143" s="21"/>
      <c r="NWI143" s="21"/>
      <c r="NWJ143" s="21"/>
      <c r="NWK143" s="21"/>
      <c r="NWL143" s="21"/>
      <c r="NWM143" s="21"/>
      <c r="NWN143" s="21"/>
      <c r="NWO143" s="21"/>
      <c r="NWP143" s="21"/>
      <c r="NWQ143" s="21"/>
      <c r="NWR143" s="21"/>
      <c r="NWS143" s="21"/>
      <c r="NWT143" s="21"/>
      <c r="NWU143" s="21"/>
      <c r="NWV143" s="21"/>
      <c r="NWW143" s="21"/>
      <c r="NWX143" s="21"/>
      <c r="NWY143" s="21"/>
      <c r="NWZ143" s="21"/>
      <c r="NXA143" s="21"/>
      <c r="NXB143" s="21"/>
      <c r="NXC143" s="21"/>
      <c r="NXD143" s="21"/>
      <c r="NXE143" s="21"/>
      <c r="NXF143" s="21"/>
      <c r="NXG143" s="21"/>
      <c r="NXH143" s="21"/>
      <c r="NXI143" s="21"/>
      <c r="NXJ143" s="21"/>
      <c r="NXK143" s="21"/>
      <c r="NXL143" s="21"/>
      <c r="NXM143" s="21"/>
      <c r="NXN143" s="21"/>
      <c r="NXO143" s="21"/>
      <c r="NXP143" s="21"/>
      <c r="NXQ143" s="21"/>
      <c r="NXR143" s="21"/>
      <c r="NXS143" s="21"/>
      <c r="NXT143" s="21"/>
      <c r="NXU143" s="21"/>
      <c r="NXV143" s="21"/>
      <c r="NXW143" s="21"/>
      <c r="NXX143" s="21"/>
      <c r="NXY143" s="21"/>
      <c r="NXZ143" s="21"/>
      <c r="NYA143" s="21"/>
      <c r="NYB143" s="21"/>
      <c r="NYC143" s="21"/>
      <c r="NYD143" s="21"/>
      <c r="NYE143" s="21"/>
      <c r="NYF143" s="21"/>
      <c r="NYG143" s="21"/>
      <c r="NYH143" s="21"/>
      <c r="NYI143" s="21"/>
      <c r="NYJ143" s="21"/>
      <c r="NYK143" s="21"/>
      <c r="NYL143" s="21"/>
      <c r="NYM143" s="21"/>
      <c r="NYN143" s="21"/>
      <c r="NYO143" s="21"/>
      <c r="NYP143" s="21"/>
      <c r="NYQ143" s="21"/>
      <c r="NYR143" s="21"/>
      <c r="NYS143" s="21"/>
      <c r="NYT143" s="21"/>
      <c r="NYU143" s="21"/>
      <c r="NYV143" s="21"/>
      <c r="NYW143" s="21"/>
      <c r="NYX143" s="21"/>
      <c r="NYY143" s="21"/>
      <c r="NYZ143" s="21"/>
      <c r="NZA143" s="21"/>
      <c r="NZB143" s="21"/>
      <c r="NZC143" s="21"/>
      <c r="NZD143" s="21"/>
      <c r="NZE143" s="21"/>
      <c r="NZF143" s="21"/>
      <c r="NZG143" s="21"/>
      <c r="NZH143" s="21"/>
      <c r="NZI143" s="21"/>
      <c r="NZJ143" s="21"/>
      <c r="NZK143" s="21"/>
      <c r="NZL143" s="21"/>
      <c r="NZM143" s="21"/>
      <c r="NZN143" s="21"/>
      <c r="NZO143" s="21"/>
      <c r="NZP143" s="21"/>
      <c r="NZQ143" s="21"/>
      <c r="NZR143" s="21"/>
      <c r="NZS143" s="21"/>
      <c r="NZT143" s="21"/>
      <c r="NZU143" s="21"/>
      <c r="NZV143" s="21"/>
      <c r="NZW143" s="21"/>
      <c r="NZX143" s="21"/>
      <c r="NZY143" s="21"/>
      <c r="NZZ143" s="21"/>
      <c r="OAA143" s="21"/>
      <c r="OAB143" s="21"/>
      <c r="OAC143" s="21"/>
      <c r="OAD143" s="21"/>
      <c r="OAE143" s="21"/>
      <c r="OAF143" s="21"/>
      <c r="OAG143" s="21"/>
      <c r="OAH143" s="21"/>
      <c r="OAI143" s="21"/>
      <c r="OAJ143" s="21"/>
      <c r="OAK143" s="21"/>
      <c r="OAL143" s="21"/>
      <c r="OAM143" s="21"/>
      <c r="OAN143" s="21"/>
      <c r="OAO143" s="21"/>
      <c r="OAP143" s="21"/>
      <c r="OAQ143" s="21"/>
      <c r="OAR143" s="21"/>
      <c r="OAS143" s="21"/>
      <c r="OAT143" s="21"/>
      <c r="OAU143" s="21"/>
      <c r="OAV143" s="21"/>
      <c r="OAW143" s="21"/>
      <c r="OAX143" s="21"/>
      <c r="OAY143" s="21"/>
      <c r="OAZ143" s="21"/>
      <c r="OBA143" s="21"/>
      <c r="OBB143" s="21"/>
      <c r="OBC143" s="21"/>
      <c r="OBD143" s="21"/>
      <c r="OBE143" s="21"/>
      <c r="OBF143" s="21"/>
      <c r="OBG143" s="21"/>
      <c r="OBH143" s="21"/>
      <c r="OBI143" s="21"/>
      <c r="OBJ143" s="21"/>
      <c r="OBK143" s="21"/>
      <c r="OBL143" s="21"/>
      <c r="OBM143" s="21"/>
      <c r="OBN143" s="21"/>
      <c r="OBO143" s="21"/>
      <c r="OBP143" s="21"/>
      <c r="OBQ143" s="21"/>
      <c r="OBR143" s="21"/>
      <c r="OBS143" s="21"/>
      <c r="OBT143" s="21"/>
      <c r="OBU143" s="21"/>
      <c r="OBV143" s="21"/>
      <c r="OBW143" s="21"/>
      <c r="OBX143" s="21"/>
      <c r="OBY143" s="21"/>
      <c r="OBZ143" s="21"/>
      <c r="OCA143" s="21"/>
      <c r="OCB143" s="21"/>
      <c r="OCC143" s="21"/>
      <c r="OCD143" s="21"/>
      <c r="OCE143" s="21"/>
      <c r="OCF143" s="21"/>
      <c r="OCG143" s="21"/>
      <c r="OCH143" s="21"/>
      <c r="OCI143" s="21"/>
      <c r="OCJ143" s="21"/>
      <c r="OCK143" s="21"/>
      <c r="OCL143" s="21"/>
      <c r="OCM143" s="21"/>
      <c r="OCN143" s="21"/>
      <c r="OCO143" s="21"/>
      <c r="OCP143" s="21"/>
      <c r="OCQ143" s="21"/>
      <c r="OCR143" s="21"/>
      <c r="OCS143" s="21"/>
      <c r="OCT143" s="21"/>
      <c r="OCU143" s="21"/>
      <c r="OCV143" s="21"/>
      <c r="OCW143" s="21"/>
      <c r="OCX143" s="21"/>
      <c r="OCY143" s="21"/>
      <c r="OCZ143" s="21"/>
      <c r="ODA143" s="21"/>
      <c r="ODB143" s="21"/>
      <c r="ODC143" s="21"/>
      <c r="ODD143" s="21"/>
      <c r="ODE143" s="21"/>
      <c r="ODF143" s="21"/>
      <c r="ODG143" s="21"/>
      <c r="ODH143" s="21"/>
      <c r="ODI143" s="21"/>
      <c r="ODJ143" s="21"/>
      <c r="ODK143" s="21"/>
      <c r="ODL143" s="21"/>
      <c r="ODM143" s="21"/>
      <c r="ODN143" s="21"/>
      <c r="ODO143" s="21"/>
      <c r="ODP143" s="21"/>
      <c r="ODQ143" s="21"/>
      <c r="ODR143" s="21"/>
      <c r="ODS143" s="21"/>
      <c r="ODT143" s="21"/>
      <c r="ODU143" s="21"/>
      <c r="ODV143" s="21"/>
      <c r="ODW143" s="21"/>
      <c r="ODX143" s="21"/>
      <c r="ODY143" s="21"/>
      <c r="ODZ143" s="21"/>
      <c r="OEA143" s="21"/>
      <c r="OEB143" s="21"/>
      <c r="OEC143" s="21"/>
      <c r="OED143" s="21"/>
      <c r="OEE143" s="21"/>
      <c r="OEF143" s="21"/>
      <c r="OEG143" s="21"/>
      <c r="OEH143" s="21"/>
      <c r="OEI143" s="21"/>
      <c r="OEJ143" s="21"/>
      <c r="OEK143" s="21"/>
      <c r="OEL143" s="21"/>
      <c r="OEM143" s="21"/>
      <c r="OEN143" s="21"/>
      <c r="OEO143" s="21"/>
      <c r="OEP143" s="21"/>
      <c r="OEQ143" s="21"/>
      <c r="OER143" s="21"/>
      <c r="OES143" s="21"/>
      <c r="OET143" s="21"/>
      <c r="OEU143" s="21"/>
      <c r="OEV143" s="21"/>
      <c r="OEW143" s="21"/>
      <c r="OEX143" s="21"/>
      <c r="OEY143" s="21"/>
      <c r="OEZ143" s="21"/>
      <c r="OFA143" s="21"/>
      <c r="OFB143" s="21"/>
      <c r="OFC143" s="21"/>
      <c r="OFD143" s="21"/>
      <c r="OFE143" s="21"/>
      <c r="OFF143" s="21"/>
      <c r="OFG143" s="21"/>
      <c r="OFH143" s="21"/>
      <c r="OFI143" s="21"/>
      <c r="OFJ143" s="21"/>
      <c r="OFK143" s="21"/>
      <c r="OFL143" s="21"/>
      <c r="OFM143" s="21"/>
      <c r="OFN143" s="21"/>
      <c r="OFO143" s="21"/>
      <c r="OFP143" s="21"/>
      <c r="OFQ143" s="21"/>
      <c r="OFR143" s="21"/>
      <c r="OFS143" s="21"/>
      <c r="OFT143" s="21"/>
      <c r="OFU143" s="21"/>
      <c r="OFV143" s="21"/>
      <c r="OFW143" s="21"/>
      <c r="OFX143" s="21"/>
      <c r="OFY143" s="21"/>
      <c r="OFZ143" s="21"/>
      <c r="OGA143" s="21"/>
      <c r="OGB143" s="21"/>
      <c r="OGC143" s="21"/>
      <c r="OGD143" s="21"/>
      <c r="OGE143" s="21"/>
      <c r="OGF143" s="21"/>
      <c r="OGG143" s="21"/>
      <c r="OGH143" s="21"/>
      <c r="OGI143" s="21"/>
      <c r="OGJ143" s="21"/>
      <c r="OGK143" s="21"/>
      <c r="OGL143" s="21"/>
      <c r="OGM143" s="21"/>
      <c r="OGN143" s="21"/>
      <c r="OGO143" s="21"/>
      <c r="OGP143" s="21"/>
      <c r="OGQ143" s="21"/>
      <c r="OGR143" s="21"/>
      <c r="OGS143" s="21"/>
      <c r="OGT143" s="21"/>
      <c r="OGU143" s="21"/>
      <c r="OGV143" s="21"/>
      <c r="OGW143" s="21"/>
      <c r="OGX143" s="21"/>
      <c r="OGY143" s="21"/>
      <c r="OGZ143" s="21"/>
      <c r="OHA143" s="21"/>
      <c r="OHB143" s="21"/>
      <c r="OHC143" s="21"/>
      <c r="OHD143" s="21"/>
      <c r="OHE143" s="21"/>
      <c r="OHF143" s="21"/>
      <c r="OHG143" s="21"/>
      <c r="OHH143" s="21"/>
      <c r="OHI143" s="21"/>
      <c r="OHJ143" s="21"/>
      <c r="OHK143" s="21"/>
      <c r="OHL143" s="21"/>
      <c r="OHM143" s="21"/>
      <c r="OHN143" s="21"/>
      <c r="OHO143" s="21"/>
      <c r="OHP143" s="21"/>
      <c r="OHQ143" s="21"/>
      <c r="OHR143" s="21"/>
      <c r="OHS143" s="21"/>
      <c r="OHT143" s="21"/>
      <c r="OHU143" s="21"/>
      <c r="OHV143" s="21"/>
      <c r="OHW143" s="21"/>
      <c r="OHX143" s="21"/>
      <c r="OHY143" s="21"/>
      <c r="OHZ143" s="21"/>
      <c r="OIA143" s="21"/>
      <c r="OIB143" s="21"/>
      <c r="OIC143" s="21"/>
      <c r="OID143" s="21"/>
      <c r="OIE143" s="21"/>
      <c r="OIF143" s="21"/>
      <c r="OIG143" s="21"/>
      <c r="OIH143" s="21"/>
      <c r="OII143" s="21"/>
      <c r="OIJ143" s="21"/>
      <c r="OIK143" s="21"/>
      <c r="OIL143" s="21"/>
      <c r="OIM143" s="21"/>
      <c r="OIN143" s="21"/>
      <c r="OIO143" s="21"/>
      <c r="OIP143" s="21"/>
      <c r="OIQ143" s="21"/>
      <c r="OIR143" s="21"/>
      <c r="OIS143" s="21"/>
      <c r="OIT143" s="21"/>
      <c r="OIU143" s="21"/>
      <c r="OIV143" s="21"/>
      <c r="OIW143" s="21"/>
      <c r="OIX143" s="21"/>
      <c r="OIY143" s="21"/>
      <c r="OIZ143" s="21"/>
      <c r="OJA143" s="21"/>
      <c r="OJB143" s="21"/>
      <c r="OJC143" s="21"/>
      <c r="OJD143" s="21"/>
      <c r="OJE143" s="21"/>
      <c r="OJF143" s="21"/>
      <c r="OJG143" s="21"/>
      <c r="OJH143" s="21"/>
      <c r="OJI143" s="21"/>
      <c r="OJJ143" s="21"/>
      <c r="OJK143" s="21"/>
      <c r="OJL143" s="21"/>
      <c r="OJM143" s="21"/>
      <c r="OJN143" s="21"/>
      <c r="OJO143" s="21"/>
      <c r="OJP143" s="21"/>
      <c r="OJQ143" s="21"/>
      <c r="OJR143" s="21"/>
      <c r="OJS143" s="21"/>
      <c r="OJT143" s="21"/>
      <c r="OJU143" s="21"/>
      <c r="OJV143" s="21"/>
      <c r="OJW143" s="21"/>
      <c r="OJX143" s="21"/>
      <c r="OJY143" s="21"/>
      <c r="OJZ143" s="21"/>
      <c r="OKA143" s="21"/>
      <c r="OKB143" s="21"/>
      <c r="OKC143" s="21"/>
      <c r="OKD143" s="21"/>
      <c r="OKE143" s="21"/>
      <c r="OKF143" s="21"/>
      <c r="OKG143" s="21"/>
      <c r="OKH143" s="21"/>
      <c r="OKI143" s="21"/>
      <c r="OKJ143" s="21"/>
      <c r="OKK143" s="21"/>
      <c r="OKL143" s="21"/>
      <c r="OKM143" s="21"/>
      <c r="OKN143" s="21"/>
      <c r="OKO143" s="21"/>
      <c r="OKP143" s="21"/>
      <c r="OKQ143" s="21"/>
      <c r="OKR143" s="21"/>
      <c r="OKS143" s="21"/>
      <c r="OKT143" s="21"/>
      <c r="OKU143" s="21"/>
      <c r="OKV143" s="21"/>
      <c r="OKW143" s="21"/>
      <c r="OKX143" s="21"/>
      <c r="OKY143" s="21"/>
      <c r="OKZ143" s="21"/>
      <c r="OLA143" s="21"/>
      <c r="OLB143" s="21"/>
      <c r="OLC143" s="21"/>
      <c r="OLD143" s="21"/>
      <c r="OLE143" s="21"/>
      <c r="OLF143" s="21"/>
      <c r="OLG143" s="21"/>
      <c r="OLH143" s="21"/>
      <c r="OLI143" s="21"/>
      <c r="OLJ143" s="21"/>
      <c r="OLK143" s="21"/>
      <c r="OLL143" s="21"/>
      <c r="OLM143" s="21"/>
      <c r="OLN143" s="21"/>
      <c r="OLO143" s="21"/>
      <c r="OLP143" s="21"/>
      <c r="OLQ143" s="21"/>
      <c r="OLR143" s="21"/>
      <c r="OLS143" s="21"/>
      <c r="OLT143" s="21"/>
      <c r="OLU143" s="21"/>
      <c r="OLV143" s="21"/>
      <c r="OLW143" s="21"/>
      <c r="OLX143" s="21"/>
      <c r="OLY143" s="21"/>
      <c r="OLZ143" s="21"/>
      <c r="OMA143" s="21"/>
      <c r="OMB143" s="21"/>
      <c r="OMC143" s="21"/>
      <c r="OMD143" s="21"/>
      <c r="OME143" s="21"/>
      <c r="OMF143" s="21"/>
      <c r="OMG143" s="21"/>
      <c r="OMH143" s="21"/>
      <c r="OMI143" s="21"/>
      <c r="OMJ143" s="21"/>
      <c r="OMK143" s="21"/>
      <c r="OML143" s="21"/>
      <c r="OMM143" s="21"/>
      <c r="OMN143" s="21"/>
      <c r="OMO143" s="21"/>
      <c r="OMP143" s="21"/>
      <c r="OMQ143" s="21"/>
      <c r="OMR143" s="21"/>
      <c r="OMS143" s="21"/>
      <c r="OMT143" s="21"/>
      <c r="OMU143" s="21"/>
      <c r="OMV143" s="21"/>
      <c r="OMW143" s="21"/>
      <c r="OMX143" s="21"/>
      <c r="OMY143" s="21"/>
      <c r="OMZ143" s="21"/>
      <c r="ONA143" s="21"/>
      <c r="ONB143" s="21"/>
      <c r="ONC143" s="21"/>
      <c r="OND143" s="21"/>
      <c r="ONE143" s="21"/>
      <c r="ONF143" s="21"/>
      <c r="ONG143" s="21"/>
      <c r="ONH143" s="21"/>
      <c r="ONI143" s="21"/>
      <c r="ONJ143" s="21"/>
      <c r="ONK143" s="21"/>
      <c r="ONL143" s="21"/>
      <c r="ONM143" s="21"/>
      <c r="ONN143" s="21"/>
      <c r="ONO143" s="21"/>
      <c r="ONP143" s="21"/>
      <c r="ONQ143" s="21"/>
      <c r="ONR143" s="21"/>
      <c r="ONS143" s="21"/>
      <c r="ONT143" s="21"/>
      <c r="ONU143" s="21"/>
      <c r="ONV143" s="21"/>
      <c r="ONW143" s="21"/>
      <c r="ONX143" s="21"/>
      <c r="ONY143" s="21"/>
      <c r="ONZ143" s="21"/>
      <c r="OOA143" s="21"/>
      <c r="OOB143" s="21"/>
      <c r="OOC143" s="21"/>
      <c r="OOD143" s="21"/>
      <c r="OOE143" s="21"/>
      <c r="OOF143" s="21"/>
      <c r="OOG143" s="21"/>
      <c r="OOH143" s="21"/>
      <c r="OOI143" s="21"/>
      <c r="OOJ143" s="21"/>
      <c r="OOK143" s="21"/>
      <c r="OOL143" s="21"/>
      <c r="OOM143" s="21"/>
      <c r="OON143" s="21"/>
      <c r="OOO143" s="21"/>
      <c r="OOP143" s="21"/>
      <c r="OOQ143" s="21"/>
      <c r="OOR143" s="21"/>
      <c r="OOS143" s="21"/>
      <c r="OOT143" s="21"/>
      <c r="OOU143" s="21"/>
      <c r="OOV143" s="21"/>
      <c r="OOW143" s="21"/>
      <c r="OOX143" s="21"/>
      <c r="OOY143" s="21"/>
      <c r="OOZ143" s="21"/>
      <c r="OPA143" s="21"/>
      <c r="OPB143" s="21"/>
      <c r="OPC143" s="21"/>
      <c r="OPD143" s="21"/>
      <c r="OPE143" s="21"/>
      <c r="OPF143" s="21"/>
      <c r="OPG143" s="21"/>
      <c r="OPH143" s="21"/>
      <c r="OPI143" s="21"/>
      <c r="OPJ143" s="21"/>
      <c r="OPK143" s="21"/>
      <c r="OPL143" s="21"/>
      <c r="OPM143" s="21"/>
      <c r="OPN143" s="21"/>
      <c r="OPO143" s="21"/>
      <c r="OPP143" s="21"/>
      <c r="OPQ143" s="21"/>
      <c r="OPR143" s="21"/>
      <c r="OPS143" s="21"/>
      <c r="OPT143" s="21"/>
      <c r="OPU143" s="21"/>
      <c r="OPV143" s="21"/>
      <c r="OPW143" s="21"/>
      <c r="OPX143" s="21"/>
      <c r="OPY143" s="21"/>
      <c r="OPZ143" s="21"/>
      <c r="OQA143" s="21"/>
      <c r="OQB143" s="21"/>
      <c r="OQC143" s="21"/>
      <c r="OQD143" s="21"/>
      <c r="OQE143" s="21"/>
      <c r="OQF143" s="21"/>
      <c r="OQG143" s="21"/>
      <c r="OQH143" s="21"/>
      <c r="OQI143" s="21"/>
      <c r="OQJ143" s="21"/>
      <c r="OQK143" s="21"/>
      <c r="OQL143" s="21"/>
      <c r="OQM143" s="21"/>
      <c r="OQN143" s="21"/>
      <c r="OQO143" s="21"/>
      <c r="OQP143" s="21"/>
      <c r="OQQ143" s="21"/>
      <c r="OQR143" s="21"/>
      <c r="OQS143" s="21"/>
      <c r="OQT143" s="21"/>
      <c r="OQU143" s="21"/>
      <c r="OQV143" s="21"/>
      <c r="OQW143" s="21"/>
      <c r="OQX143" s="21"/>
      <c r="OQY143" s="21"/>
      <c r="OQZ143" s="21"/>
      <c r="ORA143" s="21"/>
      <c r="ORB143" s="21"/>
      <c r="ORC143" s="21"/>
      <c r="ORD143" s="21"/>
      <c r="ORE143" s="21"/>
      <c r="ORF143" s="21"/>
      <c r="ORG143" s="21"/>
      <c r="ORH143" s="21"/>
      <c r="ORI143" s="21"/>
      <c r="ORJ143" s="21"/>
      <c r="ORK143" s="21"/>
      <c r="ORL143" s="21"/>
      <c r="ORM143" s="21"/>
      <c r="ORN143" s="21"/>
      <c r="ORO143" s="21"/>
      <c r="ORP143" s="21"/>
      <c r="ORQ143" s="21"/>
      <c r="ORR143" s="21"/>
      <c r="ORS143" s="21"/>
      <c r="ORT143" s="21"/>
      <c r="ORU143" s="21"/>
      <c r="ORV143" s="21"/>
      <c r="ORW143" s="21"/>
      <c r="ORX143" s="21"/>
      <c r="ORY143" s="21"/>
      <c r="ORZ143" s="21"/>
      <c r="OSA143" s="21"/>
      <c r="OSB143" s="21"/>
      <c r="OSC143" s="21"/>
      <c r="OSD143" s="21"/>
      <c r="OSE143" s="21"/>
      <c r="OSF143" s="21"/>
      <c r="OSG143" s="21"/>
      <c r="OSH143" s="21"/>
      <c r="OSI143" s="21"/>
      <c r="OSJ143" s="21"/>
      <c r="OSK143" s="21"/>
      <c r="OSL143" s="21"/>
      <c r="OSM143" s="21"/>
      <c r="OSN143" s="21"/>
      <c r="OSO143" s="21"/>
      <c r="OSP143" s="21"/>
      <c r="OSQ143" s="21"/>
      <c r="OSR143" s="21"/>
      <c r="OSS143" s="21"/>
      <c r="OST143" s="21"/>
      <c r="OSU143" s="21"/>
      <c r="OSV143" s="21"/>
      <c r="OSW143" s="21"/>
      <c r="OSX143" s="21"/>
      <c r="OSY143" s="21"/>
      <c r="OSZ143" s="21"/>
      <c r="OTA143" s="21"/>
      <c r="OTB143" s="21"/>
      <c r="OTC143" s="21"/>
      <c r="OTD143" s="21"/>
      <c r="OTE143" s="21"/>
      <c r="OTF143" s="21"/>
      <c r="OTG143" s="21"/>
      <c r="OTH143" s="21"/>
      <c r="OTI143" s="21"/>
      <c r="OTJ143" s="21"/>
      <c r="OTK143" s="21"/>
      <c r="OTL143" s="21"/>
      <c r="OTM143" s="21"/>
      <c r="OTN143" s="21"/>
      <c r="OTO143" s="21"/>
      <c r="OTP143" s="21"/>
      <c r="OTQ143" s="21"/>
      <c r="OTR143" s="21"/>
      <c r="OTS143" s="21"/>
      <c r="OTT143" s="21"/>
      <c r="OTU143" s="21"/>
      <c r="OTV143" s="21"/>
      <c r="OTW143" s="21"/>
      <c r="OTX143" s="21"/>
      <c r="OTY143" s="21"/>
      <c r="OTZ143" s="21"/>
      <c r="OUA143" s="21"/>
      <c r="OUB143" s="21"/>
      <c r="OUC143" s="21"/>
      <c r="OUD143" s="21"/>
      <c r="OUE143" s="21"/>
      <c r="OUF143" s="21"/>
      <c r="OUG143" s="21"/>
      <c r="OUH143" s="21"/>
      <c r="OUI143" s="21"/>
      <c r="OUJ143" s="21"/>
      <c r="OUK143" s="21"/>
      <c r="OUL143" s="21"/>
      <c r="OUM143" s="21"/>
      <c r="OUN143" s="21"/>
      <c r="OUO143" s="21"/>
      <c r="OUP143" s="21"/>
      <c r="OUQ143" s="21"/>
      <c r="OUR143" s="21"/>
      <c r="OUS143" s="21"/>
      <c r="OUT143" s="21"/>
      <c r="OUU143" s="21"/>
      <c r="OUV143" s="21"/>
      <c r="OUW143" s="21"/>
      <c r="OUX143" s="21"/>
      <c r="OUY143" s="21"/>
      <c r="OUZ143" s="21"/>
      <c r="OVA143" s="21"/>
      <c r="OVB143" s="21"/>
      <c r="OVC143" s="21"/>
      <c r="OVD143" s="21"/>
      <c r="OVE143" s="21"/>
      <c r="OVF143" s="21"/>
      <c r="OVG143" s="21"/>
      <c r="OVH143" s="21"/>
      <c r="OVI143" s="21"/>
      <c r="OVJ143" s="21"/>
      <c r="OVK143" s="21"/>
      <c r="OVL143" s="21"/>
      <c r="OVM143" s="21"/>
      <c r="OVN143" s="21"/>
      <c r="OVO143" s="21"/>
      <c r="OVP143" s="21"/>
      <c r="OVQ143" s="21"/>
      <c r="OVR143" s="21"/>
      <c r="OVS143" s="21"/>
      <c r="OVT143" s="21"/>
      <c r="OVU143" s="21"/>
      <c r="OVV143" s="21"/>
      <c r="OVW143" s="21"/>
      <c r="OVX143" s="21"/>
      <c r="OVY143" s="21"/>
      <c r="OVZ143" s="21"/>
      <c r="OWA143" s="21"/>
      <c r="OWB143" s="21"/>
      <c r="OWC143" s="21"/>
      <c r="OWD143" s="21"/>
      <c r="OWE143" s="21"/>
      <c r="OWF143" s="21"/>
      <c r="OWG143" s="21"/>
      <c r="OWH143" s="21"/>
      <c r="OWI143" s="21"/>
      <c r="OWJ143" s="21"/>
      <c r="OWK143" s="21"/>
      <c r="OWL143" s="21"/>
      <c r="OWM143" s="21"/>
      <c r="OWN143" s="21"/>
      <c r="OWO143" s="21"/>
      <c r="OWP143" s="21"/>
      <c r="OWQ143" s="21"/>
      <c r="OWR143" s="21"/>
      <c r="OWS143" s="21"/>
      <c r="OWT143" s="21"/>
      <c r="OWU143" s="21"/>
      <c r="OWV143" s="21"/>
      <c r="OWW143" s="21"/>
      <c r="OWX143" s="21"/>
      <c r="OWY143" s="21"/>
      <c r="OWZ143" s="21"/>
      <c r="OXA143" s="21"/>
      <c r="OXB143" s="21"/>
      <c r="OXC143" s="21"/>
      <c r="OXD143" s="21"/>
      <c r="OXE143" s="21"/>
      <c r="OXF143" s="21"/>
      <c r="OXG143" s="21"/>
      <c r="OXH143" s="21"/>
      <c r="OXI143" s="21"/>
      <c r="OXJ143" s="21"/>
      <c r="OXK143" s="21"/>
      <c r="OXL143" s="21"/>
      <c r="OXM143" s="21"/>
      <c r="OXN143" s="21"/>
      <c r="OXO143" s="21"/>
      <c r="OXP143" s="21"/>
      <c r="OXQ143" s="21"/>
      <c r="OXR143" s="21"/>
      <c r="OXS143" s="21"/>
      <c r="OXT143" s="21"/>
      <c r="OXU143" s="21"/>
      <c r="OXV143" s="21"/>
      <c r="OXW143" s="21"/>
      <c r="OXX143" s="21"/>
      <c r="OXY143" s="21"/>
      <c r="OXZ143" s="21"/>
      <c r="OYA143" s="21"/>
      <c r="OYB143" s="21"/>
      <c r="OYC143" s="21"/>
      <c r="OYD143" s="21"/>
      <c r="OYE143" s="21"/>
      <c r="OYF143" s="21"/>
      <c r="OYG143" s="21"/>
      <c r="OYH143" s="21"/>
      <c r="OYI143" s="21"/>
      <c r="OYJ143" s="21"/>
      <c r="OYK143" s="21"/>
      <c r="OYL143" s="21"/>
      <c r="OYM143" s="21"/>
      <c r="OYN143" s="21"/>
      <c r="OYO143" s="21"/>
      <c r="OYP143" s="21"/>
      <c r="OYQ143" s="21"/>
      <c r="OYR143" s="21"/>
      <c r="OYS143" s="21"/>
      <c r="OYT143" s="21"/>
      <c r="OYU143" s="21"/>
      <c r="OYV143" s="21"/>
      <c r="OYW143" s="21"/>
      <c r="OYX143" s="21"/>
      <c r="OYY143" s="21"/>
      <c r="OYZ143" s="21"/>
      <c r="OZA143" s="21"/>
      <c r="OZB143" s="21"/>
      <c r="OZC143" s="21"/>
      <c r="OZD143" s="21"/>
      <c r="OZE143" s="21"/>
      <c r="OZF143" s="21"/>
      <c r="OZG143" s="21"/>
      <c r="OZH143" s="21"/>
      <c r="OZI143" s="21"/>
      <c r="OZJ143" s="21"/>
      <c r="OZK143" s="21"/>
      <c r="OZL143" s="21"/>
      <c r="OZM143" s="21"/>
      <c r="OZN143" s="21"/>
      <c r="OZO143" s="21"/>
      <c r="OZP143" s="21"/>
      <c r="OZQ143" s="21"/>
      <c r="OZR143" s="21"/>
      <c r="OZS143" s="21"/>
      <c r="OZT143" s="21"/>
      <c r="OZU143" s="21"/>
      <c r="OZV143" s="21"/>
      <c r="OZW143" s="21"/>
      <c r="OZX143" s="21"/>
      <c r="OZY143" s="21"/>
      <c r="OZZ143" s="21"/>
      <c r="PAA143" s="21"/>
      <c r="PAB143" s="21"/>
      <c r="PAC143" s="21"/>
      <c r="PAD143" s="21"/>
      <c r="PAE143" s="21"/>
      <c r="PAF143" s="21"/>
      <c r="PAG143" s="21"/>
      <c r="PAH143" s="21"/>
      <c r="PAI143" s="21"/>
      <c r="PAJ143" s="21"/>
      <c r="PAK143" s="21"/>
      <c r="PAL143" s="21"/>
      <c r="PAM143" s="21"/>
      <c r="PAN143" s="21"/>
      <c r="PAO143" s="21"/>
      <c r="PAP143" s="21"/>
      <c r="PAQ143" s="21"/>
      <c r="PAR143" s="21"/>
      <c r="PAS143" s="21"/>
      <c r="PAT143" s="21"/>
      <c r="PAU143" s="21"/>
      <c r="PAV143" s="21"/>
      <c r="PAW143" s="21"/>
      <c r="PAX143" s="21"/>
      <c r="PAY143" s="21"/>
      <c r="PAZ143" s="21"/>
      <c r="PBA143" s="21"/>
      <c r="PBB143" s="21"/>
      <c r="PBC143" s="21"/>
      <c r="PBD143" s="21"/>
      <c r="PBE143" s="21"/>
      <c r="PBF143" s="21"/>
      <c r="PBG143" s="21"/>
      <c r="PBH143" s="21"/>
      <c r="PBI143" s="21"/>
      <c r="PBJ143" s="21"/>
      <c r="PBK143" s="21"/>
      <c r="PBL143" s="21"/>
      <c r="PBM143" s="21"/>
      <c r="PBN143" s="21"/>
      <c r="PBO143" s="21"/>
      <c r="PBP143" s="21"/>
      <c r="PBQ143" s="21"/>
      <c r="PBR143" s="21"/>
      <c r="PBS143" s="21"/>
      <c r="PBT143" s="21"/>
      <c r="PBU143" s="21"/>
      <c r="PBV143" s="21"/>
      <c r="PBW143" s="21"/>
      <c r="PBX143" s="21"/>
      <c r="PBY143" s="21"/>
      <c r="PBZ143" s="21"/>
      <c r="PCA143" s="21"/>
      <c r="PCB143" s="21"/>
      <c r="PCC143" s="21"/>
      <c r="PCD143" s="21"/>
      <c r="PCE143" s="21"/>
      <c r="PCF143" s="21"/>
      <c r="PCG143" s="21"/>
      <c r="PCH143" s="21"/>
      <c r="PCI143" s="21"/>
      <c r="PCJ143" s="21"/>
      <c r="PCK143" s="21"/>
      <c r="PCL143" s="21"/>
      <c r="PCM143" s="21"/>
      <c r="PCN143" s="21"/>
      <c r="PCO143" s="21"/>
      <c r="PCP143" s="21"/>
      <c r="PCQ143" s="21"/>
      <c r="PCR143" s="21"/>
      <c r="PCS143" s="21"/>
      <c r="PCT143" s="21"/>
      <c r="PCU143" s="21"/>
      <c r="PCV143" s="21"/>
      <c r="PCW143" s="21"/>
      <c r="PCX143" s="21"/>
      <c r="PCY143" s="21"/>
      <c r="PCZ143" s="21"/>
      <c r="PDA143" s="21"/>
      <c r="PDB143" s="21"/>
      <c r="PDC143" s="21"/>
      <c r="PDD143" s="21"/>
      <c r="PDE143" s="21"/>
      <c r="PDF143" s="21"/>
      <c r="PDG143" s="21"/>
      <c r="PDH143" s="21"/>
      <c r="PDI143" s="21"/>
      <c r="PDJ143" s="21"/>
      <c r="PDK143" s="21"/>
      <c r="PDL143" s="21"/>
      <c r="PDM143" s="21"/>
      <c r="PDN143" s="21"/>
      <c r="PDO143" s="21"/>
      <c r="PDP143" s="21"/>
      <c r="PDQ143" s="21"/>
      <c r="PDR143" s="21"/>
      <c r="PDS143" s="21"/>
      <c r="PDT143" s="21"/>
      <c r="PDU143" s="21"/>
      <c r="PDV143" s="21"/>
      <c r="PDW143" s="21"/>
      <c r="PDX143" s="21"/>
      <c r="PDY143" s="21"/>
      <c r="PDZ143" s="21"/>
      <c r="PEA143" s="21"/>
      <c r="PEB143" s="21"/>
      <c r="PEC143" s="21"/>
      <c r="PED143" s="21"/>
      <c r="PEE143" s="21"/>
      <c r="PEF143" s="21"/>
      <c r="PEG143" s="21"/>
      <c r="PEH143" s="21"/>
      <c r="PEI143" s="21"/>
      <c r="PEJ143" s="21"/>
      <c r="PEK143" s="21"/>
      <c r="PEL143" s="21"/>
      <c r="PEM143" s="21"/>
      <c r="PEN143" s="21"/>
      <c r="PEO143" s="21"/>
      <c r="PEP143" s="21"/>
      <c r="PEQ143" s="21"/>
      <c r="PER143" s="21"/>
      <c r="PES143" s="21"/>
      <c r="PET143" s="21"/>
      <c r="PEU143" s="21"/>
      <c r="PEV143" s="21"/>
      <c r="PEW143" s="21"/>
      <c r="PEX143" s="21"/>
      <c r="PEY143" s="21"/>
      <c r="PEZ143" s="21"/>
      <c r="PFA143" s="21"/>
      <c r="PFB143" s="21"/>
      <c r="PFC143" s="21"/>
      <c r="PFD143" s="21"/>
      <c r="PFE143" s="21"/>
      <c r="PFF143" s="21"/>
      <c r="PFG143" s="21"/>
      <c r="PFH143" s="21"/>
      <c r="PFI143" s="21"/>
      <c r="PFJ143" s="21"/>
      <c r="PFK143" s="21"/>
      <c r="PFL143" s="21"/>
      <c r="PFM143" s="21"/>
      <c r="PFN143" s="21"/>
      <c r="PFO143" s="21"/>
      <c r="PFP143" s="21"/>
      <c r="PFQ143" s="21"/>
      <c r="PFR143" s="21"/>
      <c r="PFS143" s="21"/>
      <c r="PFT143" s="21"/>
      <c r="PFU143" s="21"/>
      <c r="PFV143" s="21"/>
      <c r="PFW143" s="21"/>
      <c r="PFX143" s="21"/>
      <c r="PFY143" s="21"/>
      <c r="PFZ143" s="21"/>
      <c r="PGA143" s="21"/>
      <c r="PGB143" s="21"/>
      <c r="PGC143" s="21"/>
      <c r="PGD143" s="21"/>
      <c r="PGE143" s="21"/>
      <c r="PGF143" s="21"/>
      <c r="PGG143" s="21"/>
      <c r="PGH143" s="21"/>
      <c r="PGI143" s="21"/>
      <c r="PGJ143" s="21"/>
      <c r="PGK143" s="21"/>
      <c r="PGL143" s="21"/>
      <c r="PGM143" s="21"/>
      <c r="PGN143" s="21"/>
      <c r="PGO143" s="21"/>
      <c r="PGP143" s="21"/>
      <c r="PGQ143" s="21"/>
      <c r="PGR143" s="21"/>
      <c r="PGS143" s="21"/>
      <c r="PGT143" s="21"/>
      <c r="PGU143" s="21"/>
      <c r="PGV143" s="21"/>
      <c r="PGW143" s="21"/>
      <c r="PGX143" s="21"/>
      <c r="PGY143" s="21"/>
      <c r="PGZ143" s="21"/>
      <c r="PHA143" s="21"/>
      <c r="PHB143" s="21"/>
      <c r="PHC143" s="21"/>
      <c r="PHD143" s="21"/>
      <c r="PHE143" s="21"/>
      <c r="PHF143" s="21"/>
      <c r="PHG143" s="21"/>
      <c r="PHH143" s="21"/>
      <c r="PHI143" s="21"/>
      <c r="PHJ143" s="21"/>
      <c r="PHK143" s="21"/>
      <c r="PHL143" s="21"/>
      <c r="PHM143" s="21"/>
      <c r="PHN143" s="21"/>
      <c r="PHO143" s="21"/>
      <c r="PHP143" s="21"/>
      <c r="PHQ143" s="21"/>
      <c r="PHR143" s="21"/>
      <c r="PHS143" s="21"/>
      <c r="PHT143" s="21"/>
      <c r="PHU143" s="21"/>
      <c r="PHV143" s="21"/>
      <c r="PHW143" s="21"/>
      <c r="PHX143" s="21"/>
      <c r="PHY143" s="21"/>
      <c r="PHZ143" s="21"/>
      <c r="PIA143" s="21"/>
      <c r="PIB143" s="21"/>
      <c r="PIC143" s="21"/>
      <c r="PID143" s="21"/>
      <c r="PIE143" s="21"/>
      <c r="PIF143" s="21"/>
      <c r="PIG143" s="21"/>
      <c r="PIH143" s="21"/>
      <c r="PII143" s="21"/>
      <c r="PIJ143" s="21"/>
      <c r="PIK143" s="21"/>
      <c r="PIL143" s="21"/>
      <c r="PIM143" s="21"/>
      <c r="PIN143" s="21"/>
      <c r="PIO143" s="21"/>
      <c r="PIP143" s="21"/>
      <c r="PIQ143" s="21"/>
      <c r="PIR143" s="21"/>
      <c r="PIS143" s="21"/>
      <c r="PIT143" s="21"/>
      <c r="PIU143" s="21"/>
      <c r="PIV143" s="21"/>
      <c r="PIW143" s="21"/>
      <c r="PIX143" s="21"/>
      <c r="PIY143" s="21"/>
      <c r="PIZ143" s="21"/>
      <c r="PJA143" s="21"/>
      <c r="PJB143" s="21"/>
      <c r="PJC143" s="21"/>
      <c r="PJD143" s="21"/>
      <c r="PJE143" s="21"/>
      <c r="PJF143" s="21"/>
      <c r="PJG143" s="21"/>
      <c r="PJH143" s="21"/>
      <c r="PJI143" s="21"/>
      <c r="PJJ143" s="21"/>
      <c r="PJK143" s="21"/>
      <c r="PJL143" s="21"/>
      <c r="PJM143" s="21"/>
      <c r="PJN143" s="21"/>
      <c r="PJO143" s="21"/>
      <c r="PJP143" s="21"/>
      <c r="PJQ143" s="21"/>
      <c r="PJR143" s="21"/>
      <c r="PJS143" s="21"/>
      <c r="PJT143" s="21"/>
      <c r="PJU143" s="21"/>
      <c r="PJV143" s="21"/>
      <c r="PJW143" s="21"/>
      <c r="PJX143" s="21"/>
      <c r="PJY143" s="21"/>
      <c r="PJZ143" s="21"/>
      <c r="PKA143" s="21"/>
      <c r="PKB143" s="21"/>
      <c r="PKC143" s="21"/>
      <c r="PKD143" s="21"/>
      <c r="PKE143" s="21"/>
      <c r="PKF143" s="21"/>
      <c r="PKG143" s="21"/>
      <c r="PKH143" s="21"/>
      <c r="PKI143" s="21"/>
      <c r="PKJ143" s="21"/>
      <c r="PKK143" s="21"/>
      <c r="PKL143" s="21"/>
      <c r="PKM143" s="21"/>
      <c r="PKN143" s="21"/>
      <c r="PKO143" s="21"/>
      <c r="PKP143" s="21"/>
      <c r="PKQ143" s="21"/>
      <c r="PKR143" s="21"/>
      <c r="PKS143" s="21"/>
      <c r="PKT143" s="21"/>
      <c r="PKU143" s="21"/>
      <c r="PKV143" s="21"/>
      <c r="PKW143" s="21"/>
      <c r="PKX143" s="21"/>
      <c r="PKY143" s="21"/>
      <c r="PKZ143" s="21"/>
      <c r="PLA143" s="21"/>
      <c r="PLB143" s="21"/>
      <c r="PLC143" s="21"/>
      <c r="PLD143" s="21"/>
      <c r="PLE143" s="21"/>
      <c r="PLF143" s="21"/>
      <c r="PLG143" s="21"/>
      <c r="PLH143" s="21"/>
      <c r="PLI143" s="21"/>
      <c r="PLJ143" s="21"/>
      <c r="PLK143" s="21"/>
      <c r="PLL143" s="21"/>
      <c r="PLM143" s="21"/>
      <c r="PLN143" s="21"/>
      <c r="PLO143" s="21"/>
      <c r="PLP143" s="21"/>
      <c r="PLQ143" s="21"/>
      <c r="PLR143" s="21"/>
      <c r="PLS143" s="21"/>
      <c r="PLT143" s="21"/>
      <c r="PLU143" s="21"/>
      <c r="PLV143" s="21"/>
      <c r="PLW143" s="21"/>
      <c r="PLX143" s="21"/>
      <c r="PLY143" s="21"/>
      <c r="PLZ143" s="21"/>
      <c r="PMA143" s="21"/>
      <c r="PMB143" s="21"/>
      <c r="PMC143" s="21"/>
      <c r="PMD143" s="21"/>
      <c r="PME143" s="21"/>
      <c r="PMF143" s="21"/>
      <c r="PMG143" s="21"/>
      <c r="PMH143" s="21"/>
      <c r="PMI143" s="21"/>
      <c r="PMJ143" s="21"/>
      <c r="PMK143" s="21"/>
      <c r="PML143" s="21"/>
      <c r="PMM143" s="21"/>
      <c r="PMN143" s="21"/>
      <c r="PMO143" s="21"/>
      <c r="PMP143" s="21"/>
      <c r="PMQ143" s="21"/>
      <c r="PMR143" s="21"/>
      <c r="PMS143" s="21"/>
      <c r="PMT143" s="21"/>
      <c r="PMU143" s="21"/>
      <c r="PMV143" s="21"/>
      <c r="PMW143" s="21"/>
      <c r="PMX143" s="21"/>
      <c r="PMY143" s="21"/>
      <c r="PMZ143" s="21"/>
      <c r="PNA143" s="21"/>
      <c r="PNB143" s="21"/>
      <c r="PNC143" s="21"/>
      <c r="PND143" s="21"/>
      <c r="PNE143" s="21"/>
      <c r="PNF143" s="21"/>
      <c r="PNG143" s="21"/>
      <c r="PNH143" s="21"/>
      <c r="PNI143" s="21"/>
      <c r="PNJ143" s="21"/>
      <c r="PNK143" s="21"/>
      <c r="PNL143" s="21"/>
      <c r="PNM143" s="21"/>
      <c r="PNN143" s="21"/>
      <c r="PNO143" s="21"/>
      <c r="PNP143" s="21"/>
      <c r="PNQ143" s="21"/>
      <c r="PNR143" s="21"/>
      <c r="PNS143" s="21"/>
      <c r="PNT143" s="21"/>
      <c r="PNU143" s="21"/>
      <c r="PNV143" s="21"/>
      <c r="PNW143" s="21"/>
      <c r="PNX143" s="21"/>
      <c r="PNY143" s="21"/>
      <c r="PNZ143" s="21"/>
      <c r="POA143" s="21"/>
      <c r="POB143" s="21"/>
      <c r="POC143" s="21"/>
      <c r="POD143" s="21"/>
      <c r="POE143" s="21"/>
      <c r="POF143" s="21"/>
      <c r="POG143" s="21"/>
      <c r="POH143" s="21"/>
      <c r="POI143" s="21"/>
      <c r="POJ143" s="21"/>
      <c r="POK143" s="21"/>
      <c r="POL143" s="21"/>
      <c r="POM143" s="21"/>
      <c r="PON143" s="21"/>
      <c r="POO143" s="21"/>
      <c r="POP143" s="21"/>
      <c r="POQ143" s="21"/>
      <c r="POR143" s="21"/>
      <c r="POS143" s="21"/>
      <c r="POT143" s="21"/>
      <c r="POU143" s="21"/>
      <c r="POV143" s="21"/>
      <c r="POW143" s="21"/>
      <c r="POX143" s="21"/>
      <c r="POY143" s="21"/>
      <c r="POZ143" s="21"/>
      <c r="PPA143" s="21"/>
      <c r="PPB143" s="21"/>
      <c r="PPC143" s="21"/>
      <c r="PPD143" s="21"/>
      <c r="PPE143" s="21"/>
      <c r="PPF143" s="21"/>
      <c r="PPG143" s="21"/>
      <c r="PPH143" s="21"/>
      <c r="PPI143" s="21"/>
      <c r="PPJ143" s="21"/>
      <c r="PPK143" s="21"/>
      <c r="PPL143" s="21"/>
      <c r="PPM143" s="21"/>
      <c r="PPN143" s="21"/>
      <c r="PPO143" s="21"/>
      <c r="PPP143" s="21"/>
      <c r="PPQ143" s="21"/>
      <c r="PPR143" s="21"/>
      <c r="PPS143" s="21"/>
      <c r="PPT143" s="21"/>
      <c r="PPU143" s="21"/>
      <c r="PPV143" s="21"/>
      <c r="PPW143" s="21"/>
      <c r="PPX143" s="21"/>
      <c r="PPY143" s="21"/>
      <c r="PPZ143" s="21"/>
      <c r="PQA143" s="21"/>
      <c r="PQB143" s="21"/>
      <c r="PQC143" s="21"/>
      <c r="PQD143" s="21"/>
      <c r="PQE143" s="21"/>
      <c r="PQF143" s="21"/>
      <c r="PQG143" s="21"/>
      <c r="PQH143" s="21"/>
      <c r="PQI143" s="21"/>
      <c r="PQJ143" s="21"/>
      <c r="PQK143" s="21"/>
      <c r="PQL143" s="21"/>
      <c r="PQM143" s="21"/>
      <c r="PQN143" s="21"/>
      <c r="PQO143" s="21"/>
      <c r="PQP143" s="21"/>
      <c r="PQQ143" s="21"/>
      <c r="PQR143" s="21"/>
      <c r="PQS143" s="21"/>
      <c r="PQT143" s="21"/>
      <c r="PQU143" s="21"/>
      <c r="PQV143" s="21"/>
      <c r="PQW143" s="21"/>
      <c r="PQX143" s="21"/>
      <c r="PQY143" s="21"/>
      <c r="PQZ143" s="21"/>
      <c r="PRA143" s="21"/>
      <c r="PRB143" s="21"/>
      <c r="PRC143" s="21"/>
      <c r="PRD143" s="21"/>
      <c r="PRE143" s="21"/>
      <c r="PRF143" s="21"/>
      <c r="PRG143" s="21"/>
      <c r="PRH143" s="21"/>
      <c r="PRI143" s="21"/>
      <c r="PRJ143" s="21"/>
      <c r="PRK143" s="21"/>
      <c r="PRL143" s="21"/>
      <c r="PRM143" s="21"/>
      <c r="PRN143" s="21"/>
      <c r="PRO143" s="21"/>
      <c r="PRP143" s="21"/>
      <c r="PRQ143" s="21"/>
      <c r="PRR143" s="21"/>
      <c r="PRS143" s="21"/>
      <c r="PRT143" s="21"/>
      <c r="PRU143" s="21"/>
      <c r="PRV143" s="21"/>
      <c r="PRW143" s="21"/>
      <c r="PRX143" s="21"/>
      <c r="PRY143" s="21"/>
      <c r="PRZ143" s="21"/>
      <c r="PSA143" s="21"/>
      <c r="PSB143" s="21"/>
      <c r="PSC143" s="21"/>
      <c r="PSD143" s="21"/>
      <c r="PSE143" s="21"/>
      <c r="PSF143" s="21"/>
      <c r="PSG143" s="21"/>
      <c r="PSH143" s="21"/>
      <c r="PSI143" s="21"/>
      <c r="PSJ143" s="21"/>
      <c r="PSK143" s="21"/>
      <c r="PSL143" s="21"/>
      <c r="PSM143" s="21"/>
      <c r="PSN143" s="21"/>
      <c r="PSO143" s="21"/>
      <c r="PSP143" s="21"/>
      <c r="PSQ143" s="21"/>
      <c r="PSR143" s="21"/>
      <c r="PSS143" s="21"/>
      <c r="PST143" s="21"/>
      <c r="PSU143" s="21"/>
      <c r="PSV143" s="21"/>
      <c r="PSW143" s="21"/>
      <c r="PSX143" s="21"/>
      <c r="PSY143" s="21"/>
      <c r="PSZ143" s="21"/>
      <c r="PTA143" s="21"/>
      <c r="PTB143" s="21"/>
      <c r="PTC143" s="21"/>
      <c r="PTD143" s="21"/>
      <c r="PTE143" s="21"/>
      <c r="PTF143" s="21"/>
      <c r="PTG143" s="21"/>
      <c r="PTH143" s="21"/>
      <c r="PTI143" s="21"/>
      <c r="PTJ143" s="21"/>
      <c r="PTK143" s="21"/>
      <c r="PTL143" s="21"/>
      <c r="PTM143" s="21"/>
      <c r="PTN143" s="21"/>
      <c r="PTO143" s="21"/>
      <c r="PTP143" s="21"/>
      <c r="PTQ143" s="21"/>
      <c r="PTR143" s="21"/>
      <c r="PTS143" s="21"/>
      <c r="PTT143" s="21"/>
      <c r="PTU143" s="21"/>
      <c r="PTV143" s="21"/>
      <c r="PTW143" s="21"/>
      <c r="PTX143" s="21"/>
      <c r="PTY143" s="21"/>
      <c r="PTZ143" s="21"/>
      <c r="PUA143" s="21"/>
      <c r="PUB143" s="21"/>
      <c r="PUC143" s="21"/>
      <c r="PUD143" s="21"/>
      <c r="PUE143" s="21"/>
      <c r="PUF143" s="21"/>
      <c r="PUG143" s="21"/>
      <c r="PUH143" s="21"/>
      <c r="PUI143" s="21"/>
      <c r="PUJ143" s="21"/>
      <c r="PUK143" s="21"/>
      <c r="PUL143" s="21"/>
      <c r="PUM143" s="21"/>
      <c r="PUN143" s="21"/>
      <c r="PUO143" s="21"/>
      <c r="PUP143" s="21"/>
      <c r="PUQ143" s="21"/>
      <c r="PUR143" s="21"/>
      <c r="PUS143" s="21"/>
      <c r="PUT143" s="21"/>
      <c r="PUU143" s="21"/>
      <c r="PUV143" s="21"/>
      <c r="PUW143" s="21"/>
      <c r="PUX143" s="21"/>
      <c r="PUY143" s="21"/>
      <c r="PUZ143" s="21"/>
      <c r="PVA143" s="21"/>
      <c r="PVB143" s="21"/>
      <c r="PVC143" s="21"/>
      <c r="PVD143" s="21"/>
      <c r="PVE143" s="21"/>
      <c r="PVF143" s="21"/>
      <c r="PVG143" s="21"/>
      <c r="PVH143" s="21"/>
      <c r="PVI143" s="21"/>
      <c r="PVJ143" s="21"/>
      <c r="PVK143" s="21"/>
      <c r="PVL143" s="21"/>
      <c r="PVM143" s="21"/>
      <c r="PVN143" s="21"/>
      <c r="PVO143" s="21"/>
      <c r="PVP143" s="21"/>
      <c r="PVQ143" s="21"/>
      <c r="PVR143" s="21"/>
      <c r="PVS143" s="21"/>
      <c r="PVT143" s="21"/>
      <c r="PVU143" s="21"/>
      <c r="PVV143" s="21"/>
      <c r="PVW143" s="21"/>
      <c r="PVX143" s="21"/>
      <c r="PVY143" s="21"/>
      <c r="PVZ143" s="21"/>
      <c r="PWA143" s="21"/>
      <c r="PWB143" s="21"/>
      <c r="PWC143" s="21"/>
      <c r="PWD143" s="21"/>
      <c r="PWE143" s="21"/>
      <c r="PWF143" s="21"/>
      <c r="PWG143" s="21"/>
      <c r="PWH143" s="21"/>
      <c r="PWI143" s="21"/>
      <c r="PWJ143" s="21"/>
      <c r="PWK143" s="21"/>
      <c r="PWL143" s="21"/>
      <c r="PWM143" s="21"/>
      <c r="PWN143" s="21"/>
      <c r="PWO143" s="21"/>
      <c r="PWP143" s="21"/>
      <c r="PWQ143" s="21"/>
      <c r="PWR143" s="21"/>
      <c r="PWS143" s="21"/>
      <c r="PWT143" s="21"/>
      <c r="PWU143" s="21"/>
      <c r="PWV143" s="21"/>
      <c r="PWW143" s="21"/>
      <c r="PWX143" s="21"/>
      <c r="PWY143" s="21"/>
      <c r="PWZ143" s="21"/>
      <c r="PXA143" s="21"/>
      <c r="PXB143" s="21"/>
      <c r="PXC143" s="21"/>
      <c r="PXD143" s="21"/>
      <c r="PXE143" s="21"/>
      <c r="PXF143" s="21"/>
      <c r="PXG143" s="21"/>
      <c r="PXH143" s="21"/>
      <c r="PXI143" s="21"/>
      <c r="PXJ143" s="21"/>
      <c r="PXK143" s="21"/>
      <c r="PXL143" s="21"/>
      <c r="PXM143" s="21"/>
      <c r="PXN143" s="21"/>
      <c r="PXO143" s="21"/>
      <c r="PXP143" s="21"/>
      <c r="PXQ143" s="21"/>
      <c r="PXR143" s="21"/>
      <c r="PXS143" s="21"/>
      <c r="PXT143" s="21"/>
      <c r="PXU143" s="21"/>
      <c r="PXV143" s="21"/>
      <c r="PXW143" s="21"/>
      <c r="PXX143" s="21"/>
      <c r="PXY143" s="21"/>
      <c r="PXZ143" s="21"/>
      <c r="PYA143" s="21"/>
      <c r="PYB143" s="21"/>
      <c r="PYC143" s="21"/>
      <c r="PYD143" s="21"/>
      <c r="PYE143" s="21"/>
      <c r="PYF143" s="21"/>
      <c r="PYG143" s="21"/>
      <c r="PYH143" s="21"/>
      <c r="PYI143" s="21"/>
      <c r="PYJ143" s="21"/>
      <c r="PYK143" s="21"/>
      <c r="PYL143" s="21"/>
      <c r="PYM143" s="21"/>
      <c r="PYN143" s="21"/>
      <c r="PYO143" s="21"/>
      <c r="PYP143" s="21"/>
      <c r="PYQ143" s="21"/>
      <c r="PYR143" s="21"/>
      <c r="PYS143" s="21"/>
      <c r="PYT143" s="21"/>
      <c r="PYU143" s="21"/>
      <c r="PYV143" s="21"/>
      <c r="PYW143" s="21"/>
      <c r="PYX143" s="21"/>
      <c r="PYY143" s="21"/>
      <c r="PYZ143" s="21"/>
      <c r="PZA143" s="21"/>
      <c r="PZB143" s="21"/>
      <c r="PZC143" s="21"/>
      <c r="PZD143" s="21"/>
      <c r="PZE143" s="21"/>
      <c r="PZF143" s="21"/>
      <c r="PZG143" s="21"/>
      <c r="PZH143" s="21"/>
      <c r="PZI143" s="21"/>
      <c r="PZJ143" s="21"/>
      <c r="PZK143" s="21"/>
      <c r="PZL143" s="21"/>
      <c r="PZM143" s="21"/>
      <c r="PZN143" s="21"/>
      <c r="PZO143" s="21"/>
      <c r="PZP143" s="21"/>
      <c r="PZQ143" s="21"/>
      <c r="PZR143" s="21"/>
      <c r="PZS143" s="21"/>
      <c r="PZT143" s="21"/>
      <c r="PZU143" s="21"/>
      <c r="PZV143" s="21"/>
      <c r="PZW143" s="21"/>
      <c r="PZX143" s="21"/>
      <c r="PZY143" s="21"/>
      <c r="PZZ143" s="21"/>
      <c r="QAA143" s="21"/>
      <c r="QAB143" s="21"/>
      <c r="QAC143" s="21"/>
      <c r="QAD143" s="21"/>
      <c r="QAE143" s="21"/>
      <c r="QAF143" s="21"/>
      <c r="QAG143" s="21"/>
      <c r="QAH143" s="21"/>
      <c r="QAI143" s="21"/>
      <c r="QAJ143" s="21"/>
      <c r="QAK143" s="21"/>
      <c r="QAL143" s="21"/>
      <c r="QAM143" s="21"/>
      <c r="QAN143" s="21"/>
      <c r="QAO143" s="21"/>
      <c r="QAP143" s="21"/>
      <c r="QAQ143" s="21"/>
      <c r="QAR143" s="21"/>
      <c r="QAS143" s="21"/>
      <c r="QAT143" s="21"/>
      <c r="QAU143" s="21"/>
      <c r="QAV143" s="21"/>
      <c r="QAW143" s="21"/>
      <c r="QAX143" s="21"/>
      <c r="QAY143" s="21"/>
      <c r="QAZ143" s="21"/>
      <c r="QBA143" s="21"/>
      <c r="QBB143" s="21"/>
      <c r="QBC143" s="21"/>
      <c r="QBD143" s="21"/>
      <c r="QBE143" s="21"/>
      <c r="QBF143" s="21"/>
      <c r="QBG143" s="21"/>
      <c r="QBH143" s="21"/>
      <c r="QBI143" s="21"/>
      <c r="QBJ143" s="21"/>
      <c r="QBK143" s="21"/>
      <c r="QBL143" s="21"/>
      <c r="QBM143" s="21"/>
      <c r="QBN143" s="21"/>
      <c r="QBO143" s="21"/>
      <c r="QBP143" s="21"/>
      <c r="QBQ143" s="21"/>
      <c r="QBR143" s="21"/>
      <c r="QBS143" s="21"/>
      <c r="QBT143" s="21"/>
      <c r="QBU143" s="21"/>
      <c r="QBV143" s="21"/>
      <c r="QBW143" s="21"/>
      <c r="QBX143" s="21"/>
      <c r="QBY143" s="21"/>
      <c r="QBZ143" s="21"/>
      <c r="QCA143" s="21"/>
      <c r="QCB143" s="21"/>
      <c r="QCC143" s="21"/>
      <c r="QCD143" s="21"/>
      <c r="QCE143" s="21"/>
      <c r="QCF143" s="21"/>
      <c r="QCG143" s="21"/>
      <c r="QCH143" s="21"/>
      <c r="QCI143" s="21"/>
      <c r="QCJ143" s="21"/>
      <c r="QCK143" s="21"/>
      <c r="QCL143" s="21"/>
      <c r="QCM143" s="21"/>
      <c r="QCN143" s="21"/>
      <c r="QCO143" s="21"/>
      <c r="QCP143" s="21"/>
      <c r="QCQ143" s="21"/>
      <c r="QCR143" s="21"/>
      <c r="QCS143" s="21"/>
      <c r="QCT143" s="21"/>
      <c r="QCU143" s="21"/>
      <c r="QCV143" s="21"/>
      <c r="QCW143" s="21"/>
      <c r="QCX143" s="21"/>
      <c r="QCY143" s="21"/>
      <c r="QCZ143" s="21"/>
      <c r="QDA143" s="21"/>
      <c r="QDB143" s="21"/>
      <c r="QDC143" s="21"/>
      <c r="QDD143" s="21"/>
      <c r="QDE143" s="21"/>
      <c r="QDF143" s="21"/>
      <c r="QDG143" s="21"/>
      <c r="QDH143" s="21"/>
      <c r="QDI143" s="21"/>
      <c r="QDJ143" s="21"/>
      <c r="QDK143" s="21"/>
      <c r="QDL143" s="21"/>
      <c r="QDM143" s="21"/>
      <c r="QDN143" s="21"/>
      <c r="QDO143" s="21"/>
      <c r="QDP143" s="21"/>
      <c r="QDQ143" s="21"/>
      <c r="QDR143" s="21"/>
      <c r="QDS143" s="21"/>
      <c r="QDT143" s="21"/>
      <c r="QDU143" s="21"/>
      <c r="QDV143" s="21"/>
      <c r="QDW143" s="21"/>
      <c r="QDX143" s="21"/>
      <c r="QDY143" s="21"/>
      <c r="QDZ143" s="21"/>
      <c r="QEA143" s="21"/>
      <c r="QEB143" s="21"/>
      <c r="QEC143" s="21"/>
      <c r="QED143" s="21"/>
      <c r="QEE143" s="21"/>
      <c r="QEF143" s="21"/>
      <c r="QEG143" s="21"/>
      <c r="QEH143" s="21"/>
      <c r="QEI143" s="21"/>
      <c r="QEJ143" s="21"/>
      <c r="QEK143" s="21"/>
      <c r="QEL143" s="21"/>
      <c r="QEM143" s="21"/>
      <c r="QEN143" s="21"/>
      <c r="QEO143" s="21"/>
      <c r="QEP143" s="21"/>
      <c r="QEQ143" s="21"/>
      <c r="QER143" s="21"/>
      <c r="QES143" s="21"/>
      <c r="QET143" s="21"/>
      <c r="QEU143" s="21"/>
      <c r="QEV143" s="21"/>
      <c r="QEW143" s="21"/>
      <c r="QEX143" s="21"/>
      <c r="QEY143" s="21"/>
      <c r="QEZ143" s="21"/>
      <c r="QFA143" s="21"/>
      <c r="QFB143" s="21"/>
      <c r="QFC143" s="21"/>
      <c r="QFD143" s="21"/>
      <c r="QFE143" s="21"/>
      <c r="QFF143" s="21"/>
      <c r="QFG143" s="21"/>
      <c r="QFH143" s="21"/>
      <c r="QFI143" s="21"/>
      <c r="QFJ143" s="21"/>
      <c r="QFK143" s="21"/>
      <c r="QFL143" s="21"/>
      <c r="QFM143" s="21"/>
      <c r="QFN143" s="21"/>
      <c r="QFO143" s="21"/>
      <c r="QFP143" s="21"/>
      <c r="QFQ143" s="21"/>
      <c r="QFR143" s="21"/>
      <c r="QFS143" s="21"/>
      <c r="QFT143" s="21"/>
      <c r="QFU143" s="21"/>
      <c r="QFV143" s="21"/>
      <c r="QFW143" s="21"/>
      <c r="QFX143" s="21"/>
      <c r="QFY143" s="21"/>
      <c r="QFZ143" s="21"/>
      <c r="QGA143" s="21"/>
      <c r="QGB143" s="21"/>
      <c r="QGC143" s="21"/>
      <c r="QGD143" s="21"/>
      <c r="QGE143" s="21"/>
      <c r="QGF143" s="21"/>
      <c r="QGG143" s="21"/>
      <c r="QGH143" s="21"/>
      <c r="QGI143" s="21"/>
      <c r="QGJ143" s="21"/>
      <c r="QGK143" s="21"/>
      <c r="QGL143" s="21"/>
      <c r="QGM143" s="21"/>
      <c r="QGN143" s="21"/>
      <c r="QGO143" s="21"/>
      <c r="QGP143" s="21"/>
      <c r="QGQ143" s="21"/>
      <c r="QGR143" s="21"/>
      <c r="QGS143" s="21"/>
      <c r="QGT143" s="21"/>
      <c r="QGU143" s="21"/>
      <c r="QGV143" s="21"/>
      <c r="QGW143" s="21"/>
      <c r="QGX143" s="21"/>
      <c r="QGY143" s="21"/>
      <c r="QGZ143" s="21"/>
      <c r="QHA143" s="21"/>
      <c r="QHB143" s="21"/>
      <c r="QHC143" s="21"/>
      <c r="QHD143" s="21"/>
      <c r="QHE143" s="21"/>
      <c r="QHF143" s="21"/>
      <c r="QHG143" s="21"/>
      <c r="QHH143" s="21"/>
      <c r="QHI143" s="21"/>
      <c r="QHJ143" s="21"/>
      <c r="QHK143" s="21"/>
      <c r="QHL143" s="21"/>
      <c r="QHM143" s="21"/>
      <c r="QHN143" s="21"/>
      <c r="QHO143" s="21"/>
      <c r="QHP143" s="21"/>
      <c r="QHQ143" s="21"/>
      <c r="QHR143" s="21"/>
      <c r="QHS143" s="21"/>
      <c r="QHT143" s="21"/>
      <c r="QHU143" s="21"/>
      <c r="QHV143" s="21"/>
      <c r="QHW143" s="21"/>
      <c r="QHX143" s="21"/>
      <c r="QHY143" s="21"/>
      <c r="QHZ143" s="21"/>
      <c r="QIA143" s="21"/>
      <c r="QIB143" s="21"/>
      <c r="QIC143" s="21"/>
      <c r="QID143" s="21"/>
      <c r="QIE143" s="21"/>
      <c r="QIF143" s="21"/>
      <c r="QIG143" s="21"/>
      <c r="QIH143" s="21"/>
      <c r="QII143" s="21"/>
      <c r="QIJ143" s="21"/>
      <c r="QIK143" s="21"/>
      <c r="QIL143" s="21"/>
      <c r="QIM143" s="21"/>
      <c r="QIN143" s="21"/>
      <c r="QIO143" s="21"/>
      <c r="QIP143" s="21"/>
      <c r="QIQ143" s="21"/>
      <c r="QIR143" s="21"/>
      <c r="QIS143" s="21"/>
      <c r="QIT143" s="21"/>
      <c r="QIU143" s="21"/>
      <c r="QIV143" s="21"/>
      <c r="QIW143" s="21"/>
      <c r="QIX143" s="21"/>
      <c r="QIY143" s="21"/>
      <c r="QIZ143" s="21"/>
      <c r="QJA143" s="21"/>
      <c r="QJB143" s="21"/>
      <c r="QJC143" s="21"/>
      <c r="QJD143" s="21"/>
      <c r="QJE143" s="21"/>
      <c r="QJF143" s="21"/>
      <c r="QJG143" s="21"/>
      <c r="QJH143" s="21"/>
      <c r="QJI143" s="21"/>
      <c r="QJJ143" s="21"/>
      <c r="QJK143" s="21"/>
      <c r="QJL143" s="21"/>
      <c r="QJM143" s="21"/>
      <c r="QJN143" s="21"/>
      <c r="QJO143" s="21"/>
      <c r="QJP143" s="21"/>
      <c r="QJQ143" s="21"/>
      <c r="QJR143" s="21"/>
      <c r="QJS143" s="21"/>
      <c r="QJT143" s="21"/>
      <c r="QJU143" s="21"/>
      <c r="QJV143" s="21"/>
      <c r="QJW143" s="21"/>
      <c r="QJX143" s="21"/>
      <c r="QJY143" s="21"/>
      <c r="QJZ143" s="21"/>
      <c r="QKA143" s="21"/>
      <c r="QKB143" s="21"/>
      <c r="QKC143" s="21"/>
      <c r="QKD143" s="21"/>
      <c r="QKE143" s="21"/>
      <c r="QKF143" s="21"/>
      <c r="QKG143" s="21"/>
      <c r="QKH143" s="21"/>
      <c r="QKI143" s="21"/>
      <c r="QKJ143" s="21"/>
      <c r="QKK143" s="21"/>
      <c r="QKL143" s="21"/>
      <c r="QKM143" s="21"/>
      <c r="QKN143" s="21"/>
      <c r="QKO143" s="21"/>
      <c r="QKP143" s="21"/>
      <c r="QKQ143" s="21"/>
      <c r="QKR143" s="21"/>
      <c r="QKS143" s="21"/>
      <c r="QKT143" s="21"/>
      <c r="QKU143" s="21"/>
      <c r="QKV143" s="21"/>
      <c r="QKW143" s="21"/>
      <c r="QKX143" s="21"/>
      <c r="QKY143" s="21"/>
      <c r="QKZ143" s="21"/>
      <c r="QLA143" s="21"/>
      <c r="QLB143" s="21"/>
      <c r="QLC143" s="21"/>
      <c r="QLD143" s="21"/>
      <c r="QLE143" s="21"/>
      <c r="QLF143" s="21"/>
      <c r="QLG143" s="21"/>
      <c r="QLH143" s="21"/>
      <c r="QLI143" s="21"/>
      <c r="QLJ143" s="21"/>
      <c r="QLK143" s="21"/>
      <c r="QLL143" s="21"/>
      <c r="QLM143" s="21"/>
      <c r="QLN143" s="21"/>
      <c r="QLO143" s="21"/>
      <c r="QLP143" s="21"/>
      <c r="QLQ143" s="21"/>
      <c r="QLR143" s="21"/>
      <c r="QLS143" s="21"/>
      <c r="QLT143" s="21"/>
      <c r="QLU143" s="21"/>
      <c r="QLV143" s="21"/>
      <c r="QLW143" s="21"/>
      <c r="QLX143" s="21"/>
      <c r="QLY143" s="21"/>
      <c r="QLZ143" s="21"/>
      <c r="QMA143" s="21"/>
      <c r="QMB143" s="21"/>
      <c r="QMC143" s="21"/>
      <c r="QMD143" s="21"/>
      <c r="QME143" s="21"/>
      <c r="QMF143" s="21"/>
      <c r="QMG143" s="21"/>
      <c r="QMH143" s="21"/>
      <c r="QMI143" s="21"/>
      <c r="QMJ143" s="21"/>
      <c r="QMK143" s="21"/>
      <c r="QML143" s="21"/>
      <c r="QMM143" s="21"/>
      <c r="QMN143" s="21"/>
      <c r="QMO143" s="21"/>
      <c r="QMP143" s="21"/>
      <c r="QMQ143" s="21"/>
      <c r="QMR143" s="21"/>
      <c r="QMS143" s="21"/>
      <c r="QMT143" s="21"/>
      <c r="QMU143" s="21"/>
      <c r="QMV143" s="21"/>
      <c r="QMW143" s="21"/>
      <c r="QMX143" s="21"/>
      <c r="QMY143" s="21"/>
      <c r="QMZ143" s="21"/>
      <c r="QNA143" s="21"/>
      <c r="QNB143" s="21"/>
      <c r="QNC143" s="21"/>
      <c r="QND143" s="21"/>
      <c r="QNE143" s="21"/>
      <c r="QNF143" s="21"/>
      <c r="QNG143" s="21"/>
      <c r="QNH143" s="21"/>
      <c r="QNI143" s="21"/>
      <c r="QNJ143" s="21"/>
      <c r="QNK143" s="21"/>
      <c r="QNL143" s="21"/>
      <c r="QNM143" s="21"/>
      <c r="QNN143" s="21"/>
      <c r="QNO143" s="21"/>
      <c r="QNP143" s="21"/>
      <c r="QNQ143" s="21"/>
      <c r="QNR143" s="21"/>
      <c r="QNS143" s="21"/>
      <c r="QNT143" s="21"/>
      <c r="QNU143" s="21"/>
      <c r="QNV143" s="21"/>
      <c r="QNW143" s="21"/>
      <c r="QNX143" s="21"/>
      <c r="QNY143" s="21"/>
      <c r="QNZ143" s="21"/>
      <c r="QOA143" s="21"/>
      <c r="QOB143" s="21"/>
      <c r="QOC143" s="21"/>
      <c r="QOD143" s="21"/>
      <c r="QOE143" s="21"/>
      <c r="QOF143" s="21"/>
      <c r="QOG143" s="21"/>
      <c r="QOH143" s="21"/>
      <c r="QOI143" s="21"/>
      <c r="QOJ143" s="21"/>
      <c r="QOK143" s="21"/>
      <c r="QOL143" s="21"/>
      <c r="QOM143" s="21"/>
      <c r="QON143" s="21"/>
      <c r="QOO143" s="21"/>
      <c r="QOP143" s="21"/>
      <c r="QOQ143" s="21"/>
      <c r="QOR143" s="21"/>
      <c r="QOS143" s="21"/>
      <c r="QOT143" s="21"/>
      <c r="QOU143" s="21"/>
      <c r="QOV143" s="21"/>
      <c r="QOW143" s="21"/>
      <c r="QOX143" s="21"/>
      <c r="QOY143" s="21"/>
      <c r="QOZ143" s="21"/>
      <c r="QPA143" s="21"/>
      <c r="QPB143" s="21"/>
      <c r="QPC143" s="21"/>
      <c r="QPD143" s="21"/>
      <c r="QPE143" s="21"/>
      <c r="QPF143" s="21"/>
      <c r="QPG143" s="21"/>
      <c r="QPH143" s="21"/>
      <c r="QPI143" s="21"/>
      <c r="QPJ143" s="21"/>
      <c r="QPK143" s="21"/>
      <c r="QPL143" s="21"/>
      <c r="QPM143" s="21"/>
      <c r="QPN143" s="21"/>
      <c r="QPO143" s="21"/>
      <c r="QPP143" s="21"/>
      <c r="QPQ143" s="21"/>
      <c r="QPR143" s="21"/>
      <c r="QPS143" s="21"/>
      <c r="QPT143" s="21"/>
      <c r="QPU143" s="21"/>
      <c r="QPV143" s="21"/>
      <c r="QPW143" s="21"/>
      <c r="QPX143" s="21"/>
      <c r="QPY143" s="21"/>
      <c r="QPZ143" s="21"/>
      <c r="QQA143" s="21"/>
      <c r="QQB143" s="21"/>
      <c r="QQC143" s="21"/>
      <c r="QQD143" s="21"/>
      <c r="QQE143" s="21"/>
      <c r="QQF143" s="21"/>
      <c r="QQG143" s="21"/>
      <c r="QQH143" s="21"/>
      <c r="QQI143" s="21"/>
      <c r="QQJ143" s="21"/>
      <c r="QQK143" s="21"/>
      <c r="QQL143" s="21"/>
      <c r="QQM143" s="21"/>
      <c r="QQN143" s="21"/>
      <c r="QQO143" s="21"/>
      <c r="QQP143" s="21"/>
      <c r="QQQ143" s="21"/>
      <c r="QQR143" s="21"/>
      <c r="QQS143" s="21"/>
      <c r="QQT143" s="21"/>
      <c r="QQU143" s="21"/>
      <c r="QQV143" s="21"/>
      <c r="QQW143" s="21"/>
      <c r="QQX143" s="21"/>
      <c r="QQY143" s="21"/>
      <c r="QQZ143" s="21"/>
      <c r="QRA143" s="21"/>
      <c r="QRB143" s="21"/>
      <c r="QRC143" s="21"/>
      <c r="QRD143" s="21"/>
      <c r="QRE143" s="21"/>
      <c r="QRF143" s="21"/>
      <c r="QRG143" s="21"/>
      <c r="QRH143" s="21"/>
      <c r="QRI143" s="21"/>
      <c r="QRJ143" s="21"/>
      <c r="QRK143" s="21"/>
      <c r="QRL143" s="21"/>
      <c r="QRM143" s="21"/>
      <c r="QRN143" s="21"/>
      <c r="QRO143" s="21"/>
      <c r="QRP143" s="21"/>
      <c r="QRQ143" s="21"/>
      <c r="QRR143" s="21"/>
      <c r="QRS143" s="21"/>
      <c r="QRT143" s="21"/>
      <c r="QRU143" s="21"/>
      <c r="QRV143" s="21"/>
      <c r="QRW143" s="21"/>
      <c r="QRX143" s="21"/>
      <c r="QRY143" s="21"/>
      <c r="QRZ143" s="21"/>
      <c r="QSA143" s="21"/>
      <c r="QSB143" s="21"/>
      <c r="QSC143" s="21"/>
      <c r="QSD143" s="21"/>
      <c r="QSE143" s="21"/>
      <c r="QSF143" s="21"/>
      <c r="QSG143" s="21"/>
      <c r="QSH143" s="21"/>
      <c r="QSI143" s="21"/>
      <c r="QSJ143" s="21"/>
      <c r="QSK143" s="21"/>
      <c r="QSL143" s="21"/>
      <c r="QSM143" s="21"/>
      <c r="QSN143" s="21"/>
      <c r="QSO143" s="21"/>
      <c r="QSP143" s="21"/>
      <c r="QSQ143" s="21"/>
      <c r="QSR143" s="21"/>
      <c r="QSS143" s="21"/>
      <c r="QST143" s="21"/>
      <c r="QSU143" s="21"/>
      <c r="QSV143" s="21"/>
      <c r="QSW143" s="21"/>
      <c r="QSX143" s="21"/>
      <c r="QSY143" s="21"/>
      <c r="QSZ143" s="21"/>
      <c r="QTA143" s="21"/>
      <c r="QTB143" s="21"/>
      <c r="QTC143" s="21"/>
      <c r="QTD143" s="21"/>
      <c r="QTE143" s="21"/>
      <c r="QTF143" s="21"/>
      <c r="QTG143" s="21"/>
      <c r="QTH143" s="21"/>
      <c r="QTI143" s="21"/>
      <c r="QTJ143" s="21"/>
      <c r="QTK143" s="21"/>
      <c r="QTL143" s="21"/>
      <c r="QTM143" s="21"/>
      <c r="QTN143" s="21"/>
      <c r="QTO143" s="21"/>
      <c r="QTP143" s="21"/>
      <c r="QTQ143" s="21"/>
      <c r="QTR143" s="21"/>
      <c r="QTS143" s="21"/>
      <c r="QTT143" s="21"/>
      <c r="QTU143" s="21"/>
      <c r="QTV143" s="21"/>
      <c r="QTW143" s="21"/>
      <c r="QTX143" s="21"/>
      <c r="QTY143" s="21"/>
      <c r="QTZ143" s="21"/>
      <c r="QUA143" s="21"/>
      <c r="QUB143" s="21"/>
      <c r="QUC143" s="21"/>
      <c r="QUD143" s="21"/>
      <c r="QUE143" s="21"/>
      <c r="QUF143" s="21"/>
      <c r="QUG143" s="21"/>
      <c r="QUH143" s="21"/>
      <c r="QUI143" s="21"/>
      <c r="QUJ143" s="21"/>
      <c r="QUK143" s="21"/>
      <c r="QUL143" s="21"/>
      <c r="QUM143" s="21"/>
      <c r="QUN143" s="21"/>
      <c r="QUO143" s="21"/>
      <c r="QUP143" s="21"/>
      <c r="QUQ143" s="21"/>
      <c r="QUR143" s="21"/>
      <c r="QUS143" s="21"/>
      <c r="QUT143" s="21"/>
      <c r="QUU143" s="21"/>
      <c r="QUV143" s="21"/>
      <c r="QUW143" s="21"/>
      <c r="QUX143" s="21"/>
      <c r="QUY143" s="21"/>
      <c r="QUZ143" s="21"/>
      <c r="QVA143" s="21"/>
      <c r="QVB143" s="21"/>
      <c r="QVC143" s="21"/>
      <c r="QVD143" s="21"/>
      <c r="QVE143" s="21"/>
      <c r="QVF143" s="21"/>
      <c r="QVG143" s="21"/>
      <c r="QVH143" s="21"/>
      <c r="QVI143" s="21"/>
      <c r="QVJ143" s="21"/>
      <c r="QVK143" s="21"/>
      <c r="QVL143" s="21"/>
      <c r="QVM143" s="21"/>
      <c r="QVN143" s="21"/>
      <c r="QVO143" s="21"/>
      <c r="QVP143" s="21"/>
      <c r="QVQ143" s="21"/>
      <c r="QVR143" s="21"/>
      <c r="QVS143" s="21"/>
      <c r="QVT143" s="21"/>
      <c r="QVU143" s="21"/>
      <c r="QVV143" s="21"/>
      <c r="QVW143" s="21"/>
      <c r="QVX143" s="21"/>
      <c r="QVY143" s="21"/>
      <c r="QVZ143" s="21"/>
      <c r="QWA143" s="21"/>
      <c r="QWB143" s="21"/>
      <c r="QWC143" s="21"/>
      <c r="QWD143" s="21"/>
      <c r="QWE143" s="21"/>
      <c r="QWF143" s="21"/>
      <c r="QWG143" s="21"/>
      <c r="QWH143" s="21"/>
      <c r="QWI143" s="21"/>
      <c r="QWJ143" s="21"/>
      <c r="QWK143" s="21"/>
      <c r="QWL143" s="21"/>
      <c r="QWM143" s="21"/>
      <c r="QWN143" s="21"/>
      <c r="QWO143" s="21"/>
      <c r="QWP143" s="21"/>
      <c r="QWQ143" s="21"/>
      <c r="QWR143" s="21"/>
      <c r="QWS143" s="21"/>
      <c r="QWT143" s="21"/>
      <c r="QWU143" s="21"/>
      <c r="QWV143" s="21"/>
      <c r="QWW143" s="21"/>
      <c r="QWX143" s="21"/>
      <c r="QWY143" s="21"/>
      <c r="QWZ143" s="21"/>
      <c r="QXA143" s="21"/>
      <c r="QXB143" s="21"/>
      <c r="QXC143" s="21"/>
      <c r="QXD143" s="21"/>
      <c r="QXE143" s="21"/>
      <c r="QXF143" s="21"/>
      <c r="QXG143" s="21"/>
      <c r="QXH143" s="21"/>
      <c r="QXI143" s="21"/>
      <c r="QXJ143" s="21"/>
      <c r="QXK143" s="21"/>
      <c r="QXL143" s="21"/>
      <c r="QXM143" s="21"/>
      <c r="QXN143" s="21"/>
      <c r="QXO143" s="21"/>
      <c r="QXP143" s="21"/>
      <c r="QXQ143" s="21"/>
      <c r="QXR143" s="21"/>
      <c r="QXS143" s="21"/>
      <c r="QXT143" s="21"/>
      <c r="QXU143" s="21"/>
      <c r="QXV143" s="21"/>
      <c r="QXW143" s="21"/>
      <c r="QXX143" s="21"/>
      <c r="QXY143" s="21"/>
      <c r="QXZ143" s="21"/>
      <c r="QYA143" s="21"/>
      <c r="QYB143" s="21"/>
      <c r="QYC143" s="21"/>
      <c r="QYD143" s="21"/>
      <c r="QYE143" s="21"/>
      <c r="QYF143" s="21"/>
      <c r="QYG143" s="21"/>
      <c r="QYH143" s="21"/>
      <c r="QYI143" s="21"/>
      <c r="QYJ143" s="21"/>
      <c r="QYK143" s="21"/>
      <c r="QYL143" s="21"/>
      <c r="QYM143" s="21"/>
      <c r="QYN143" s="21"/>
      <c r="QYO143" s="21"/>
      <c r="QYP143" s="21"/>
      <c r="QYQ143" s="21"/>
      <c r="QYR143" s="21"/>
      <c r="QYS143" s="21"/>
      <c r="QYT143" s="21"/>
      <c r="QYU143" s="21"/>
      <c r="QYV143" s="21"/>
      <c r="QYW143" s="21"/>
      <c r="QYX143" s="21"/>
      <c r="QYY143" s="21"/>
      <c r="QYZ143" s="21"/>
      <c r="QZA143" s="21"/>
      <c r="QZB143" s="21"/>
      <c r="QZC143" s="21"/>
      <c r="QZD143" s="21"/>
      <c r="QZE143" s="21"/>
      <c r="QZF143" s="21"/>
      <c r="QZG143" s="21"/>
      <c r="QZH143" s="21"/>
      <c r="QZI143" s="21"/>
      <c r="QZJ143" s="21"/>
      <c r="QZK143" s="21"/>
      <c r="QZL143" s="21"/>
      <c r="QZM143" s="21"/>
      <c r="QZN143" s="21"/>
      <c r="QZO143" s="21"/>
      <c r="QZP143" s="21"/>
      <c r="QZQ143" s="21"/>
      <c r="QZR143" s="21"/>
      <c r="QZS143" s="21"/>
      <c r="QZT143" s="21"/>
      <c r="QZU143" s="21"/>
      <c r="QZV143" s="21"/>
      <c r="QZW143" s="21"/>
      <c r="QZX143" s="21"/>
      <c r="QZY143" s="21"/>
      <c r="QZZ143" s="21"/>
      <c r="RAA143" s="21"/>
      <c r="RAB143" s="21"/>
      <c r="RAC143" s="21"/>
      <c r="RAD143" s="21"/>
      <c r="RAE143" s="21"/>
      <c r="RAF143" s="21"/>
      <c r="RAG143" s="21"/>
      <c r="RAH143" s="21"/>
      <c r="RAI143" s="21"/>
      <c r="RAJ143" s="21"/>
      <c r="RAK143" s="21"/>
      <c r="RAL143" s="21"/>
      <c r="RAM143" s="21"/>
      <c r="RAN143" s="21"/>
      <c r="RAO143" s="21"/>
      <c r="RAP143" s="21"/>
      <c r="RAQ143" s="21"/>
      <c r="RAR143" s="21"/>
      <c r="RAS143" s="21"/>
      <c r="RAT143" s="21"/>
      <c r="RAU143" s="21"/>
      <c r="RAV143" s="21"/>
      <c r="RAW143" s="21"/>
      <c r="RAX143" s="21"/>
      <c r="RAY143" s="21"/>
      <c r="RAZ143" s="21"/>
      <c r="RBA143" s="21"/>
      <c r="RBB143" s="21"/>
      <c r="RBC143" s="21"/>
      <c r="RBD143" s="21"/>
      <c r="RBE143" s="21"/>
      <c r="RBF143" s="21"/>
      <c r="RBG143" s="21"/>
      <c r="RBH143" s="21"/>
      <c r="RBI143" s="21"/>
      <c r="RBJ143" s="21"/>
      <c r="RBK143" s="21"/>
      <c r="RBL143" s="21"/>
      <c r="RBM143" s="21"/>
      <c r="RBN143" s="21"/>
      <c r="RBO143" s="21"/>
      <c r="RBP143" s="21"/>
      <c r="RBQ143" s="21"/>
      <c r="RBR143" s="21"/>
      <c r="RBS143" s="21"/>
      <c r="RBT143" s="21"/>
      <c r="RBU143" s="21"/>
      <c r="RBV143" s="21"/>
      <c r="RBW143" s="21"/>
      <c r="RBX143" s="21"/>
      <c r="RBY143" s="21"/>
      <c r="RBZ143" s="21"/>
      <c r="RCA143" s="21"/>
      <c r="RCB143" s="21"/>
      <c r="RCC143" s="21"/>
      <c r="RCD143" s="21"/>
      <c r="RCE143" s="21"/>
      <c r="RCF143" s="21"/>
      <c r="RCG143" s="21"/>
      <c r="RCH143" s="21"/>
      <c r="RCI143" s="21"/>
      <c r="RCJ143" s="21"/>
      <c r="RCK143" s="21"/>
      <c r="RCL143" s="21"/>
      <c r="RCM143" s="21"/>
      <c r="RCN143" s="21"/>
      <c r="RCO143" s="21"/>
      <c r="RCP143" s="21"/>
      <c r="RCQ143" s="21"/>
      <c r="RCR143" s="21"/>
      <c r="RCS143" s="21"/>
      <c r="RCT143" s="21"/>
      <c r="RCU143" s="21"/>
      <c r="RCV143" s="21"/>
      <c r="RCW143" s="21"/>
      <c r="RCX143" s="21"/>
      <c r="RCY143" s="21"/>
      <c r="RCZ143" s="21"/>
      <c r="RDA143" s="21"/>
      <c r="RDB143" s="21"/>
      <c r="RDC143" s="21"/>
      <c r="RDD143" s="21"/>
      <c r="RDE143" s="21"/>
      <c r="RDF143" s="21"/>
      <c r="RDG143" s="21"/>
      <c r="RDH143" s="21"/>
      <c r="RDI143" s="21"/>
      <c r="RDJ143" s="21"/>
      <c r="RDK143" s="21"/>
      <c r="RDL143" s="21"/>
      <c r="RDM143" s="21"/>
      <c r="RDN143" s="21"/>
      <c r="RDO143" s="21"/>
      <c r="RDP143" s="21"/>
      <c r="RDQ143" s="21"/>
      <c r="RDR143" s="21"/>
      <c r="RDS143" s="21"/>
      <c r="RDT143" s="21"/>
      <c r="RDU143" s="21"/>
      <c r="RDV143" s="21"/>
      <c r="RDW143" s="21"/>
      <c r="RDX143" s="21"/>
      <c r="RDY143" s="21"/>
      <c r="RDZ143" s="21"/>
      <c r="REA143" s="21"/>
      <c r="REB143" s="21"/>
      <c r="REC143" s="21"/>
      <c r="RED143" s="21"/>
      <c r="REE143" s="21"/>
      <c r="REF143" s="21"/>
      <c r="REG143" s="21"/>
      <c r="REH143" s="21"/>
      <c r="REI143" s="21"/>
      <c r="REJ143" s="21"/>
      <c r="REK143" s="21"/>
      <c r="REL143" s="21"/>
      <c r="REM143" s="21"/>
      <c r="REN143" s="21"/>
      <c r="REO143" s="21"/>
      <c r="REP143" s="21"/>
      <c r="REQ143" s="21"/>
      <c r="RER143" s="21"/>
      <c r="RES143" s="21"/>
      <c r="RET143" s="21"/>
      <c r="REU143" s="21"/>
      <c r="REV143" s="21"/>
      <c r="REW143" s="21"/>
      <c r="REX143" s="21"/>
      <c r="REY143" s="21"/>
      <c r="REZ143" s="21"/>
      <c r="RFA143" s="21"/>
      <c r="RFB143" s="21"/>
      <c r="RFC143" s="21"/>
      <c r="RFD143" s="21"/>
      <c r="RFE143" s="21"/>
      <c r="RFF143" s="21"/>
      <c r="RFG143" s="21"/>
      <c r="RFH143" s="21"/>
      <c r="RFI143" s="21"/>
      <c r="RFJ143" s="21"/>
      <c r="RFK143" s="21"/>
      <c r="RFL143" s="21"/>
      <c r="RFM143" s="21"/>
      <c r="RFN143" s="21"/>
      <c r="RFO143" s="21"/>
      <c r="RFP143" s="21"/>
      <c r="RFQ143" s="21"/>
      <c r="RFR143" s="21"/>
      <c r="RFS143" s="21"/>
      <c r="RFT143" s="21"/>
      <c r="RFU143" s="21"/>
      <c r="RFV143" s="21"/>
      <c r="RFW143" s="21"/>
      <c r="RFX143" s="21"/>
      <c r="RFY143" s="21"/>
      <c r="RFZ143" s="21"/>
      <c r="RGA143" s="21"/>
      <c r="RGB143" s="21"/>
      <c r="RGC143" s="21"/>
      <c r="RGD143" s="21"/>
      <c r="RGE143" s="21"/>
      <c r="RGF143" s="21"/>
      <c r="RGG143" s="21"/>
      <c r="RGH143" s="21"/>
      <c r="RGI143" s="21"/>
      <c r="RGJ143" s="21"/>
      <c r="RGK143" s="21"/>
      <c r="RGL143" s="21"/>
      <c r="RGM143" s="21"/>
      <c r="RGN143" s="21"/>
      <c r="RGO143" s="21"/>
      <c r="RGP143" s="21"/>
      <c r="RGQ143" s="21"/>
      <c r="RGR143" s="21"/>
      <c r="RGS143" s="21"/>
      <c r="RGT143" s="21"/>
      <c r="RGU143" s="21"/>
      <c r="RGV143" s="21"/>
      <c r="RGW143" s="21"/>
      <c r="RGX143" s="21"/>
      <c r="RGY143" s="21"/>
      <c r="RGZ143" s="21"/>
      <c r="RHA143" s="21"/>
      <c r="RHB143" s="21"/>
      <c r="RHC143" s="21"/>
      <c r="RHD143" s="21"/>
      <c r="RHE143" s="21"/>
      <c r="RHF143" s="21"/>
      <c r="RHG143" s="21"/>
      <c r="RHH143" s="21"/>
      <c r="RHI143" s="21"/>
      <c r="RHJ143" s="21"/>
      <c r="RHK143" s="21"/>
      <c r="RHL143" s="21"/>
      <c r="RHM143" s="21"/>
      <c r="RHN143" s="21"/>
      <c r="RHO143" s="21"/>
      <c r="RHP143" s="21"/>
      <c r="RHQ143" s="21"/>
      <c r="RHR143" s="21"/>
      <c r="RHS143" s="21"/>
      <c r="RHT143" s="21"/>
      <c r="RHU143" s="21"/>
      <c r="RHV143" s="21"/>
      <c r="RHW143" s="21"/>
      <c r="RHX143" s="21"/>
      <c r="RHY143" s="21"/>
      <c r="RHZ143" s="21"/>
      <c r="RIA143" s="21"/>
      <c r="RIB143" s="21"/>
      <c r="RIC143" s="21"/>
      <c r="RID143" s="21"/>
      <c r="RIE143" s="21"/>
      <c r="RIF143" s="21"/>
      <c r="RIG143" s="21"/>
      <c r="RIH143" s="21"/>
      <c r="RII143" s="21"/>
      <c r="RIJ143" s="21"/>
      <c r="RIK143" s="21"/>
      <c r="RIL143" s="21"/>
      <c r="RIM143" s="21"/>
      <c r="RIN143" s="21"/>
      <c r="RIO143" s="21"/>
      <c r="RIP143" s="21"/>
      <c r="RIQ143" s="21"/>
      <c r="RIR143" s="21"/>
      <c r="RIS143" s="21"/>
      <c r="RIT143" s="21"/>
      <c r="RIU143" s="21"/>
      <c r="RIV143" s="21"/>
      <c r="RIW143" s="21"/>
      <c r="RIX143" s="21"/>
      <c r="RIY143" s="21"/>
      <c r="RIZ143" s="21"/>
      <c r="RJA143" s="21"/>
      <c r="RJB143" s="21"/>
      <c r="RJC143" s="21"/>
      <c r="RJD143" s="21"/>
      <c r="RJE143" s="21"/>
      <c r="RJF143" s="21"/>
      <c r="RJG143" s="21"/>
      <c r="RJH143" s="21"/>
      <c r="RJI143" s="21"/>
      <c r="RJJ143" s="21"/>
      <c r="RJK143" s="21"/>
      <c r="RJL143" s="21"/>
      <c r="RJM143" s="21"/>
      <c r="RJN143" s="21"/>
      <c r="RJO143" s="21"/>
      <c r="RJP143" s="21"/>
      <c r="RJQ143" s="21"/>
      <c r="RJR143" s="21"/>
      <c r="RJS143" s="21"/>
      <c r="RJT143" s="21"/>
      <c r="RJU143" s="21"/>
      <c r="RJV143" s="21"/>
      <c r="RJW143" s="21"/>
      <c r="RJX143" s="21"/>
      <c r="RJY143" s="21"/>
      <c r="RJZ143" s="21"/>
      <c r="RKA143" s="21"/>
      <c r="RKB143" s="21"/>
      <c r="RKC143" s="21"/>
      <c r="RKD143" s="21"/>
      <c r="RKE143" s="21"/>
      <c r="RKF143" s="21"/>
      <c r="RKG143" s="21"/>
      <c r="RKH143" s="21"/>
      <c r="RKI143" s="21"/>
      <c r="RKJ143" s="21"/>
      <c r="RKK143" s="21"/>
      <c r="RKL143" s="21"/>
      <c r="RKM143" s="21"/>
      <c r="RKN143" s="21"/>
      <c r="RKO143" s="21"/>
      <c r="RKP143" s="21"/>
      <c r="RKQ143" s="21"/>
      <c r="RKR143" s="21"/>
      <c r="RKS143" s="21"/>
      <c r="RKT143" s="21"/>
      <c r="RKU143" s="21"/>
      <c r="RKV143" s="21"/>
      <c r="RKW143" s="21"/>
      <c r="RKX143" s="21"/>
      <c r="RKY143" s="21"/>
      <c r="RKZ143" s="21"/>
      <c r="RLA143" s="21"/>
      <c r="RLB143" s="21"/>
      <c r="RLC143" s="21"/>
      <c r="RLD143" s="21"/>
      <c r="RLE143" s="21"/>
      <c r="RLF143" s="21"/>
      <c r="RLG143" s="21"/>
      <c r="RLH143" s="21"/>
      <c r="RLI143" s="21"/>
      <c r="RLJ143" s="21"/>
      <c r="RLK143" s="21"/>
      <c r="RLL143" s="21"/>
      <c r="RLM143" s="21"/>
      <c r="RLN143" s="21"/>
      <c r="RLO143" s="21"/>
      <c r="RLP143" s="21"/>
      <c r="RLQ143" s="21"/>
      <c r="RLR143" s="21"/>
      <c r="RLS143" s="21"/>
      <c r="RLT143" s="21"/>
      <c r="RLU143" s="21"/>
      <c r="RLV143" s="21"/>
      <c r="RLW143" s="21"/>
      <c r="RLX143" s="21"/>
      <c r="RLY143" s="21"/>
      <c r="RLZ143" s="21"/>
      <c r="RMA143" s="21"/>
      <c r="RMB143" s="21"/>
      <c r="RMC143" s="21"/>
      <c r="RMD143" s="21"/>
      <c r="RME143" s="21"/>
      <c r="RMF143" s="21"/>
      <c r="RMG143" s="21"/>
      <c r="RMH143" s="21"/>
      <c r="RMI143" s="21"/>
      <c r="RMJ143" s="21"/>
      <c r="RMK143" s="21"/>
      <c r="RML143" s="21"/>
      <c r="RMM143" s="21"/>
      <c r="RMN143" s="21"/>
      <c r="RMO143" s="21"/>
      <c r="RMP143" s="21"/>
      <c r="RMQ143" s="21"/>
      <c r="RMR143" s="21"/>
      <c r="RMS143" s="21"/>
      <c r="RMT143" s="21"/>
      <c r="RMU143" s="21"/>
      <c r="RMV143" s="21"/>
      <c r="RMW143" s="21"/>
      <c r="RMX143" s="21"/>
      <c r="RMY143" s="21"/>
      <c r="RMZ143" s="21"/>
      <c r="RNA143" s="21"/>
      <c r="RNB143" s="21"/>
      <c r="RNC143" s="21"/>
      <c r="RND143" s="21"/>
      <c r="RNE143" s="21"/>
      <c r="RNF143" s="21"/>
      <c r="RNG143" s="21"/>
      <c r="RNH143" s="21"/>
      <c r="RNI143" s="21"/>
      <c r="RNJ143" s="21"/>
      <c r="RNK143" s="21"/>
      <c r="RNL143" s="21"/>
      <c r="RNM143" s="21"/>
      <c r="RNN143" s="21"/>
      <c r="RNO143" s="21"/>
      <c r="RNP143" s="21"/>
      <c r="RNQ143" s="21"/>
      <c r="RNR143" s="21"/>
      <c r="RNS143" s="21"/>
      <c r="RNT143" s="21"/>
      <c r="RNU143" s="21"/>
      <c r="RNV143" s="21"/>
      <c r="RNW143" s="21"/>
      <c r="RNX143" s="21"/>
      <c r="RNY143" s="21"/>
      <c r="RNZ143" s="21"/>
      <c r="ROA143" s="21"/>
      <c r="ROB143" s="21"/>
      <c r="ROC143" s="21"/>
      <c r="ROD143" s="21"/>
      <c r="ROE143" s="21"/>
      <c r="ROF143" s="21"/>
      <c r="ROG143" s="21"/>
      <c r="ROH143" s="21"/>
      <c r="ROI143" s="21"/>
      <c r="ROJ143" s="21"/>
      <c r="ROK143" s="21"/>
      <c r="ROL143" s="21"/>
      <c r="ROM143" s="21"/>
      <c r="RON143" s="21"/>
      <c r="ROO143" s="21"/>
      <c r="ROP143" s="21"/>
      <c r="ROQ143" s="21"/>
      <c r="ROR143" s="21"/>
      <c r="ROS143" s="21"/>
      <c r="ROT143" s="21"/>
      <c r="ROU143" s="21"/>
      <c r="ROV143" s="21"/>
      <c r="ROW143" s="21"/>
      <c r="ROX143" s="21"/>
      <c r="ROY143" s="21"/>
      <c r="ROZ143" s="21"/>
      <c r="RPA143" s="21"/>
      <c r="RPB143" s="21"/>
      <c r="RPC143" s="21"/>
      <c r="RPD143" s="21"/>
      <c r="RPE143" s="21"/>
      <c r="RPF143" s="21"/>
      <c r="RPG143" s="21"/>
      <c r="RPH143" s="21"/>
      <c r="RPI143" s="21"/>
      <c r="RPJ143" s="21"/>
      <c r="RPK143" s="21"/>
      <c r="RPL143" s="21"/>
      <c r="RPM143" s="21"/>
      <c r="RPN143" s="21"/>
      <c r="RPO143" s="21"/>
      <c r="RPP143" s="21"/>
      <c r="RPQ143" s="21"/>
      <c r="RPR143" s="21"/>
      <c r="RPS143" s="21"/>
      <c r="RPT143" s="21"/>
      <c r="RPU143" s="21"/>
      <c r="RPV143" s="21"/>
      <c r="RPW143" s="21"/>
      <c r="RPX143" s="21"/>
      <c r="RPY143" s="21"/>
      <c r="RPZ143" s="21"/>
      <c r="RQA143" s="21"/>
      <c r="RQB143" s="21"/>
      <c r="RQC143" s="21"/>
      <c r="RQD143" s="21"/>
      <c r="RQE143" s="21"/>
      <c r="RQF143" s="21"/>
      <c r="RQG143" s="21"/>
      <c r="RQH143" s="21"/>
      <c r="RQI143" s="21"/>
      <c r="RQJ143" s="21"/>
      <c r="RQK143" s="21"/>
      <c r="RQL143" s="21"/>
      <c r="RQM143" s="21"/>
      <c r="RQN143" s="21"/>
      <c r="RQO143" s="21"/>
      <c r="RQP143" s="21"/>
      <c r="RQQ143" s="21"/>
      <c r="RQR143" s="21"/>
      <c r="RQS143" s="21"/>
      <c r="RQT143" s="21"/>
      <c r="RQU143" s="21"/>
      <c r="RQV143" s="21"/>
      <c r="RQW143" s="21"/>
      <c r="RQX143" s="21"/>
      <c r="RQY143" s="21"/>
      <c r="RQZ143" s="21"/>
      <c r="RRA143" s="21"/>
      <c r="RRB143" s="21"/>
      <c r="RRC143" s="21"/>
      <c r="RRD143" s="21"/>
      <c r="RRE143" s="21"/>
      <c r="RRF143" s="21"/>
      <c r="RRG143" s="21"/>
      <c r="RRH143" s="21"/>
      <c r="RRI143" s="21"/>
      <c r="RRJ143" s="21"/>
      <c r="RRK143" s="21"/>
      <c r="RRL143" s="21"/>
      <c r="RRM143" s="21"/>
      <c r="RRN143" s="21"/>
      <c r="RRO143" s="21"/>
      <c r="RRP143" s="21"/>
      <c r="RRQ143" s="21"/>
      <c r="RRR143" s="21"/>
      <c r="RRS143" s="21"/>
      <c r="RRT143" s="21"/>
      <c r="RRU143" s="21"/>
      <c r="RRV143" s="21"/>
      <c r="RRW143" s="21"/>
      <c r="RRX143" s="21"/>
      <c r="RRY143" s="21"/>
      <c r="RRZ143" s="21"/>
      <c r="RSA143" s="21"/>
      <c r="RSB143" s="21"/>
      <c r="RSC143" s="21"/>
      <c r="RSD143" s="21"/>
      <c r="RSE143" s="21"/>
      <c r="RSF143" s="21"/>
      <c r="RSG143" s="21"/>
      <c r="RSH143" s="21"/>
      <c r="RSI143" s="21"/>
      <c r="RSJ143" s="21"/>
      <c r="RSK143" s="21"/>
      <c r="RSL143" s="21"/>
      <c r="RSM143" s="21"/>
      <c r="RSN143" s="21"/>
      <c r="RSO143" s="21"/>
      <c r="RSP143" s="21"/>
      <c r="RSQ143" s="21"/>
      <c r="RSR143" s="21"/>
      <c r="RSS143" s="21"/>
      <c r="RST143" s="21"/>
      <c r="RSU143" s="21"/>
      <c r="RSV143" s="21"/>
      <c r="RSW143" s="21"/>
      <c r="RSX143" s="21"/>
      <c r="RSY143" s="21"/>
      <c r="RSZ143" s="21"/>
      <c r="RTA143" s="21"/>
      <c r="RTB143" s="21"/>
      <c r="RTC143" s="21"/>
      <c r="RTD143" s="21"/>
      <c r="RTE143" s="21"/>
      <c r="RTF143" s="21"/>
      <c r="RTG143" s="21"/>
      <c r="RTH143" s="21"/>
      <c r="RTI143" s="21"/>
      <c r="RTJ143" s="21"/>
      <c r="RTK143" s="21"/>
      <c r="RTL143" s="21"/>
      <c r="RTM143" s="21"/>
      <c r="RTN143" s="21"/>
      <c r="RTO143" s="21"/>
      <c r="RTP143" s="21"/>
      <c r="RTQ143" s="21"/>
      <c r="RTR143" s="21"/>
      <c r="RTS143" s="21"/>
      <c r="RTT143" s="21"/>
      <c r="RTU143" s="21"/>
      <c r="RTV143" s="21"/>
      <c r="RTW143" s="21"/>
      <c r="RTX143" s="21"/>
      <c r="RTY143" s="21"/>
      <c r="RTZ143" s="21"/>
      <c r="RUA143" s="21"/>
      <c r="RUB143" s="21"/>
      <c r="RUC143" s="21"/>
      <c r="RUD143" s="21"/>
      <c r="RUE143" s="21"/>
      <c r="RUF143" s="21"/>
      <c r="RUG143" s="21"/>
      <c r="RUH143" s="21"/>
      <c r="RUI143" s="21"/>
      <c r="RUJ143" s="21"/>
      <c r="RUK143" s="21"/>
      <c r="RUL143" s="21"/>
      <c r="RUM143" s="21"/>
      <c r="RUN143" s="21"/>
      <c r="RUO143" s="21"/>
      <c r="RUP143" s="21"/>
      <c r="RUQ143" s="21"/>
      <c r="RUR143" s="21"/>
      <c r="RUS143" s="21"/>
      <c r="RUT143" s="21"/>
      <c r="RUU143" s="21"/>
      <c r="RUV143" s="21"/>
      <c r="RUW143" s="21"/>
      <c r="RUX143" s="21"/>
      <c r="RUY143" s="21"/>
      <c r="RUZ143" s="21"/>
      <c r="RVA143" s="21"/>
      <c r="RVB143" s="21"/>
      <c r="RVC143" s="21"/>
      <c r="RVD143" s="21"/>
      <c r="RVE143" s="21"/>
      <c r="RVF143" s="21"/>
      <c r="RVG143" s="21"/>
      <c r="RVH143" s="21"/>
      <c r="RVI143" s="21"/>
      <c r="RVJ143" s="21"/>
      <c r="RVK143" s="21"/>
      <c r="RVL143" s="21"/>
      <c r="RVM143" s="21"/>
      <c r="RVN143" s="21"/>
      <c r="RVO143" s="21"/>
      <c r="RVP143" s="21"/>
      <c r="RVQ143" s="21"/>
      <c r="RVR143" s="21"/>
      <c r="RVS143" s="21"/>
      <c r="RVT143" s="21"/>
      <c r="RVU143" s="21"/>
      <c r="RVV143" s="21"/>
      <c r="RVW143" s="21"/>
      <c r="RVX143" s="21"/>
      <c r="RVY143" s="21"/>
      <c r="RVZ143" s="21"/>
      <c r="RWA143" s="21"/>
      <c r="RWB143" s="21"/>
      <c r="RWC143" s="21"/>
      <c r="RWD143" s="21"/>
      <c r="RWE143" s="21"/>
      <c r="RWF143" s="21"/>
      <c r="RWG143" s="21"/>
      <c r="RWH143" s="21"/>
      <c r="RWI143" s="21"/>
      <c r="RWJ143" s="21"/>
      <c r="RWK143" s="21"/>
      <c r="RWL143" s="21"/>
      <c r="RWM143" s="21"/>
      <c r="RWN143" s="21"/>
      <c r="RWO143" s="21"/>
      <c r="RWP143" s="21"/>
      <c r="RWQ143" s="21"/>
      <c r="RWR143" s="21"/>
      <c r="RWS143" s="21"/>
      <c r="RWT143" s="21"/>
      <c r="RWU143" s="21"/>
      <c r="RWV143" s="21"/>
      <c r="RWW143" s="21"/>
      <c r="RWX143" s="21"/>
      <c r="RWY143" s="21"/>
      <c r="RWZ143" s="21"/>
      <c r="RXA143" s="21"/>
      <c r="RXB143" s="21"/>
      <c r="RXC143" s="21"/>
      <c r="RXD143" s="21"/>
      <c r="RXE143" s="21"/>
      <c r="RXF143" s="21"/>
      <c r="RXG143" s="21"/>
      <c r="RXH143" s="21"/>
      <c r="RXI143" s="21"/>
      <c r="RXJ143" s="21"/>
      <c r="RXK143" s="21"/>
      <c r="RXL143" s="21"/>
      <c r="RXM143" s="21"/>
      <c r="RXN143" s="21"/>
      <c r="RXO143" s="21"/>
      <c r="RXP143" s="21"/>
      <c r="RXQ143" s="21"/>
      <c r="RXR143" s="21"/>
      <c r="RXS143" s="21"/>
      <c r="RXT143" s="21"/>
      <c r="RXU143" s="21"/>
      <c r="RXV143" s="21"/>
      <c r="RXW143" s="21"/>
      <c r="RXX143" s="21"/>
      <c r="RXY143" s="21"/>
      <c r="RXZ143" s="21"/>
      <c r="RYA143" s="21"/>
      <c r="RYB143" s="21"/>
      <c r="RYC143" s="21"/>
      <c r="RYD143" s="21"/>
      <c r="RYE143" s="21"/>
      <c r="RYF143" s="21"/>
      <c r="RYG143" s="21"/>
      <c r="RYH143" s="21"/>
      <c r="RYI143" s="21"/>
      <c r="RYJ143" s="21"/>
      <c r="RYK143" s="21"/>
      <c r="RYL143" s="21"/>
      <c r="RYM143" s="21"/>
      <c r="RYN143" s="21"/>
      <c r="RYO143" s="21"/>
      <c r="RYP143" s="21"/>
      <c r="RYQ143" s="21"/>
      <c r="RYR143" s="21"/>
      <c r="RYS143" s="21"/>
      <c r="RYT143" s="21"/>
      <c r="RYU143" s="21"/>
      <c r="RYV143" s="21"/>
      <c r="RYW143" s="21"/>
      <c r="RYX143" s="21"/>
      <c r="RYY143" s="21"/>
      <c r="RYZ143" s="21"/>
      <c r="RZA143" s="21"/>
      <c r="RZB143" s="21"/>
      <c r="RZC143" s="21"/>
      <c r="RZD143" s="21"/>
      <c r="RZE143" s="21"/>
      <c r="RZF143" s="21"/>
      <c r="RZG143" s="21"/>
      <c r="RZH143" s="21"/>
      <c r="RZI143" s="21"/>
      <c r="RZJ143" s="21"/>
      <c r="RZK143" s="21"/>
      <c r="RZL143" s="21"/>
      <c r="RZM143" s="21"/>
      <c r="RZN143" s="21"/>
      <c r="RZO143" s="21"/>
      <c r="RZP143" s="21"/>
      <c r="RZQ143" s="21"/>
      <c r="RZR143" s="21"/>
      <c r="RZS143" s="21"/>
      <c r="RZT143" s="21"/>
      <c r="RZU143" s="21"/>
      <c r="RZV143" s="21"/>
      <c r="RZW143" s="21"/>
      <c r="RZX143" s="21"/>
      <c r="RZY143" s="21"/>
      <c r="RZZ143" s="21"/>
      <c r="SAA143" s="21"/>
      <c r="SAB143" s="21"/>
      <c r="SAC143" s="21"/>
      <c r="SAD143" s="21"/>
      <c r="SAE143" s="21"/>
      <c r="SAF143" s="21"/>
      <c r="SAG143" s="21"/>
      <c r="SAH143" s="21"/>
      <c r="SAI143" s="21"/>
      <c r="SAJ143" s="21"/>
      <c r="SAK143" s="21"/>
      <c r="SAL143" s="21"/>
      <c r="SAM143" s="21"/>
      <c r="SAN143" s="21"/>
      <c r="SAO143" s="21"/>
      <c r="SAP143" s="21"/>
      <c r="SAQ143" s="21"/>
      <c r="SAR143" s="21"/>
      <c r="SAS143" s="21"/>
      <c r="SAT143" s="21"/>
      <c r="SAU143" s="21"/>
      <c r="SAV143" s="21"/>
      <c r="SAW143" s="21"/>
      <c r="SAX143" s="21"/>
      <c r="SAY143" s="21"/>
      <c r="SAZ143" s="21"/>
      <c r="SBA143" s="21"/>
      <c r="SBB143" s="21"/>
      <c r="SBC143" s="21"/>
      <c r="SBD143" s="21"/>
      <c r="SBE143" s="21"/>
      <c r="SBF143" s="21"/>
      <c r="SBG143" s="21"/>
      <c r="SBH143" s="21"/>
      <c r="SBI143" s="21"/>
      <c r="SBJ143" s="21"/>
      <c r="SBK143" s="21"/>
      <c r="SBL143" s="21"/>
      <c r="SBM143" s="21"/>
      <c r="SBN143" s="21"/>
      <c r="SBO143" s="21"/>
      <c r="SBP143" s="21"/>
      <c r="SBQ143" s="21"/>
      <c r="SBR143" s="21"/>
      <c r="SBS143" s="21"/>
      <c r="SBT143" s="21"/>
      <c r="SBU143" s="21"/>
      <c r="SBV143" s="21"/>
      <c r="SBW143" s="21"/>
      <c r="SBX143" s="21"/>
      <c r="SBY143" s="21"/>
      <c r="SBZ143" s="21"/>
      <c r="SCA143" s="21"/>
      <c r="SCB143" s="21"/>
      <c r="SCC143" s="21"/>
      <c r="SCD143" s="21"/>
      <c r="SCE143" s="21"/>
      <c r="SCF143" s="21"/>
      <c r="SCG143" s="21"/>
      <c r="SCH143" s="21"/>
      <c r="SCI143" s="21"/>
      <c r="SCJ143" s="21"/>
      <c r="SCK143" s="21"/>
      <c r="SCL143" s="21"/>
      <c r="SCM143" s="21"/>
      <c r="SCN143" s="21"/>
      <c r="SCO143" s="21"/>
      <c r="SCP143" s="21"/>
      <c r="SCQ143" s="21"/>
      <c r="SCR143" s="21"/>
      <c r="SCS143" s="21"/>
      <c r="SCT143" s="21"/>
      <c r="SCU143" s="21"/>
      <c r="SCV143" s="21"/>
      <c r="SCW143" s="21"/>
      <c r="SCX143" s="21"/>
      <c r="SCY143" s="21"/>
      <c r="SCZ143" s="21"/>
      <c r="SDA143" s="21"/>
      <c r="SDB143" s="21"/>
      <c r="SDC143" s="21"/>
      <c r="SDD143" s="21"/>
      <c r="SDE143" s="21"/>
      <c r="SDF143" s="21"/>
      <c r="SDG143" s="21"/>
      <c r="SDH143" s="21"/>
      <c r="SDI143" s="21"/>
      <c r="SDJ143" s="21"/>
      <c r="SDK143" s="21"/>
      <c r="SDL143" s="21"/>
      <c r="SDM143" s="21"/>
      <c r="SDN143" s="21"/>
      <c r="SDO143" s="21"/>
      <c r="SDP143" s="21"/>
      <c r="SDQ143" s="21"/>
      <c r="SDR143" s="21"/>
      <c r="SDS143" s="21"/>
      <c r="SDT143" s="21"/>
      <c r="SDU143" s="21"/>
      <c r="SDV143" s="21"/>
      <c r="SDW143" s="21"/>
      <c r="SDX143" s="21"/>
      <c r="SDY143" s="21"/>
      <c r="SDZ143" s="21"/>
      <c r="SEA143" s="21"/>
      <c r="SEB143" s="21"/>
      <c r="SEC143" s="21"/>
      <c r="SED143" s="21"/>
      <c r="SEE143" s="21"/>
      <c r="SEF143" s="21"/>
      <c r="SEG143" s="21"/>
      <c r="SEH143" s="21"/>
      <c r="SEI143" s="21"/>
      <c r="SEJ143" s="21"/>
      <c r="SEK143" s="21"/>
      <c r="SEL143" s="21"/>
      <c r="SEM143" s="21"/>
      <c r="SEN143" s="21"/>
      <c r="SEO143" s="21"/>
      <c r="SEP143" s="21"/>
      <c r="SEQ143" s="21"/>
      <c r="SER143" s="21"/>
      <c r="SES143" s="21"/>
      <c r="SET143" s="21"/>
      <c r="SEU143" s="21"/>
      <c r="SEV143" s="21"/>
      <c r="SEW143" s="21"/>
      <c r="SEX143" s="21"/>
      <c r="SEY143" s="21"/>
      <c r="SEZ143" s="21"/>
      <c r="SFA143" s="21"/>
      <c r="SFB143" s="21"/>
      <c r="SFC143" s="21"/>
      <c r="SFD143" s="21"/>
      <c r="SFE143" s="21"/>
      <c r="SFF143" s="21"/>
      <c r="SFG143" s="21"/>
      <c r="SFH143" s="21"/>
      <c r="SFI143" s="21"/>
      <c r="SFJ143" s="21"/>
      <c r="SFK143" s="21"/>
      <c r="SFL143" s="21"/>
      <c r="SFM143" s="21"/>
      <c r="SFN143" s="21"/>
      <c r="SFO143" s="21"/>
      <c r="SFP143" s="21"/>
      <c r="SFQ143" s="21"/>
      <c r="SFR143" s="21"/>
      <c r="SFS143" s="21"/>
      <c r="SFT143" s="21"/>
      <c r="SFU143" s="21"/>
      <c r="SFV143" s="21"/>
      <c r="SFW143" s="21"/>
      <c r="SFX143" s="21"/>
      <c r="SFY143" s="21"/>
      <c r="SFZ143" s="21"/>
      <c r="SGA143" s="21"/>
      <c r="SGB143" s="21"/>
      <c r="SGC143" s="21"/>
      <c r="SGD143" s="21"/>
      <c r="SGE143" s="21"/>
      <c r="SGF143" s="21"/>
      <c r="SGG143" s="21"/>
      <c r="SGH143" s="21"/>
      <c r="SGI143" s="21"/>
      <c r="SGJ143" s="21"/>
      <c r="SGK143" s="21"/>
      <c r="SGL143" s="21"/>
      <c r="SGM143" s="21"/>
      <c r="SGN143" s="21"/>
      <c r="SGO143" s="21"/>
      <c r="SGP143" s="21"/>
      <c r="SGQ143" s="21"/>
      <c r="SGR143" s="21"/>
      <c r="SGS143" s="21"/>
      <c r="SGT143" s="21"/>
      <c r="SGU143" s="21"/>
      <c r="SGV143" s="21"/>
      <c r="SGW143" s="21"/>
      <c r="SGX143" s="21"/>
      <c r="SGY143" s="21"/>
      <c r="SGZ143" s="21"/>
      <c r="SHA143" s="21"/>
      <c r="SHB143" s="21"/>
      <c r="SHC143" s="21"/>
      <c r="SHD143" s="21"/>
      <c r="SHE143" s="21"/>
      <c r="SHF143" s="21"/>
      <c r="SHG143" s="21"/>
      <c r="SHH143" s="21"/>
      <c r="SHI143" s="21"/>
      <c r="SHJ143" s="21"/>
      <c r="SHK143" s="21"/>
      <c r="SHL143" s="21"/>
      <c r="SHM143" s="21"/>
      <c r="SHN143" s="21"/>
      <c r="SHO143" s="21"/>
      <c r="SHP143" s="21"/>
      <c r="SHQ143" s="21"/>
      <c r="SHR143" s="21"/>
      <c r="SHS143" s="21"/>
      <c r="SHT143" s="21"/>
      <c r="SHU143" s="21"/>
      <c r="SHV143" s="21"/>
      <c r="SHW143" s="21"/>
      <c r="SHX143" s="21"/>
      <c r="SHY143" s="21"/>
      <c r="SHZ143" s="21"/>
      <c r="SIA143" s="21"/>
      <c r="SIB143" s="21"/>
      <c r="SIC143" s="21"/>
      <c r="SID143" s="21"/>
      <c r="SIE143" s="21"/>
      <c r="SIF143" s="21"/>
      <c r="SIG143" s="21"/>
      <c r="SIH143" s="21"/>
      <c r="SII143" s="21"/>
      <c r="SIJ143" s="21"/>
      <c r="SIK143" s="21"/>
      <c r="SIL143" s="21"/>
      <c r="SIM143" s="21"/>
      <c r="SIN143" s="21"/>
      <c r="SIO143" s="21"/>
      <c r="SIP143" s="21"/>
      <c r="SIQ143" s="21"/>
      <c r="SIR143" s="21"/>
      <c r="SIS143" s="21"/>
      <c r="SIT143" s="21"/>
      <c r="SIU143" s="21"/>
      <c r="SIV143" s="21"/>
      <c r="SIW143" s="21"/>
      <c r="SIX143" s="21"/>
      <c r="SIY143" s="21"/>
      <c r="SIZ143" s="21"/>
      <c r="SJA143" s="21"/>
      <c r="SJB143" s="21"/>
      <c r="SJC143" s="21"/>
      <c r="SJD143" s="21"/>
      <c r="SJE143" s="21"/>
      <c r="SJF143" s="21"/>
      <c r="SJG143" s="21"/>
      <c r="SJH143" s="21"/>
      <c r="SJI143" s="21"/>
      <c r="SJJ143" s="21"/>
      <c r="SJK143" s="21"/>
      <c r="SJL143" s="21"/>
      <c r="SJM143" s="21"/>
      <c r="SJN143" s="21"/>
      <c r="SJO143" s="21"/>
      <c r="SJP143" s="21"/>
      <c r="SJQ143" s="21"/>
      <c r="SJR143" s="21"/>
      <c r="SJS143" s="21"/>
      <c r="SJT143" s="21"/>
      <c r="SJU143" s="21"/>
      <c r="SJV143" s="21"/>
      <c r="SJW143" s="21"/>
      <c r="SJX143" s="21"/>
      <c r="SJY143" s="21"/>
      <c r="SJZ143" s="21"/>
      <c r="SKA143" s="21"/>
      <c r="SKB143" s="21"/>
      <c r="SKC143" s="21"/>
      <c r="SKD143" s="21"/>
      <c r="SKE143" s="21"/>
      <c r="SKF143" s="21"/>
      <c r="SKG143" s="21"/>
      <c r="SKH143" s="21"/>
      <c r="SKI143" s="21"/>
      <c r="SKJ143" s="21"/>
      <c r="SKK143" s="21"/>
      <c r="SKL143" s="21"/>
      <c r="SKM143" s="21"/>
      <c r="SKN143" s="21"/>
      <c r="SKO143" s="21"/>
      <c r="SKP143" s="21"/>
      <c r="SKQ143" s="21"/>
      <c r="SKR143" s="21"/>
      <c r="SKS143" s="21"/>
      <c r="SKT143" s="21"/>
      <c r="SKU143" s="21"/>
      <c r="SKV143" s="21"/>
      <c r="SKW143" s="21"/>
      <c r="SKX143" s="21"/>
      <c r="SKY143" s="21"/>
      <c r="SKZ143" s="21"/>
      <c r="SLA143" s="21"/>
      <c r="SLB143" s="21"/>
      <c r="SLC143" s="21"/>
      <c r="SLD143" s="21"/>
      <c r="SLE143" s="21"/>
      <c r="SLF143" s="21"/>
      <c r="SLG143" s="21"/>
      <c r="SLH143" s="21"/>
      <c r="SLI143" s="21"/>
      <c r="SLJ143" s="21"/>
      <c r="SLK143" s="21"/>
      <c r="SLL143" s="21"/>
      <c r="SLM143" s="21"/>
      <c r="SLN143" s="21"/>
      <c r="SLO143" s="21"/>
      <c r="SLP143" s="21"/>
      <c r="SLQ143" s="21"/>
      <c r="SLR143" s="21"/>
      <c r="SLS143" s="21"/>
      <c r="SLT143" s="21"/>
      <c r="SLU143" s="21"/>
      <c r="SLV143" s="21"/>
      <c r="SLW143" s="21"/>
      <c r="SLX143" s="21"/>
      <c r="SLY143" s="21"/>
      <c r="SLZ143" s="21"/>
      <c r="SMA143" s="21"/>
      <c r="SMB143" s="21"/>
      <c r="SMC143" s="21"/>
      <c r="SMD143" s="21"/>
      <c r="SME143" s="21"/>
      <c r="SMF143" s="21"/>
      <c r="SMG143" s="21"/>
      <c r="SMH143" s="21"/>
      <c r="SMI143" s="21"/>
      <c r="SMJ143" s="21"/>
      <c r="SMK143" s="21"/>
      <c r="SML143" s="21"/>
      <c r="SMM143" s="21"/>
      <c r="SMN143" s="21"/>
      <c r="SMO143" s="21"/>
      <c r="SMP143" s="21"/>
      <c r="SMQ143" s="21"/>
      <c r="SMR143" s="21"/>
      <c r="SMS143" s="21"/>
      <c r="SMT143" s="21"/>
      <c r="SMU143" s="21"/>
      <c r="SMV143" s="21"/>
      <c r="SMW143" s="21"/>
      <c r="SMX143" s="21"/>
      <c r="SMY143" s="21"/>
      <c r="SMZ143" s="21"/>
      <c r="SNA143" s="21"/>
      <c r="SNB143" s="21"/>
      <c r="SNC143" s="21"/>
      <c r="SND143" s="21"/>
      <c r="SNE143" s="21"/>
      <c r="SNF143" s="21"/>
      <c r="SNG143" s="21"/>
      <c r="SNH143" s="21"/>
      <c r="SNI143" s="21"/>
      <c r="SNJ143" s="21"/>
      <c r="SNK143" s="21"/>
      <c r="SNL143" s="21"/>
      <c r="SNM143" s="21"/>
      <c r="SNN143" s="21"/>
      <c r="SNO143" s="21"/>
      <c r="SNP143" s="21"/>
      <c r="SNQ143" s="21"/>
      <c r="SNR143" s="21"/>
      <c r="SNS143" s="21"/>
      <c r="SNT143" s="21"/>
      <c r="SNU143" s="21"/>
      <c r="SNV143" s="21"/>
      <c r="SNW143" s="21"/>
      <c r="SNX143" s="21"/>
      <c r="SNY143" s="21"/>
      <c r="SNZ143" s="21"/>
      <c r="SOA143" s="21"/>
      <c r="SOB143" s="21"/>
      <c r="SOC143" s="21"/>
      <c r="SOD143" s="21"/>
      <c r="SOE143" s="21"/>
      <c r="SOF143" s="21"/>
      <c r="SOG143" s="21"/>
      <c r="SOH143" s="21"/>
      <c r="SOI143" s="21"/>
      <c r="SOJ143" s="21"/>
      <c r="SOK143" s="21"/>
      <c r="SOL143" s="21"/>
      <c r="SOM143" s="21"/>
      <c r="SON143" s="21"/>
      <c r="SOO143" s="21"/>
      <c r="SOP143" s="21"/>
      <c r="SOQ143" s="21"/>
      <c r="SOR143" s="21"/>
      <c r="SOS143" s="21"/>
      <c r="SOT143" s="21"/>
      <c r="SOU143" s="21"/>
      <c r="SOV143" s="21"/>
      <c r="SOW143" s="21"/>
      <c r="SOX143" s="21"/>
      <c r="SOY143" s="21"/>
      <c r="SOZ143" s="21"/>
      <c r="SPA143" s="21"/>
      <c r="SPB143" s="21"/>
      <c r="SPC143" s="21"/>
      <c r="SPD143" s="21"/>
      <c r="SPE143" s="21"/>
      <c r="SPF143" s="21"/>
      <c r="SPG143" s="21"/>
      <c r="SPH143" s="21"/>
      <c r="SPI143" s="21"/>
      <c r="SPJ143" s="21"/>
      <c r="SPK143" s="21"/>
      <c r="SPL143" s="21"/>
      <c r="SPM143" s="21"/>
      <c r="SPN143" s="21"/>
      <c r="SPO143" s="21"/>
      <c r="SPP143" s="21"/>
      <c r="SPQ143" s="21"/>
      <c r="SPR143" s="21"/>
      <c r="SPS143" s="21"/>
      <c r="SPT143" s="21"/>
      <c r="SPU143" s="21"/>
      <c r="SPV143" s="21"/>
      <c r="SPW143" s="21"/>
      <c r="SPX143" s="21"/>
      <c r="SPY143" s="21"/>
      <c r="SPZ143" s="21"/>
      <c r="SQA143" s="21"/>
      <c r="SQB143" s="21"/>
      <c r="SQC143" s="21"/>
      <c r="SQD143" s="21"/>
      <c r="SQE143" s="21"/>
      <c r="SQF143" s="21"/>
      <c r="SQG143" s="21"/>
      <c r="SQH143" s="21"/>
      <c r="SQI143" s="21"/>
      <c r="SQJ143" s="21"/>
      <c r="SQK143" s="21"/>
      <c r="SQL143" s="21"/>
      <c r="SQM143" s="21"/>
      <c r="SQN143" s="21"/>
      <c r="SQO143" s="21"/>
      <c r="SQP143" s="21"/>
      <c r="SQQ143" s="21"/>
      <c r="SQR143" s="21"/>
      <c r="SQS143" s="21"/>
      <c r="SQT143" s="21"/>
      <c r="SQU143" s="21"/>
      <c r="SQV143" s="21"/>
      <c r="SQW143" s="21"/>
      <c r="SQX143" s="21"/>
      <c r="SQY143" s="21"/>
      <c r="SQZ143" s="21"/>
      <c r="SRA143" s="21"/>
      <c r="SRB143" s="21"/>
      <c r="SRC143" s="21"/>
      <c r="SRD143" s="21"/>
      <c r="SRE143" s="21"/>
      <c r="SRF143" s="21"/>
      <c r="SRG143" s="21"/>
      <c r="SRH143" s="21"/>
      <c r="SRI143" s="21"/>
      <c r="SRJ143" s="21"/>
      <c r="SRK143" s="21"/>
      <c r="SRL143" s="21"/>
      <c r="SRM143" s="21"/>
      <c r="SRN143" s="21"/>
      <c r="SRO143" s="21"/>
      <c r="SRP143" s="21"/>
      <c r="SRQ143" s="21"/>
      <c r="SRR143" s="21"/>
      <c r="SRS143" s="21"/>
      <c r="SRT143" s="21"/>
      <c r="SRU143" s="21"/>
      <c r="SRV143" s="21"/>
      <c r="SRW143" s="21"/>
      <c r="SRX143" s="21"/>
      <c r="SRY143" s="21"/>
      <c r="SRZ143" s="21"/>
      <c r="SSA143" s="21"/>
      <c r="SSB143" s="21"/>
      <c r="SSC143" s="21"/>
      <c r="SSD143" s="21"/>
      <c r="SSE143" s="21"/>
      <c r="SSF143" s="21"/>
      <c r="SSG143" s="21"/>
      <c r="SSH143" s="21"/>
      <c r="SSI143" s="21"/>
      <c r="SSJ143" s="21"/>
      <c r="SSK143" s="21"/>
      <c r="SSL143" s="21"/>
      <c r="SSM143" s="21"/>
      <c r="SSN143" s="21"/>
      <c r="SSO143" s="21"/>
      <c r="SSP143" s="21"/>
      <c r="SSQ143" s="21"/>
      <c r="SSR143" s="21"/>
      <c r="SSS143" s="21"/>
      <c r="SST143" s="21"/>
      <c r="SSU143" s="21"/>
      <c r="SSV143" s="21"/>
      <c r="SSW143" s="21"/>
      <c r="SSX143" s="21"/>
      <c r="SSY143" s="21"/>
      <c r="SSZ143" s="21"/>
      <c r="STA143" s="21"/>
      <c r="STB143" s="21"/>
      <c r="STC143" s="21"/>
      <c r="STD143" s="21"/>
      <c r="STE143" s="21"/>
      <c r="STF143" s="21"/>
      <c r="STG143" s="21"/>
      <c r="STH143" s="21"/>
      <c r="STI143" s="21"/>
      <c r="STJ143" s="21"/>
      <c r="STK143" s="21"/>
      <c r="STL143" s="21"/>
      <c r="STM143" s="21"/>
      <c r="STN143" s="21"/>
      <c r="STO143" s="21"/>
      <c r="STP143" s="21"/>
      <c r="STQ143" s="21"/>
      <c r="STR143" s="21"/>
      <c r="STS143" s="21"/>
      <c r="STT143" s="21"/>
      <c r="STU143" s="21"/>
      <c r="STV143" s="21"/>
      <c r="STW143" s="21"/>
      <c r="STX143" s="21"/>
      <c r="STY143" s="21"/>
      <c r="STZ143" s="21"/>
      <c r="SUA143" s="21"/>
      <c r="SUB143" s="21"/>
      <c r="SUC143" s="21"/>
      <c r="SUD143" s="21"/>
      <c r="SUE143" s="21"/>
      <c r="SUF143" s="21"/>
      <c r="SUG143" s="21"/>
      <c r="SUH143" s="21"/>
      <c r="SUI143" s="21"/>
      <c r="SUJ143" s="21"/>
      <c r="SUK143" s="21"/>
      <c r="SUL143" s="21"/>
      <c r="SUM143" s="21"/>
      <c r="SUN143" s="21"/>
      <c r="SUO143" s="21"/>
      <c r="SUP143" s="21"/>
      <c r="SUQ143" s="21"/>
      <c r="SUR143" s="21"/>
      <c r="SUS143" s="21"/>
      <c r="SUT143" s="21"/>
      <c r="SUU143" s="21"/>
      <c r="SUV143" s="21"/>
      <c r="SUW143" s="21"/>
      <c r="SUX143" s="21"/>
      <c r="SUY143" s="21"/>
      <c r="SUZ143" s="21"/>
      <c r="SVA143" s="21"/>
      <c r="SVB143" s="21"/>
      <c r="SVC143" s="21"/>
      <c r="SVD143" s="21"/>
      <c r="SVE143" s="21"/>
      <c r="SVF143" s="21"/>
      <c r="SVG143" s="21"/>
      <c r="SVH143" s="21"/>
      <c r="SVI143" s="21"/>
      <c r="SVJ143" s="21"/>
      <c r="SVK143" s="21"/>
      <c r="SVL143" s="21"/>
      <c r="SVM143" s="21"/>
      <c r="SVN143" s="21"/>
      <c r="SVO143" s="21"/>
      <c r="SVP143" s="21"/>
      <c r="SVQ143" s="21"/>
      <c r="SVR143" s="21"/>
      <c r="SVS143" s="21"/>
      <c r="SVT143" s="21"/>
      <c r="SVU143" s="21"/>
      <c r="SVV143" s="21"/>
      <c r="SVW143" s="21"/>
      <c r="SVX143" s="21"/>
      <c r="SVY143" s="21"/>
      <c r="SVZ143" s="21"/>
      <c r="SWA143" s="21"/>
      <c r="SWB143" s="21"/>
      <c r="SWC143" s="21"/>
      <c r="SWD143" s="21"/>
      <c r="SWE143" s="21"/>
      <c r="SWF143" s="21"/>
      <c r="SWG143" s="21"/>
      <c r="SWH143" s="21"/>
      <c r="SWI143" s="21"/>
      <c r="SWJ143" s="21"/>
      <c r="SWK143" s="21"/>
      <c r="SWL143" s="21"/>
      <c r="SWM143" s="21"/>
      <c r="SWN143" s="21"/>
      <c r="SWO143" s="21"/>
      <c r="SWP143" s="21"/>
      <c r="SWQ143" s="21"/>
      <c r="SWR143" s="21"/>
      <c r="SWS143" s="21"/>
      <c r="SWT143" s="21"/>
      <c r="SWU143" s="21"/>
      <c r="SWV143" s="21"/>
      <c r="SWW143" s="21"/>
      <c r="SWX143" s="21"/>
      <c r="SWY143" s="21"/>
      <c r="SWZ143" s="21"/>
      <c r="SXA143" s="21"/>
      <c r="SXB143" s="21"/>
      <c r="SXC143" s="21"/>
      <c r="SXD143" s="21"/>
      <c r="SXE143" s="21"/>
      <c r="SXF143" s="21"/>
      <c r="SXG143" s="21"/>
      <c r="SXH143" s="21"/>
      <c r="SXI143" s="21"/>
      <c r="SXJ143" s="21"/>
      <c r="SXK143" s="21"/>
      <c r="SXL143" s="21"/>
      <c r="SXM143" s="21"/>
      <c r="SXN143" s="21"/>
      <c r="SXO143" s="21"/>
      <c r="SXP143" s="21"/>
      <c r="SXQ143" s="21"/>
      <c r="SXR143" s="21"/>
      <c r="SXS143" s="21"/>
      <c r="SXT143" s="21"/>
      <c r="SXU143" s="21"/>
      <c r="SXV143" s="21"/>
      <c r="SXW143" s="21"/>
      <c r="SXX143" s="21"/>
      <c r="SXY143" s="21"/>
      <c r="SXZ143" s="21"/>
      <c r="SYA143" s="21"/>
      <c r="SYB143" s="21"/>
      <c r="SYC143" s="21"/>
      <c r="SYD143" s="21"/>
      <c r="SYE143" s="21"/>
      <c r="SYF143" s="21"/>
      <c r="SYG143" s="21"/>
      <c r="SYH143" s="21"/>
      <c r="SYI143" s="21"/>
      <c r="SYJ143" s="21"/>
      <c r="SYK143" s="21"/>
      <c r="SYL143" s="21"/>
      <c r="SYM143" s="21"/>
      <c r="SYN143" s="21"/>
      <c r="SYO143" s="21"/>
      <c r="SYP143" s="21"/>
      <c r="SYQ143" s="21"/>
      <c r="SYR143" s="21"/>
      <c r="SYS143" s="21"/>
      <c r="SYT143" s="21"/>
      <c r="SYU143" s="21"/>
      <c r="SYV143" s="21"/>
      <c r="SYW143" s="21"/>
      <c r="SYX143" s="21"/>
      <c r="SYY143" s="21"/>
      <c r="SYZ143" s="21"/>
      <c r="SZA143" s="21"/>
      <c r="SZB143" s="21"/>
      <c r="SZC143" s="21"/>
      <c r="SZD143" s="21"/>
      <c r="SZE143" s="21"/>
      <c r="SZF143" s="21"/>
      <c r="SZG143" s="21"/>
      <c r="SZH143" s="21"/>
      <c r="SZI143" s="21"/>
      <c r="SZJ143" s="21"/>
      <c r="SZK143" s="21"/>
      <c r="SZL143" s="21"/>
      <c r="SZM143" s="21"/>
      <c r="SZN143" s="21"/>
      <c r="SZO143" s="21"/>
      <c r="SZP143" s="21"/>
      <c r="SZQ143" s="21"/>
      <c r="SZR143" s="21"/>
      <c r="SZS143" s="21"/>
      <c r="SZT143" s="21"/>
      <c r="SZU143" s="21"/>
      <c r="SZV143" s="21"/>
      <c r="SZW143" s="21"/>
      <c r="SZX143" s="21"/>
      <c r="SZY143" s="21"/>
      <c r="SZZ143" s="21"/>
      <c r="TAA143" s="21"/>
      <c r="TAB143" s="21"/>
      <c r="TAC143" s="21"/>
      <c r="TAD143" s="21"/>
      <c r="TAE143" s="21"/>
      <c r="TAF143" s="21"/>
      <c r="TAG143" s="21"/>
      <c r="TAH143" s="21"/>
      <c r="TAI143" s="21"/>
      <c r="TAJ143" s="21"/>
      <c r="TAK143" s="21"/>
      <c r="TAL143" s="21"/>
      <c r="TAM143" s="21"/>
      <c r="TAN143" s="21"/>
      <c r="TAO143" s="21"/>
      <c r="TAP143" s="21"/>
      <c r="TAQ143" s="21"/>
      <c r="TAR143" s="21"/>
      <c r="TAS143" s="21"/>
      <c r="TAT143" s="21"/>
      <c r="TAU143" s="21"/>
      <c r="TAV143" s="21"/>
      <c r="TAW143" s="21"/>
      <c r="TAX143" s="21"/>
      <c r="TAY143" s="21"/>
      <c r="TAZ143" s="21"/>
      <c r="TBA143" s="21"/>
      <c r="TBB143" s="21"/>
      <c r="TBC143" s="21"/>
      <c r="TBD143" s="21"/>
      <c r="TBE143" s="21"/>
      <c r="TBF143" s="21"/>
      <c r="TBG143" s="21"/>
      <c r="TBH143" s="21"/>
      <c r="TBI143" s="21"/>
      <c r="TBJ143" s="21"/>
      <c r="TBK143" s="21"/>
      <c r="TBL143" s="21"/>
      <c r="TBM143" s="21"/>
      <c r="TBN143" s="21"/>
      <c r="TBO143" s="21"/>
      <c r="TBP143" s="21"/>
      <c r="TBQ143" s="21"/>
      <c r="TBR143" s="21"/>
      <c r="TBS143" s="21"/>
      <c r="TBT143" s="21"/>
      <c r="TBU143" s="21"/>
      <c r="TBV143" s="21"/>
      <c r="TBW143" s="21"/>
      <c r="TBX143" s="21"/>
      <c r="TBY143" s="21"/>
      <c r="TBZ143" s="21"/>
      <c r="TCA143" s="21"/>
      <c r="TCB143" s="21"/>
      <c r="TCC143" s="21"/>
      <c r="TCD143" s="21"/>
      <c r="TCE143" s="21"/>
      <c r="TCF143" s="21"/>
      <c r="TCG143" s="21"/>
      <c r="TCH143" s="21"/>
      <c r="TCI143" s="21"/>
      <c r="TCJ143" s="21"/>
      <c r="TCK143" s="21"/>
      <c r="TCL143" s="21"/>
      <c r="TCM143" s="21"/>
      <c r="TCN143" s="21"/>
      <c r="TCO143" s="21"/>
      <c r="TCP143" s="21"/>
      <c r="TCQ143" s="21"/>
      <c r="TCR143" s="21"/>
      <c r="TCS143" s="21"/>
      <c r="TCT143" s="21"/>
      <c r="TCU143" s="21"/>
      <c r="TCV143" s="21"/>
      <c r="TCW143" s="21"/>
      <c r="TCX143" s="21"/>
      <c r="TCY143" s="21"/>
      <c r="TCZ143" s="21"/>
      <c r="TDA143" s="21"/>
      <c r="TDB143" s="21"/>
      <c r="TDC143" s="21"/>
      <c r="TDD143" s="21"/>
      <c r="TDE143" s="21"/>
      <c r="TDF143" s="21"/>
      <c r="TDG143" s="21"/>
      <c r="TDH143" s="21"/>
      <c r="TDI143" s="21"/>
      <c r="TDJ143" s="21"/>
      <c r="TDK143" s="21"/>
      <c r="TDL143" s="21"/>
      <c r="TDM143" s="21"/>
      <c r="TDN143" s="21"/>
      <c r="TDO143" s="21"/>
      <c r="TDP143" s="21"/>
      <c r="TDQ143" s="21"/>
      <c r="TDR143" s="21"/>
      <c r="TDS143" s="21"/>
      <c r="TDT143" s="21"/>
      <c r="TDU143" s="21"/>
      <c r="TDV143" s="21"/>
      <c r="TDW143" s="21"/>
      <c r="TDX143" s="21"/>
      <c r="TDY143" s="21"/>
      <c r="TDZ143" s="21"/>
      <c r="TEA143" s="21"/>
      <c r="TEB143" s="21"/>
      <c r="TEC143" s="21"/>
      <c r="TED143" s="21"/>
      <c r="TEE143" s="21"/>
      <c r="TEF143" s="21"/>
      <c r="TEG143" s="21"/>
      <c r="TEH143" s="21"/>
      <c r="TEI143" s="21"/>
      <c r="TEJ143" s="21"/>
      <c r="TEK143" s="21"/>
      <c r="TEL143" s="21"/>
      <c r="TEM143" s="21"/>
      <c r="TEN143" s="21"/>
      <c r="TEO143" s="21"/>
      <c r="TEP143" s="21"/>
      <c r="TEQ143" s="21"/>
      <c r="TER143" s="21"/>
      <c r="TES143" s="21"/>
      <c r="TET143" s="21"/>
      <c r="TEU143" s="21"/>
      <c r="TEV143" s="21"/>
      <c r="TEW143" s="21"/>
      <c r="TEX143" s="21"/>
      <c r="TEY143" s="21"/>
      <c r="TEZ143" s="21"/>
      <c r="TFA143" s="21"/>
      <c r="TFB143" s="21"/>
      <c r="TFC143" s="21"/>
      <c r="TFD143" s="21"/>
      <c r="TFE143" s="21"/>
      <c r="TFF143" s="21"/>
      <c r="TFG143" s="21"/>
      <c r="TFH143" s="21"/>
      <c r="TFI143" s="21"/>
      <c r="TFJ143" s="21"/>
      <c r="TFK143" s="21"/>
      <c r="TFL143" s="21"/>
      <c r="TFM143" s="21"/>
      <c r="TFN143" s="21"/>
      <c r="TFO143" s="21"/>
      <c r="TFP143" s="21"/>
      <c r="TFQ143" s="21"/>
      <c r="TFR143" s="21"/>
      <c r="TFS143" s="21"/>
      <c r="TFT143" s="21"/>
      <c r="TFU143" s="21"/>
      <c r="TFV143" s="21"/>
      <c r="TFW143" s="21"/>
      <c r="TFX143" s="21"/>
      <c r="TFY143" s="21"/>
      <c r="TFZ143" s="21"/>
      <c r="TGA143" s="21"/>
      <c r="TGB143" s="21"/>
      <c r="TGC143" s="21"/>
      <c r="TGD143" s="21"/>
      <c r="TGE143" s="21"/>
      <c r="TGF143" s="21"/>
      <c r="TGG143" s="21"/>
      <c r="TGH143" s="21"/>
      <c r="TGI143" s="21"/>
      <c r="TGJ143" s="21"/>
      <c r="TGK143" s="21"/>
      <c r="TGL143" s="21"/>
      <c r="TGM143" s="21"/>
      <c r="TGN143" s="21"/>
      <c r="TGO143" s="21"/>
      <c r="TGP143" s="21"/>
      <c r="TGQ143" s="21"/>
      <c r="TGR143" s="21"/>
      <c r="TGS143" s="21"/>
      <c r="TGT143" s="21"/>
      <c r="TGU143" s="21"/>
      <c r="TGV143" s="21"/>
      <c r="TGW143" s="21"/>
      <c r="TGX143" s="21"/>
      <c r="TGY143" s="21"/>
      <c r="TGZ143" s="21"/>
      <c r="THA143" s="21"/>
      <c r="THB143" s="21"/>
      <c r="THC143" s="21"/>
      <c r="THD143" s="21"/>
      <c r="THE143" s="21"/>
      <c r="THF143" s="21"/>
      <c r="THG143" s="21"/>
      <c r="THH143" s="21"/>
      <c r="THI143" s="21"/>
      <c r="THJ143" s="21"/>
      <c r="THK143" s="21"/>
      <c r="THL143" s="21"/>
      <c r="THM143" s="21"/>
      <c r="THN143" s="21"/>
      <c r="THO143" s="21"/>
      <c r="THP143" s="21"/>
      <c r="THQ143" s="21"/>
      <c r="THR143" s="21"/>
      <c r="THS143" s="21"/>
      <c r="THT143" s="21"/>
      <c r="THU143" s="21"/>
      <c r="THV143" s="21"/>
      <c r="THW143" s="21"/>
      <c r="THX143" s="21"/>
      <c r="THY143" s="21"/>
      <c r="THZ143" s="21"/>
      <c r="TIA143" s="21"/>
      <c r="TIB143" s="21"/>
      <c r="TIC143" s="21"/>
      <c r="TID143" s="21"/>
      <c r="TIE143" s="21"/>
      <c r="TIF143" s="21"/>
      <c r="TIG143" s="21"/>
      <c r="TIH143" s="21"/>
      <c r="TII143" s="21"/>
      <c r="TIJ143" s="21"/>
      <c r="TIK143" s="21"/>
      <c r="TIL143" s="21"/>
      <c r="TIM143" s="21"/>
      <c r="TIN143" s="21"/>
      <c r="TIO143" s="21"/>
      <c r="TIP143" s="21"/>
      <c r="TIQ143" s="21"/>
      <c r="TIR143" s="21"/>
      <c r="TIS143" s="21"/>
      <c r="TIT143" s="21"/>
      <c r="TIU143" s="21"/>
      <c r="TIV143" s="21"/>
      <c r="TIW143" s="21"/>
      <c r="TIX143" s="21"/>
      <c r="TIY143" s="21"/>
      <c r="TIZ143" s="21"/>
      <c r="TJA143" s="21"/>
      <c r="TJB143" s="21"/>
      <c r="TJC143" s="21"/>
      <c r="TJD143" s="21"/>
      <c r="TJE143" s="21"/>
      <c r="TJF143" s="21"/>
      <c r="TJG143" s="21"/>
      <c r="TJH143" s="21"/>
      <c r="TJI143" s="21"/>
      <c r="TJJ143" s="21"/>
      <c r="TJK143" s="21"/>
      <c r="TJL143" s="21"/>
      <c r="TJM143" s="21"/>
      <c r="TJN143" s="21"/>
      <c r="TJO143" s="21"/>
      <c r="TJP143" s="21"/>
      <c r="TJQ143" s="21"/>
      <c r="TJR143" s="21"/>
      <c r="TJS143" s="21"/>
      <c r="TJT143" s="21"/>
      <c r="TJU143" s="21"/>
      <c r="TJV143" s="21"/>
      <c r="TJW143" s="21"/>
      <c r="TJX143" s="21"/>
      <c r="TJY143" s="21"/>
      <c r="TJZ143" s="21"/>
      <c r="TKA143" s="21"/>
      <c r="TKB143" s="21"/>
      <c r="TKC143" s="21"/>
      <c r="TKD143" s="21"/>
      <c r="TKE143" s="21"/>
      <c r="TKF143" s="21"/>
      <c r="TKG143" s="21"/>
      <c r="TKH143" s="21"/>
      <c r="TKI143" s="21"/>
      <c r="TKJ143" s="21"/>
      <c r="TKK143" s="21"/>
      <c r="TKL143" s="21"/>
      <c r="TKM143" s="21"/>
      <c r="TKN143" s="21"/>
      <c r="TKO143" s="21"/>
      <c r="TKP143" s="21"/>
      <c r="TKQ143" s="21"/>
      <c r="TKR143" s="21"/>
      <c r="TKS143" s="21"/>
      <c r="TKT143" s="21"/>
      <c r="TKU143" s="21"/>
      <c r="TKV143" s="21"/>
      <c r="TKW143" s="21"/>
      <c r="TKX143" s="21"/>
      <c r="TKY143" s="21"/>
      <c r="TKZ143" s="21"/>
      <c r="TLA143" s="21"/>
      <c r="TLB143" s="21"/>
      <c r="TLC143" s="21"/>
      <c r="TLD143" s="21"/>
      <c r="TLE143" s="21"/>
      <c r="TLF143" s="21"/>
      <c r="TLG143" s="21"/>
      <c r="TLH143" s="21"/>
      <c r="TLI143" s="21"/>
      <c r="TLJ143" s="21"/>
      <c r="TLK143" s="21"/>
      <c r="TLL143" s="21"/>
      <c r="TLM143" s="21"/>
      <c r="TLN143" s="21"/>
      <c r="TLO143" s="21"/>
      <c r="TLP143" s="21"/>
      <c r="TLQ143" s="21"/>
      <c r="TLR143" s="21"/>
      <c r="TLS143" s="21"/>
      <c r="TLT143" s="21"/>
      <c r="TLU143" s="21"/>
      <c r="TLV143" s="21"/>
      <c r="TLW143" s="21"/>
      <c r="TLX143" s="21"/>
      <c r="TLY143" s="21"/>
      <c r="TLZ143" s="21"/>
      <c r="TMA143" s="21"/>
      <c r="TMB143" s="21"/>
      <c r="TMC143" s="21"/>
      <c r="TMD143" s="21"/>
      <c r="TME143" s="21"/>
      <c r="TMF143" s="21"/>
      <c r="TMG143" s="21"/>
      <c r="TMH143" s="21"/>
      <c r="TMI143" s="21"/>
      <c r="TMJ143" s="21"/>
      <c r="TMK143" s="21"/>
      <c r="TML143" s="21"/>
      <c r="TMM143" s="21"/>
      <c r="TMN143" s="21"/>
      <c r="TMO143" s="21"/>
      <c r="TMP143" s="21"/>
      <c r="TMQ143" s="21"/>
      <c r="TMR143" s="21"/>
      <c r="TMS143" s="21"/>
      <c r="TMT143" s="21"/>
      <c r="TMU143" s="21"/>
      <c r="TMV143" s="21"/>
      <c r="TMW143" s="21"/>
      <c r="TMX143" s="21"/>
      <c r="TMY143" s="21"/>
      <c r="TMZ143" s="21"/>
      <c r="TNA143" s="21"/>
      <c r="TNB143" s="21"/>
      <c r="TNC143" s="21"/>
      <c r="TND143" s="21"/>
      <c r="TNE143" s="21"/>
      <c r="TNF143" s="21"/>
      <c r="TNG143" s="21"/>
      <c r="TNH143" s="21"/>
      <c r="TNI143" s="21"/>
      <c r="TNJ143" s="21"/>
      <c r="TNK143" s="21"/>
      <c r="TNL143" s="21"/>
      <c r="TNM143" s="21"/>
      <c r="TNN143" s="21"/>
      <c r="TNO143" s="21"/>
      <c r="TNP143" s="21"/>
      <c r="TNQ143" s="21"/>
      <c r="TNR143" s="21"/>
      <c r="TNS143" s="21"/>
      <c r="TNT143" s="21"/>
      <c r="TNU143" s="21"/>
      <c r="TNV143" s="21"/>
      <c r="TNW143" s="21"/>
      <c r="TNX143" s="21"/>
      <c r="TNY143" s="21"/>
      <c r="TNZ143" s="21"/>
      <c r="TOA143" s="21"/>
      <c r="TOB143" s="21"/>
      <c r="TOC143" s="21"/>
      <c r="TOD143" s="21"/>
      <c r="TOE143" s="21"/>
      <c r="TOF143" s="21"/>
      <c r="TOG143" s="21"/>
      <c r="TOH143" s="21"/>
      <c r="TOI143" s="21"/>
      <c r="TOJ143" s="21"/>
      <c r="TOK143" s="21"/>
      <c r="TOL143" s="21"/>
      <c r="TOM143" s="21"/>
      <c r="TON143" s="21"/>
      <c r="TOO143" s="21"/>
      <c r="TOP143" s="21"/>
      <c r="TOQ143" s="21"/>
      <c r="TOR143" s="21"/>
      <c r="TOS143" s="21"/>
      <c r="TOT143" s="21"/>
      <c r="TOU143" s="21"/>
      <c r="TOV143" s="21"/>
      <c r="TOW143" s="21"/>
      <c r="TOX143" s="21"/>
      <c r="TOY143" s="21"/>
      <c r="TOZ143" s="21"/>
      <c r="TPA143" s="21"/>
      <c r="TPB143" s="21"/>
      <c r="TPC143" s="21"/>
      <c r="TPD143" s="21"/>
      <c r="TPE143" s="21"/>
      <c r="TPF143" s="21"/>
      <c r="TPG143" s="21"/>
      <c r="TPH143" s="21"/>
      <c r="TPI143" s="21"/>
      <c r="TPJ143" s="21"/>
      <c r="TPK143" s="21"/>
      <c r="TPL143" s="21"/>
      <c r="TPM143" s="21"/>
      <c r="TPN143" s="21"/>
      <c r="TPO143" s="21"/>
      <c r="TPP143" s="21"/>
      <c r="TPQ143" s="21"/>
      <c r="TPR143" s="21"/>
      <c r="TPS143" s="21"/>
      <c r="TPT143" s="21"/>
      <c r="TPU143" s="21"/>
      <c r="TPV143" s="21"/>
      <c r="TPW143" s="21"/>
      <c r="TPX143" s="21"/>
      <c r="TPY143" s="21"/>
      <c r="TPZ143" s="21"/>
      <c r="TQA143" s="21"/>
      <c r="TQB143" s="21"/>
      <c r="TQC143" s="21"/>
      <c r="TQD143" s="21"/>
      <c r="TQE143" s="21"/>
      <c r="TQF143" s="21"/>
      <c r="TQG143" s="21"/>
      <c r="TQH143" s="21"/>
      <c r="TQI143" s="21"/>
      <c r="TQJ143" s="21"/>
      <c r="TQK143" s="21"/>
      <c r="TQL143" s="21"/>
      <c r="TQM143" s="21"/>
      <c r="TQN143" s="21"/>
      <c r="TQO143" s="21"/>
      <c r="TQP143" s="21"/>
      <c r="TQQ143" s="21"/>
      <c r="TQR143" s="21"/>
      <c r="TQS143" s="21"/>
      <c r="TQT143" s="21"/>
      <c r="TQU143" s="21"/>
      <c r="TQV143" s="21"/>
      <c r="TQW143" s="21"/>
      <c r="TQX143" s="21"/>
      <c r="TQY143" s="21"/>
      <c r="TQZ143" s="21"/>
      <c r="TRA143" s="21"/>
      <c r="TRB143" s="21"/>
      <c r="TRC143" s="21"/>
      <c r="TRD143" s="21"/>
      <c r="TRE143" s="21"/>
      <c r="TRF143" s="21"/>
      <c r="TRG143" s="21"/>
      <c r="TRH143" s="21"/>
      <c r="TRI143" s="21"/>
      <c r="TRJ143" s="21"/>
      <c r="TRK143" s="21"/>
      <c r="TRL143" s="21"/>
      <c r="TRM143" s="21"/>
      <c r="TRN143" s="21"/>
      <c r="TRO143" s="21"/>
      <c r="TRP143" s="21"/>
      <c r="TRQ143" s="21"/>
      <c r="TRR143" s="21"/>
      <c r="TRS143" s="21"/>
      <c r="TRT143" s="21"/>
      <c r="TRU143" s="21"/>
      <c r="TRV143" s="21"/>
      <c r="TRW143" s="21"/>
      <c r="TRX143" s="21"/>
      <c r="TRY143" s="21"/>
      <c r="TRZ143" s="21"/>
      <c r="TSA143" s="21"/>
      <c r="TSB143" s="21"/>
      <c r="TSC143" s="21"/>
      <c r="TSD143" s="21"/>
      <c r="TSE143" s="21"/>
      <c r="TSF143" s="21"/>
      <c r="TSG143" s="21"/>
      <c r="TSH143" s="21"/>
      <c r="TSI143" s="21"/>
      <c r="TSJ143" s="21"/>
      <c r="TSK143" s="21"/>
      <c r="TSL143" s="21"/>
      <c r="TSM143" s="21"/>
      <c r="TSN143" s="21"/>
      <c r="TSO143" s="21"/>
      <c r="TSP143" s="21"/>
      <c r="TSQ143" s="21"/>
      <c r="TSR143" s="21"/>
      <c r="TSS143" s="21"/>
      <c r="TST143" s="21"/>
      <c r="TSU143" s="21"/>
      <c r="TSV143" s="21"/>
      <c r="TSW143" s="21"/>
      <c r="TSX143" s="21"/>
      <c r="TSY143" s="21"/>
      <c r="TSZ143" s="21"/>
      <c r="TTA143" s="21"/>
      <c r="TTB143" s="21"/>
      <c r="TTC143" s="21"/>
      <c r="TTD143" s="21"/>
      <c r="TTE143" s="21"/>
      <c r="TTF143" s="21"/>
      <c r="TTG143" s="21"/>
      <c r="TTH143" s="21"/>
      <c r="TTI143" s="21"/>
      <c r="TTJ143" s="21"/>
      <c r="TTK143" s="21"/>
      <c r="TTL143" s="21"/>
      <c r="TTM143" s="21"/>
      <c r="TTN143" s="21"/>
      <c r="TTO143" s="21"/>
      <c r="TTP143" s="21"/>
      <c r="TTQ143" s="21"/>
      <c r="TTR143" s="21"/>
      <c r="TTS143" s="21"/>
      <c r="TTT143" s="21"/>
      <c r="TTU143" s="21"/>
      <c r="TTV143" s="21"/>
      <c r="TTW143" s="21"/>
      <c r="TTX143" s="21"/>
      <c r="TTY143" s="21"/>
      <c r="TTZ143" s="21"/>
      <c r="TUA143" s="21"/>
      <c r="TUB143" s="21"/>
      <c r="TUC143" s="21"/>
      <c r="TUD143" s="21"/>
      <c r="TUE143" s="21"/>
      <c r="TUF143" s="21"/>
      <c r="TUG143" s="21"/>
      <c r="TUH143" s="21"/>
      <c r="TUI143" s="21"/>
      <c r="TUJ143" s="21"/>
      <c r="TUK143" s="21"/>
      <c r="TUL143" s="21"/>
      <c r="TUM143" s="21"/>
      <c r="TUN143" s="21"/>
      <c r="TUO143" s="21"/>
      <c r="TUP143" s="21"/>
      <c r="TUQ143" s="21"/>
      <c r="TUR143" s="21"/>
      <c r="TUS143" s="21"/>
      <c r="TUT143" s="21"/>
      <c r="TUU143" s="21"/>
      <c r="TUV143" s="21"/>
      <c r="TUW143" s="21"/>
      <c r="TUX143" s="21"/>
      <c r="TUY143" s="21"/>
      <c r="TUZ143" s="21"/>
      <c r="TVA143" s="21"/>
      <c r="TVB143" s="21"/>
      <c r="TVC143" s="21"/>
      <c r="TVD143" s="21"/>
      <c r="TVE143" s="21"/>
      <c r="TVF143" s="21"/>
      <c r="TVG143" s="21"/>
      <c r="TVH143" s="21"/>
      <c r="TVI143" s="21"/>
      <c r="TVJ143" s="21"/>
      <c r="TVK143" s="21"/>
      <c r="TVL143" s="21"/>
      <c r="TVM143" s="21"/>
      <c r="TVN143" s="21"/>
      <c r="TVO143" s="21"/>
      <c r="TVP143" s="21"/>
      <c r="TVQ143" s="21"/>
      <c r="TVR143" s="21"/>
      <c r="TVS143" s="21"/>
      <c r="TVT143" s="21"/>
      <c r="TVU143" s="21"/>
      <c r="TVV143" s="21"/>
      <c r="TVW143" s="21"/>
      <c r="TVX143" s="21"/>
      <c r="TVY143" s="21"/>
      <c r="TVZ143" s="21"/>
      <c r="TWA143" s="21"/>
      <c r="TWB143" s="21"/>
      <c r="TWC143" s="21"/>
      <c r="TWD143" s="21"/>
      <c r="TWE143" s="21"/>
      <c r="TWF143" s="21"/>
      <c r="TWG143" s="21"/>
      <c r="TWH143" s="21"/>
      <c r="TWI143" s="21"/>
      <c r="TWJ143" s="21"/>
      <c r="TWK143" s="21"/>
      <c r="TWL143" s="21"/>
      <c r="TWM143" s="21"/>
      <c r="TWN143" s="21"/>
      <c r="TWO143" s="21"/>
      <c r="TWP143" s="21"/>
      <c r="TWQ143" s="21"/>
      <c r="TWR143" s="21"/>
      <c r="TWS143" s="21"/>
      <c r="TWT143" s="21"/>
      <c r="TWU143" s="21"/>
      <c r="TWV143" s="21"/>
      <c r="TWW143" s="21"/>
      <c r="TWX143" s="21"/>
      <c r="TWY143" s="21"/>
      <c r="TWZ143" s="21"/>
      <c r="TXA143" s="21"/>
      <c r="TXB143" s="21"/>
      <c r="TXC143" s="21"/>
      <c r="TXD143" s="21"/>
      <c r="TXE143" s="21"/>
      <c r="TXF143" s="21"/>
      <c r="TXG143" s="21"/>
      <c r="TXH143" s="21"/>
      <c r="TXI143" s="21"/>
      <c r="TXJ143" s="21"/>
      <c r="TXK143" s="21"/>
      <c r="TXL143" s="21"/>
      <c r="TXM143" s="21"/>
      <c r="TXN143" s="21"/>
      <c r="TXO143" s="21"/>
      <c r="TXP143" s="21"/>
      <c r="TXQ143" s="21"/>
      <c r="TXR143" s="21"/>
      <c r="TXS143" s="21"/>
      <c r="TXT143" s="21"/>
      <c r="TXU143" s="21"/>
      <c r="TXV143" s="21"/>
      <c r="TXW143" s="21"/>
      <c r="TXX143" s="21"/>
      <c r="TXY143" s="21"/>
      <c r="TXZ143" s="21"/>
      <c r="TYA143" s="21"/>
      <c r="TYB143" s="21"/>
      <c r="TYC143" s="21"/>
      <c r="TYD143" s="21"/>
      <c r="TYE143" s="21"/>
      <c r="TYF143" s="21"/>
      <c r="TYG143" s="21"/>
      <c r="TYH143" s="21"/>
      <c r="TYI143" s="21"/>
      <c r="TYJ143" s="21"/>
      <c r="TYK143" s="21"/>
      <c r="TYL143" s="21"/>
      <c r="TYM143" s="21"/>
      <c r="TYN143" s="21"/>
      <c r="TYO143" s="21"/>
      <c r="TYP143" s="21"/>
      <c r="TYQ143" s="21"/>
      <c r="TYR143" s="21"/>
      <c r="TYS143" s="21"/>
      <c r="TYT143" s="21"/>
      <c r="TYU143" s="21"/>
      <c r="TYV143" s="21"/>
      <c r="TYW143" s="21"/>
      <c r="TYX143" s="21"/>
      <c r="TYY143" s="21"/>
      <c r="TYZ143" s="21"/>
      <c r="TZA143" s="21"/>
      <c r="TZB143" s="21"/>
      <c r="TZC143" s="21"/>
      <c r="TZD143" s="21"/>
      <c r="TZE143" s="21"/>
      <c r="TZF143" s="21"/>
      <c r="TZG143" s="21"/>
      <c r="TZH143" s="21"/>
      <c r="TZI143" s="21"/>
      <c r="TZJ143" s="21"/>
      <c r="TZK143" s="21"/>
      <c r="TZL143" s="21"/>
      <c r="TZM143" s="21"/>
      <c r="TZN143" s="21"/>
      <c r="TZO143" s="21"/>
      <c r="TZP143" s="21"/>
      <c r="TZQ143" s="21"/>
      <c r="TZR143" s="21"/>
      <c r="TZS143" s="21"/>
      <c r="TZT143" s="21"/>
      <c r="TZU143" s="21"/>
      <c r="TZV143" s="21"/>
      <c r="TZW143" s="21"/>
      <c r="TZX143" s="21"/>
      <c r="TZY143" s="21"/>
      <c r="TZZ143" s="21"/>
      <c r="UAA143" s="21"/>
      <c r="UAB143" s="21"/>
      <c r="UAC143" s="21"/>
      <c r="UAD143" s="21"/>
      <c r="UAE143" s="21"/>
      <c r="UAF143" s="21"/>
      <c r="UAG143" s="21"/>
      <c r="UAH143" s="21"/>
      <c r="UAI143" s="21"/>
      <c r="UAJ143" s="21"/>
      <c r="UAK143" s="21"/>
      <c r="UAL143" s="21"/>
      <c r="UAM143" s="21"/>
      <c r="UAN143" s="21"/>
      <c r="UAO143" s="21"/>
      <c r="UAP143" s="21"/>
      <c r="UAQ143" s="21"/>
      <c r="UAR143" s="21"/>
      <c r="UAS143" s="21"/>
      <c r="UAT143" s="21"/>
      <c r="UAU143" s="21"/>
      <c r="UAV143" s="21"/>
      <c r="UAW143" s="21"/>
      <c r="UAX143" s="21"/>
      <c r="UAY143" s="21"/>
      <c r="UAZ143" s="21"/>
      <c r="UBA143" s="21"/>
      <c r="UBB143" s="21"/>
      <c r="UBC143" s="21"/>
      <c r="UBD143" s="21"/>
      <c r="UBE143" s="21"/>
      <c r="UBF143" s="21"/>
      <c r="UBG143" s="21"/>
      <c r="UBH143" s="21"/>
      <c r="UBI143" s="21"/>
      <c r="UBJ143" s="21"/>
      <c r="UBK143" s="21"/>
      <c r="UBL143" s="21"/>
      <c r="UBM143" s="21"/>
      <c r="UBN143" s="21"/>
      <c r="UBO143" s="21"/>
      <c r="UBP143" s="21"/>
      <c r="UBQ143" s="21"/>
      <c r="UBR143" s="21"/>
      <c r="UBS143" s="21"/>
      <c r="UBT143" s="21"/>
      <c r="UBU143" s="21"/>
      <c r="UBV143" s="21"/>
      <c r="UBW143" s="21"/>
      <c r="UBX143" s="21"/>
      <c r="UBY143" s="21"/>
      <c r="UBZ143" s="21"/>
      <c r="UCA143" s="21"/>
      <c r="UCB143" s="21"/>
      <c r="UCC143" s="21"/>
      <c r="UCD143" s="21"/>
      <c r="UCE143" s="21"/>
      <c r="UCF143" s="21"/>
      <c r="UCG143" s="21"/>
      <c r="UCH143" s="21"/>
      <c r="UCI143" s="21"/>
      <c r="UCJ143" s="21"/>
      <c r="UCK143" s="21"/>
      <c r="UCL143" s="21"/>
      <c r="UCM143" s="21"/>
      <c r="UCN143" s="21"/>
      <c r="UCO143" s="21"/>
      <c r="UCP143" s="21"/>
      <c r="UCQ143" s="21"/>
      <c r="UCR143" s="21"/>
      <c r="UCS143" s="21"/>
      <c r="UCT143" s="21"/>
      <c r="UCU143" s="21"/>
      <c r="UCV143" s="21"/>
      <c r="UCW143" s="21"/>
      <c r="UCX143" s="21"/>
      <c r="UCY143" s="21"/>
      <c r="UCZ143" s="21"/>
      <c r="UDA143" s="21"/>
      <c r="UDB143" s="21"/>
      <c r="UDC143" s="21"/>
      <c r="UDD143" s="21"/>
      <c r="UDE143" s="21"/>
      <c r="UDF143" s="21"/>
      <c r="UDG143" s="21"/>
      <c r="UDH143" s="21"/>
      <c r="UDI143" s="21"/>
      <c r="UDJ143" s="21"/>
      <c r="UDK143" s="21"/>
      <c r="UDL143" s="21"/>
      <c r="UDM143" s="21"/>
      <c r="UDN143" s="21"/>
      <c r="UDO143" s="21"/>
      <c r="UDP143" s="21"/>
      <c r="UDQ143" s="21"/>
      <c r="UDR143" s="21"/>
      <c r="UDS143" s="21"/>
      <c r="UDT143" s="21"/>
      <c r="UDU143" s="21"/>
      <c r="UDV143" s="21"/>
      <c r="UDW143" s="21"/>
      <c r="UDX143" s="21"/>
      <c r="UDY143" s="21"/>
      <c r="UDZ143" s="21"/>
      <c r="UEA143" s="21"/>
      <c r="UEB143" s="21"/>
      <c r="UEC143" s="21"/>
      <c r="UED143" s="21"/>
      <c r="UEE143" s="21"/>
      <c r="UEF143" s="21"/>
      <c r="UEG143" s="21"/>
      <c r="UEH143" s="21"/>
      <c r="UEI143" s="21"/>
      <c r="UEJ143" s="21"/>
      <c r="UEK143" s="21"/>
      <c r="UEL143" s="21"/>
      <c r="UEM143" s="21"/>
      <c r="UEN143" s="21"/>
      <c r="UEO143" s="21"/>
      <c r="UEP143" s="21"/>
      <c r="UEQ143" s="21"/>
      <c r="UER143" s="21"/>
      <c r="UES143" s="21"/>
      <c r="UET143" s="21"/>
      <c r="UEU143" s="21"/>
      <c r="UEV143" s="21"/>
      <c r="UEW143" s="21"/>
      <c r="UEX143" s="21"/>
      <c r="UEY143" s="21"/>
      <c r="UEZ143" s="21"/>
      <c r="UFA143" s="21"/>
      <c r="UFB143" s="21"/>
      <c r="UFC143" s="21"/>
      <c r="UFD143" s="21"/>
      <c r="UFE143" s="21"/>
      <c r="UFF143" s="21"/>
      <c r="UFG143" s="21"/>
      <c r="UFH143" s="21"/>
      <c r="UFI143" s="21"/>
      <c r="UFJ143" s="21"/>
      <c r="UFK143" s="21"/>
      <c r="UFL143" s="21"/>
      <c r="UFM143" s="21"/>
      <c r="UFN143" s="21"/>
      <c r="UFO143" s="21"/>
      <c r="UFP143" s="21"/>
      <c r="UFQ143" s="21"/>
      <c r="UFR143" s="21"/>
      <c r="UFS143" s="21"/>
      <c r="UFT143" s="21"/>
      <c r="UFU143" s="21"/>
      <c r="UFV143" s="21"/>
      <c r="UFW143" s="21"/>
      <c r="UFX143" s="21"/>
      <c r="UFY143" s="21"/>
      <c r="UFZ143" s="21"/>
      <c r="UGA143" s="21"/>
      <c r="UGB143" s="21"/>
      <c r="UGC143" s="21"/>
      <c r="UGD143" s="21"/>
      <c r="UGE143" s="21"/>
      <c r="UGF143" s="21"/>
      <c r="UGG143" s="21"/>
      <c r="UGH143" s="21"/>
      <c r="UGI143" s="21"/>
      <c r="UGJ143" s="21"/>
      <c r="UGK143" s="21"/>
      <c r="UGL143" s="21"/>
      <c r="UGM143" s="21"/>
      <c r="UGN143" s="21"/>
      <c r="UGO143" s="21"/>
      <c r="UGP143" s="21"/>
      <c r="UGQ143" s="21"/>
      <c r="UGR143" s="21"/>
      <c r="UGS143" s="21"/>
      <c r="UGT143" s="21"/>
      <c r="UGU143" s="21"/>
      <c r="UGV143" s="21"/>
      <c r="UGW143" s="21"/>
      <c r="UGX143" s="21"/>
      <c r="UGY143" s="21"/>
      <c r="UGZ143" s="21"/>
      <c r="UHA143" s="21"/>
      <c r="UHB143" s="21"/>
      <c r="UHC143" s="21"/>
      <c r="UHD143" s="21"/>
      <c r="UHE143" s="21"/>
      <c r="UHF143" s="21"/>
      <c r="UHG143" s="21"/>
      <c r="UHH143" s="21"/>
      <c r="UHI143" s="21"/>
      <c r="UHJ143" s="21"/>
      <c r="UHK143" s="21"/>
      <c r="UHL143" s="21"/>
      <c r="UHM143" s="21"/>
      <c r="UHN143" s="21"/>
      <c r="UHO143" s="21"/>
      <c r="UHP143" s="21"/>
      <c r="UHQ143" s="21"/>
      <c r="UHR143" s="21"/>
      <c r="UHS143" s="21"/>
      <c r="UHT143" s="21"/>
      <c r="UHU143" s="21"/>
      <c r="UHV143" s="21"/>
      <c r="UHW143" s="21"/>
      <c r="UHX143" s="21"/>
      <c r="UHY143" s="21"/>
      <c r="UHZ143" s="21"/>
      <c r="UIA143" s="21"/>
      <c r="UIB143" s="21"/>
      <c r="UIC143" s="21"/>
      <c r="UID143" s="21"/>
      <c r="UIE143" s="21"/>
      <c r="UIF143" s="21"/>
      <c r="UIG143" s="21"/>
      <c r="UIH143" s="21"/>
      <c r="UII143" s="21"/>
      <c r="UIJ143" s="21"/>
      <c r="UIK143" s="21"/>
      <c r="UIL143" s="21"/>
      <c r="UIM143" s="21"/>
      <c r="UIN143" s="21"/>
      <c r="UIO143" s="21"/>
      <c r="UIP143" s="21"/>
      <c r="UIQ143" s="21"/>
      <c r="UIR143" s="21"/>
      <c r="UIS143" s="21"/>
      <c r="UIT143" s="21"/>
      <c r="UIU143" s="21"/>
      <c r="UIV143" s="21"/>
      <c r="UIW143" s="21"/>
      <c r="UIX143" s="21"/>
      <c r="UIY143" s="21"/>
      <c r="UIZ143" s="21"/>
      <c r="UJA143" s="21"/>
      <c r="UJB143" s="21"/>
      <c r="UJC143" s="21"/>
      <c r="UJD143" s="21"/>
      <c r="UJE143" s="21"/>
      <c r="UJF143" s="21"/>
      <c r="UJG143" s="21"/>
      <c r="UJH143" s="21"/>
      <c r="UJI143" s="21"/>
      <c r="UJJ143" s="21"/>
      <c r="UJK143" s="21"/>
      <c r="UJL143" s="21"/>
      <c r="UJM143" s="21"/>
      <c r="UJN143" s="21"/>
      <c r="UJO143" s="21"/>
      <c r="UJP143" s="21"/>
      <c r="UJQ143" s="21"/>
      <c r="UJR143" s="21"/>
      <c r="UJS143" s="21"/>
      <c r="UJT143" s="21"/>
      <c r="UJU143" s="21"/>
      <c r="UJV143" s="21"/>
      <c r="UJW143" s="21"/>
      <c r="UJX143" s="21"/>
      <c r="UJY143" s="21"/>
      <c r="UJZ143" s="21"/>
      <c r="UKA143" s="21"/>
      <c r="UKB143" s="21"/>
      <c r="UKC143" s="21"/>
      <c r="UKD143" s="21"/>
      <c r="UKE143" s="21"/>
      <c r="UKF143" s="21"/>
      <c r="UKG143" s="21"/>
      <c r="UKH143" s="21"/>
      <c r="UKI143" s="21"/>
      <c r="UKJ143" s="21"/>
      <c r="UKK143" s="21"/>
      <c r="UKL143" s="21"/>
      <c r="UKM143" s="21"/>
      <c r="UKN143" s="21"/>
      <c r="UKO143" s="21"/>
      <c r="UKP143" s="21"/>
      <c r="UKQ143" s="21"/>
      <c r="UKR143" s="21"/>
      <c r="UKS143" s="21"/>
      <c r="UKT143" s="21"/>
      <c r="UKU143" s="21"/>
      <c r="UKV143" s="21"/>
      <c r="UKW143" s="21"/>
      <c r="UKX143" s="21"/>
      <c r="UKY143" s="21"/>
      <c r="UKZ143" s="21"/>
      <c r="ULA143" s="21"/>
      <c r="ULB143" s="21"/>
      <c r="ULC143" s="21"/>
      <c r="ULD143" s="21"/>
      <c r="ULE143" s="21"/>
      <c r="ULF143" s="21"/>
      <c r="ULG143" s="21"/>
      <c r="ULH143" s="21"/>
      <c r="ULI143" s="21"/>
      <c r="ULJ143" s="21"/>
      <c r="ULK143" s="21"/>
      <c r="ULL143" s="21"/>
      <c r="ULM143" s="21"/>
      <c r="ULN143" s="21"/>
      <c r="ULO143" s="21"/>
      <c r="ULP143" s="21"/>
      <c r="ULQ143" s="21"/>
      <c r="ULR143" s="21"/>
      <c r="ULS143" s="21"/>
      <c r="ULT143" s="21"/>
      <c r="ULU143" s="21"/>
      <c r="ULV143" s="21"/>
      <c r="ULW143" s="21"/>
      <c r="ULX143" s="21"/>
      <c r="ULY143" s="21"/>
      <c r="ULZ143" s="21"/>
      <c r="UMA143" s="21"/>
      <c r="UMB143" s="21"/>
      <c r="UMC143" s="21"/>
      <c r="UMD143" s="21"/>
      <c r="UME143" s="21"/>
      <c r="UMF143" s="21"/>
      <c r="UMG143" s="21"/>
      <c r="UMH143" s="21"/>
      <c r="UMI143" s="21"/>
      <c r="UMJ143" s="21"/>
      <c r="UMK143" s="21"/>
      <c r="UML143" s="21"/>
      <c r="UMM143" s="21"/>
      <c r="UMN143" s="21"/>
      <c r="UMO143" s="21"/>
      <c r="UMP143" s="21"/>
      <c r="UMQ143" s="21"/>
      <c r="UMR143" s="21"/>
      <c r="UMS143" s="21"/>
      <c r="UMT143" s="21"/>
      <c r="UMU143" s="21"/>
      <c r="UMV143" s="21"/>
      <c r="UMW143" s="21"/>
      <c r="UMX143" s="21"/>
      <c r="UMY143" s="21"/>
      <c r="UMZ143" s="21"/>
      <c r="UNA143" s="21"/>
      <c r="UNB143" s="21"/>
      <c r="UNC143" s="21"/>
      <c r="UND143" s="21"/>
      <c r="UNE143" s="21"/>
      <c r="UNF143" s="21"/>
      <c r="UNG143" s="21"/>
      <c r="UNH143" s="21"/>
      <c r="UNI143" s="21"/>
      <c r="UNJ143" s="21"/>
      <c r="UNK143" s="21"/>
      <c r="UNL143" s="21"/>
      <c r="UNM143" s="21"/>
      <c r="UNN143" s="21"/>
      <c r="UNO143" s="21"/>
      <c r="UNP143" s="21"/>
      <c r="UNQ143" s="21"/>
      <c r="UNR143" s="21"/>
      <c r="UNS143" s="21"/>
      <c r="UNT143" s="21"/>
      <c r="UNU143" s="21"/>
      <c r="UNV143" s="21"/>
      <c r="UNW143" s="21"/>
      <c r="UNX143" s="21"/>
      <c r="UNY143" s="21"/>
      <c r="UNZ143" s="21"/>
      <c r="UOA143" s="21"/>
      <c r="UOB143" s="21"/>
      <c r="UOC143" s="21"/>
      <c r="UOD143" s="21"/>
      <c r="UOE143" s="21"/>
      <c r="UOF143" s="21"/>
      <c r="UOG143" s="21"/>
      <c r="UOH143" s="21"/>
      <c r="UOI143" s="21"/>
      <c r="UOJ143" s="21"/>
      <c r="UOK143" s="21"/>
      <c r="UOL143" s="21"/>
      <c r="UOM143" s="21"/>
      <c r="UON143" s="21"/>
      <c r="UOO143" s="21"/>
      <c r="UOP143" s="21"/>
      <c r="UOQ143" s="21"/>
      <c r="UOR143" s="21"/>
      <c r="UOS143" s="21"/>
      <c r="UOT143" s="21"/>
      <c r="UOU143" s="21"/>
      <c r="UOV143" s="21"/>
      <c r="UOW143" s="21"/>
      <c r="UOX143" s="21"/>
      <c r="UOY143" s="21"/>
      <c r="UOZ143" s="21"/>
      <c r="UPA143" s="21"/>
      <c r="UPB143" s="21"/>
      <c r="UPC143" s="21"/>
      <c r="UPD143" s="21"/>
      <c r="UPE143" s="21"/>
      <c r="UPF143" s="21"/>
      <c r="UPG143" s="21"/>
      <c r="UPH143" s="21"/>
      <c r="UPI143" s="21"/>
      <c r="UPJ143" s="21"/>
      <c r="UPK143" s="21"/>
      <c r="UPL143" s="21"/>
      <c r="UPM143" s="21"/>
      <c r="UPN143" s="21"/>
      <c r="UPO143" s="21"/>
      <c r="UPP143" s="21"/>
      <c r="UPQ143" s="21"/>
      <c r="UPR143" s="21"/>
      <c r="UPS143" s="21"/>
      <c r="UPT143" s="21"/>
      <c r="UPU143" s="21"/>
      <c r="UPV143" s="21"/>
      <c r="UPW143" s="21"/>
      <c r="UPX143" s="21"/>
      <c r="UPY143" s="21"/>
      <c r="UPZ143" s="21"/>
      <c r="UQA143" s="21"/>
      <c r="UQB143" s="21"/>
      <c r="UQC143" s="21"/>
      <c r="UQD143" s="21"/>
      <c r="UQE143" s="21"/>
      <c r="UQF143" s="21"/>
      <c r="UQG143" s="21"/>
      <c r="UQH143" s="21"/>
      <c r="UQI143" s="21"/>
      <c r="UQJ143" s="21"/>
      <c r="UQK143" s="21"/>
      <c r="UQL143" s="21"/>
      <c r="UQM143" s="21"/>
      <c r="UQN143" s="21"/>
      <c r="UQO143" s="21"/>
      <c r="UQP143" s="21"/>
      <c r="UQQ143" s="21"/>
      <c r="UQR143" s="21"/>
      <c r="UQS143" s="21"/>
      <c r="UQT143" s="21"/>
      <c r="UQU143" s="21"/>
      <c r="UQV143" s="21"/>
      <c r="UQW143" s="21"/>
      <c r="UQX143" s="21"/>
      <c r="UQY143" s="21"/>
      <c r="UQZ143" s="21"/>
      <c r="URA143" s="21"/>
      <c r="URB143" s="21"/>
      <c r="URC143" s="21"/>
      <c r="URD143" s="21"/>
      <c r="URE143" s="21"/>
      <c r="URF143" s="21"/>
      <c r="URG143" s="21"/>
      <c r="URH143" s="21"/>
      <c r="URI143" s="21"/>
      <c r="URJ143" s="21"/>
      <c r="URK143" s="21"/>
      <c r="URL143" s="21"/>
      <c r="URM143" s="21"/>
      <c r="URN143" s="21"/>
      <c r="URO143" s="21"/>
      <c r="URP143" s="21"/>
      <c r="URQ143" s="21"/>
      <c r="URR143" s="21"/>
      <c r="URS143" s="21"/>
      <c r="URT143" s="21"/>
      <c r="URU143" s="21"/>
      <c r="URV143" s="21"/>
      <c r="URW143" s="21"/>
      <c r="URX143" s="21"/>
      <c r="URY143" s="21"/>
      <c r="URZ143" s="21"/>
      <c r="USA143" s="21"/>
      <c r="USB143" s="21"/>
      <c r="USC143" s="21"/>
      <c r="USD143" s="21"/>
      <c r="USE143" s="21"/>
      <c r="USF143" s="21"/>
      <c r="USG143" s="21"/>
      <c r="USH143" s="21"/>
      <c r="USI143" s="21"/>
      <c r="USJ143" s="21"/>
      <c r="USK143" s="21"/>
      <c r="USL143" s="21"/>
      <c r="USM143" s="21"/>
      <c r="USN143" s="21"/>
      <c r="USO143" s="21"/>
      <c r="USP143" s="21"/>
      <c r="USQ143" s="21"/>
      <c r="USR143" s="21"/>
      <c r="USS143" s="21"/>
      <c r="UST143" s="21"/>
      <c r="USU143" s="21"/>
      <c r="USV143" s="21"/>
      <c r="USW143" s="21"/>
      <c r="USX143" s="21"/>
      <c r="USY143" s="21"/>
      <c r="USZ143" s="21"/>
      <c r="UTA143" s="21"/>
      <c r="UTB143" s="21"/>
      <c r="UTC143" s="21"/>
      <c r="UTD143" s="21"/>
      <c r="UTE143" s="21"/>
      <c r="UTF143" s="21"/>
      <c r="UTG143" s="21"/>
      <c r="UTH143" s="21"/>
      <c r="UTI143" s="21"/>
      <c r="UTJ143" s="21"/>
      <c r="UTK143" s="21"/>
      <c r="UTL143" s="21"/>
      <c r="UTM143" s="21"/>
      <c r="UTN143" s="21"/>
      <c r="UTO143" s="21"/>
      <c r="UTP143" s="21"/>
      <c r="UTQ143" s="21"/>
      <c r="UTR143" s="21"/>
      <c r="UTS143" s="21"/>
      <c r="UTT143" s="21"/>
      <c r="UTU143" s="21"/>
      <c r="UTV143" s="21"/>
      <c r="UTW143" s="21"/>
      <c r="UTX143" s="21"/>
      <c r="UTY143" s="21"/>
      <c r="UTZ143" s="21"/>
      <c r="UUA143" s="21"/>
      <c r="UUB143" s="21"/>
      <c r="UUC143" s="21"/>
      <c r="UUD143" s="21"/>
      <c r="UUE143" s="21"/>
      <c r="UUF143" s="21"/>
      <c r="UUG143" s="21"/>
      <c r="UUH143" s="21"/>
      <c r="UUI143" s="21"/>
      <c r="UUJ143" s="21"/>
      <c r="UUK143" s="21"/>
      <c r="UUL143" s="21"/>
      <c r="UUM143" s="21"/>
      <c r="UUN143" s="21"/>
      <c r="UUO143" s="21"/>
      <c r="UUP143" s="21"/>
      <c r="UUQ143" s="21"/>
      <c r="UUR143" s="21"/>
      <c r="UUS143" s="21"/>
      <c r="UUT143" s="21"/>
      <c r="UUU143" s="21"/>
      <c r="UUV143" s="21"/>
      <c r="UUW143" s="21"/>
      <c r="UUX143" s="21"/>
      <c r="UUY143" s="21"/>
      <c r="UUZ143" s="21"/>
      <c r="UVA143" s="21"/>
      <c r="UVB143" s="21"/>
      <c r="UVC143" s="21"/>
      <c r="UVD143" s="21"/>
      <c r="UVE143" s="21"/>
      <c r="UVF143" s="21"/>
      <c r="UVG143" s="21"/>
      <c r="UVH143" s="21"/>
      <c r="UVI143" s="21"/>
      <c r="UVJ143" s="21"/>
      <c r="UVK143" s="21"/>
      <c r="UVL143" s="21"/>
      <c r="UVM143" s="21"/>
      <c r="UVN143" s="21"/>
      <c r="UVO143" s="21"/>
      <c r="UVP143" s="21"/>
      <c r="UVQ143" s="21"/>
      <c r="UVR143" s="21"/>
      <c r="UVS143" s="21"/>
      <c r="UVT143" s="21"/>
      <c r="UVU143" s="21"/>
      <c r="UVV143" s="21"/>
      <c r="UVW143" s="21"/>
      <c r="UVX143" s="21"/>
      <c r="UVY143" s="21"/>
      <c r="UVZ143" s="21"/>
      <c r="UWA143" s="21"/>
      <c r="UWB143" s="21"/>
      <c r="UWC143" s="21"/>
      <c r="UWD143" s="21"/>
      <c r="UWE143" s="21"/>
      <c r="UWF143" s="21"/>
      <c r="UWG143" s="21"/>
      <c r="UWH143" s="21"/>
      <c r="UWI143" s="21"/>
      <c r="UWJ143" s="21"/>
      <c r="UWK143" s="21"/>
      <c r="UWL143" s="21"/>
      <c r="UWM143" s="21"/>
      <c r="UWN143" s="21"/>
      <c r="UWO143" s="21"/>
      <c r="UWP143" s="21"/>
      <c r="UWQ143" s="21"/>
      <c r="UWR143" s="21"/>
      <c r="UWS143" s="21"/>
      <c r="UWT143" s="21"/>
      <c r="UWU143" s="21"/>
      <c r="UWV143" s="21"/>
      <c r="UWW143" s="21"/>
      <c r="UWX143" s="21"/>
      <c r="UWY143" s="21"/>
      <c r="UWZ143" s="21"/>
      <c r="UXA143" s="21"/>
      <c r="UXB143" s="21"/>
      <c r="UXC143" s="21"/>
      <c r="UXD143" s="21"/>
      <c r="UXE143" s="21"/>
      <c r="UXF143" s="21"/>
      <c r="UXG143" s="21"/>
      <c r="UXH143" s="21"/>
      <c r="UXI143" s="21"/>
      <c r="UXJ143" s="21"/>
      <c r="UXK143" s="21"/>
      <c r="UXL143" s="21"/>
      <c r="UXM143" s="21"/>
      <c r="UXN143" s="21"/>
      <c r="UXO143" s="21"/>
      <c r="UXP143" s="21"/>
      <c r="UXQ143" s="21"/>
      <c r="UXR143" s="21"/>
      <c r="UXS143" s="21"/>
      <c r="UXT143" s="21"/>
      <c r="UXU143" s="21"/>
      <c r="UXV143" s="21"/>
      <c r="UXW143" s="21"/>
      <c r="UXX143" s="21"/>
      <c r="UXY143" s="21"/>
      <c r="UXZ143" s="21"/>
      <c r="UYA143" s="21"/>
      <c r="UYB143" s="21"/>
      <c r="UYC143" s="21"/>
      <c r="UYD143" s="21"/>
      <c r="UYE143" s="21"/>
      <c r="UYF143" s="21"/>
      <c r="UYG143" s="21"/>
      <c r="UYH143" s="21"/>
      <c r="UYI143" s="21"/>
      <c r="UYJ143" s="21"/>
      <c r="UYK143" s="21"/>
      <c r="UYL143" s="21"/>
      <c r="UYM143" s="21"/>
      <c r="UYN143" s="21"/>
      <c r="UYO143" s="21"/>
      <c r="UYP143" s="21"/>
      <c r="UYQ143" s="21"/>
      <c r="UYR143" s="21"/>
      <c r="UYS143" s="21"/>
      <c r="UYT143" s="21"/>
      <c r="UYU143" s="21"/>
      <c r="UYV143" s="21"/>
      <c r="UYW143" s="21"/>
      <c r="UYX143" s="21"/>
      <c r="UYY143" s="21"/>
      <c r="UYZ143" s="21"/>
      <c r="UZA143" s="21"/>
      <c r="UZB143" s="21"/>
      <c r="UZC143" s="21"/>
      <c r="UZD143" s="21"/>
      <c r="UZE143" s="21"/>
      <c r="UZF143" s="21"/>
      <c r="UZG143" s="21"/>
      <c r="UZH143" s="21"/>
      <c r="UZI143" s="21"/>
      <c r="UZJ143" s="21"/>
      <c r="UZK143" s="21"/>
      <c r="UZL143" s="21"/>
      <c r="UZM143" s="21"/>
      <c r="UZN143" s="21"/>
      <c r="UZO143" s="21"/>
      <c r="UZP143" s="21"/>
      <c r="UZQ143" s="21"/>
      <c r="UZR143" s="21"/>
      <c r="UZS143" s="21"/>
      <c r="UZT143" s="21"/>
      <c r="UZU143" s="21"/>
      <c r="UZV143" s="21"/>
      <c r="UZW143" s="21"/>
      <c r="UZX143" s="21"/>
      <c r="UZY143" s="21"/>
      <c r="UZZ143" s="21"/>
      <c r="VAA143" s="21"/>
      <c r="VAB143" s="21"/>
      <c r="VAC143" s="21"/>
      <c r="VAD143" s="21"/>
      <c r="VAE143" s="21"/>
      <c r="VAF143" s="21"/>
      <c r="VAG143" s="21"/>
      <c r="VAH143" s="21"/>
      <c r="VAI143" s="21"/>
      <c r="VAJ143" s="21"/>
      <c r="VAK143" s="21"/>
      <c r="VAL143" s="21"/>
      <c r="VAM143" s="21"/>
      <c r="VAN143" s="21"/>
      <c r="VAO143" s="21"/>
      <c r="VAP143" s="21"/>
      <c r="VAQ143" s="21"/>
      <c r="VAR143" s="21"/>
      <c r="VAS143" s="21"/>
      <c r="VAT143" s="21"/>
      <c r="VAU143" s="21"/>
      <c r="VAV143" s="21"/>
      <c r="VAW143" s="21"/>
      <c r="VAX143" s="21"/>
      <c r="VAY143" s="21"/>
      <c r="VAZ143" s="21"/>
      <c r="VBA143" s="21"/>
      <c r="VBB143" s="21"/>
      <c r="VBC143" s="21"/>
      <c r="VBD143" s="21"/>
      <c r="VBE143" s="21"/>
      <c r="VBF143" s="21"/>
      <c r="VBG143" s="21"/>
      <c r="VBH143" s="21"/>
      <c r="VBI143" s="21"/>
      <c r="VBJ143" s="21"/>
      <c r="VBK143" s="21"/>
      <c r="VBL143" s="21"/>
      <c r="VBM143" s="21"/>
      <c r="VBN143" s="21"/>
      <c r="VBO143" s="21"/>
      <c r="VBP143" s="21"/>
      <c r="VBQ143" s="21"/>
      <c r="VBR143" s="21"/>
      <c r="VBS143" s="21"/>
      <c r="VBT143" s="21"/>
      <c r="VBU143" s="21"/>
      <c r="VBV143" s="21"/>
      <c r="VBW143" s="21"/>
      <c r="VBX143" s="21"/>
      <c r="VBY143" s="21"/>
      <c r="VBZ143" s="21"/>
      <c r="VCA143" s="21"/>
      <c r="VCB143" s="21"/>
      <c r="VCC143" s="21"/>
      <c r="VCD143" s="21"/>
      <c r="VCE143" s="21"/>
      <c r="VCF143" s="21"/>
      <c r="VCG143" s="21"/>
      <c r="VCH143" s="21"/>
      <c r="VCI143" s="21"/>
      <c r="VCJ143" s="21"/>
      <c r="VCK143" s="21"/>
      <c r="VCL143" s="21"/>
      <c r="VCM143" s="21"/>
      <c r="VCN143" s="21"/>
      <c r="VCO143" s="21"/>
      <c r="VCP143" s="21"/>
      <c r="VCQ143" s="21"/>
      <c r="VCR143" s="21"/>
      <c r="VCS143" s="21"/>
      <c r="VCT143" s="21"/>
      <c r="VCU143" s="21"/>
      <c r="VCV143" s="21"/>
      <c r="VCW143" s="21"/>
      <c r="VCX143" s="21"/>
      <c r="VCY143" s="21"/>
      <c r="VCZ143" s="21"/>
      <c r="VDA143" s="21"/>
      <c r="VDB143" s="21"/>
      <c r="VDC143" s="21"/>
      <c r="VDD143" s="21"/>
      <c r="VDE143" s="21"/>
      <c r="VDF143" s="21"/>
      <c r="VDG143" s="21"/>
      <c r="VDH143" s="21"/>
      <c r="VDI143" s="21"/>
      <c r="VDJ143" s="21"/>
      <c r="VDK143" s="21"/>
      <c r="VDL143" s="21"/>
      <c r="VDM143" s="21"/>
      <c r="VDN143" s="21"/>
      <c r="VDO143" s="21"/>
      <c r="VDP143" s="21"/>
      <c r="VDQ143" s="21"/>
      <c r="VDR143" s="21"/>
      <c r="VDS143" s="21"/>
      <c r="VDT143" s="21"/>
      <c r="VDU143" s="21"/>
      <c r="VDV143" s="21"/>
      <c r="VDW143" s="21"/>
      <c r="VDX143" s="21"/>
      <c r="VDY143" s="21"/>
      <c r="VDZ143" s="21"/>
      <c r="VEA143" s="21"/>
      <c r="VEB143" s="21"/>
      <c r="VEC143" s="21"/>
      <c r="VED143" s="21"/>
      <c r="VEE143" s="21"/>
      <c r="VEF143" s="21"/>
      <c r="VEG143" s="21"/>
      <c r="VEH143" s="21"/>
      <c r="VEI143" s="21"/>
      <c r="VEJ143" s="21"/>
      <c r="VEK143" s="21"/>
      <c r="VEL143" s="21"/>
      <c r="VEM143" s="21"/>
      <c r="VEN143" s="21"/>
      <c r="VEO143" s="21"/>
      <c r="VEP143" s="21"/>
      <c r="VEQ143" s="21"/>
      <c r="VER143" s="21"/>
      <c r="VES143" s="21"/>
      <c r="VET143" s="21"/>
      <c r="VEU143" s="21"/>
      <c r="VEV143" s="21"/>
      <c r="VEW143" s="21"/>
      <c r="VEX143" s="21"/>
      <c r="VEY143" s="21"/>
      <c r="VEZ143" s="21"/>
      <c r="VFA143" s="21"/>
      <c r="VFB143" s="21"/>
      <c r="VFC143" s="21"/>
      <c r="VFD143" s="21"/>
      <c r="VFE143" s="21"/>
      <c r="VFF143" s="21"/>
      <c r="VFG143" s="21"/>
      <c r="VFH143" s="21"/>
      <c r="VFI143" s="21"/>
      <c r="VFJ143" s="21"/>
      <c r="VFK143" s="21"/>
      <c r="VFL143" s="21"/>
      <c r="VFM143" s="21"/>
      <c r="VFN143" s="21"/>
      <c r="VFO143" s="21"/>
      <c r="VFP143" s="21"/>
      <c r="VFQ143" s="21"/>
      <c r="VFR143" s="21"/>
      <c r="VFS143" s="21"/>
      <c r="VFT143" s="21"/>
      <c r="VFU143" s="21"/>
      <c r="VFV143" s="21"/>
      <c r="VFW143" s="21"/>
      <c r="VFX143" s="21"/>
      <c r="VFY143" s="21"/>
      <c r="VFZ143" s="21"/>
      <c r="VGA143" s="21"/>
      <c r="VGB143" s="21"/>
      <c r="VGC143" s="21"/>
      <c r="VGD143" s="21"/>
      <c r="VGE143" s="21"/>
      <c r="VGF143" s="21"/>
      <c r="VGG143" s="21"/>
      <c r="VGH143" s="21"/>
      <c r="VGI143" s="21"/>
      <c r="VGJ143" s="21"/>
      <c r="VGK143" s="21"/>
      <c r="VGL143" s="21"/>
      <c r="VGM143" s="21"/>
      <c r="VGN143" s="21"/>
      <c r="VGO143" s="21"/>
      <c r="VGP143" s="21"/>
      <c r="VGQ143" s="21"/>
      <c r="VGR143" s="21"/>
      <c r="VGS143" s="21"/>
      <c r="VGT143" s="21"/>
      <c r="VGU143" s="21"/>
      <c r="VGV143" s="21"/>
      <c r="VGW143" s="21"/>
      <c r="VGX143" s="21"/>
      <c r="VGY143" s="21"/>
      <c r="VGZ143" s="21"/>
      <c r="VHA143" s="21"/>
      <c r="VHB143" s="21"/>
      <c r="VHC143" s="21"/>
      <c r="VHD143" s="21"/>
      <c r="VHE143" s="21"/>
      <c r="VHF143" s="21"/>
      <c r="VHG143" s="21"/>
      <c r="VHH143" s="21"/>
      <c r="VHI143" s="21"/>
      <c r="VHJ143" s="21"/>
      <c r="VHK143" s="21"/>
      <c r="VHL143" s="21"/>
      <c r="VHM143" s="21"/>
      <c r="VHN143" s="21"/>
      <c r="VHO143" s="21"/>
      <c r="VHP143" s="21"/>
      <c r="VHQ143" s="21"/>
      <c r="VHR143" s="21"/>
      <c r="VHS143" s="21"/>
      <c r="VHT143" s="21"/>
      <c r="VHU143" s="21"/>
      <c r="VHV143" s="21"/>
      <c r="VHW143" s="21"/>
      <c r="VHX143" s="21"/>
      <c r="VHY143" s="21"/>
      <c r="VHZ143" s="21"/>
      <c r="VIA143" s="21"/>
      <c r="VIB143" s="21"/>
      <c r="VIC143" s="21"/>
      <c r="VID143" s="21"/>
      <c r="VIE143" s="21"/>
      <c r="VIF143" s="21"/>
      <c r="VIG143" s="21"/>
      <c r="VIH143" s="21"/>
      <c r="VII143" s="21"/>
      <c r="VIJ143" s="21"/>
      <c r="VIK143" s="21"/>
      <c r="VIL143" s="21"/>
      <c r="VIM143" s="21"/>
      <c r="VIN143" s="21"/>
      <c r="VIO143" s="21"/>
      <c r="VIP143" s="21"/>
      <c r="VIQ143" s="21"/>
      <c r="VIR143" s="21"/>
      <c r="VIS143" s="21"/>
      <c r="VIT143" s="21"/>
      <c r="VIU143" s="21"/>
      <c r="VIV143" s="21"/>
      <c r="VIW143" s="21"/>
      <c r="VIX143" s="21"/>
      <c r="VIY143" s="21"/>
      <c r="VIZ143" s="21"/>
      <c r="VJA143" s="21"/>
      <c r="VJB143" s="21"/>
      <c r="VJC143" s="21"/>
      <c r="VJD143" s="21"/>
      <c r="VJE143" s="21"/>
      <c r="VJF143" s="21"/>
      <c r="VJG143" s="21"/>
      <c r="VJH143" s="21"/>
      <c r="VJI143" s="21"/>
      <c r="VJJ143" s="21"/>
      <c r="VJK143" s="21"/>
      <c r="VJL143" s="21"/>
      <c r="VJM143" s="21"/>
      <c r="VJN143" s="21"/>
      <c r="VJO143" s="21"/>
      <c r="VJP143" s="21"/>
      <c r="VJQ143" s="21"/>
      <c r="VJR143" s="21"/>
      <c r="VJS143" s="21"/>
      <c r="VJT143" s="21"/>
      <c r="VJU143" s="21"/>
      <c r="VJV143" s="21"/>
      <c r="VJW143" s="21"/>
      <c r="VJX143" s="21"/>
      <c r="VJY143" s="21"/>
      <c r="VJZ143" s="21"/>
      <c r="VKA143" s="21"/>
      <c r="VKB143" s="21"/>
      <c r="VKC143" s="21"/>
      <c r="VKD143" s="21"/>
      <c r="VKE143" s="21"/>
      <c r="VKF143" s="21"/>
      <c r="VKG143" s="21"/>
      <c r="VKH143" s="21"/>
      <c r="VKI143" s="21"/>
      <c r="VKJ143" s="21"/>
      <c r="VKK143" s="21"/>
      <c r="VKL143" s="21"/>
      <c r="VKM143" s="21"/>
      <c r="VKN143" s="21"/>
      <c r="VKO143" s="21"/>
      <c r="VKP143" s="21"/>
      <c r="VKQ143" s="21"/>
      <c r="VKR143" s="21"/>
      <c r="VKS143" s="21"/>
      <c r="VKT143" s="21"/>
      <c r="VKU143" s="21"/>
      <c r="VKV143" s="21"/>
      <c r="VKW143" s="21"/>
      <c r="VKX143" s="21"/>
      <c r="VKY143" s="21"/>
      <c r="VKZ143" s="21"/>
      <c r="VLA143" s="21"/>
      <c r="VLB143" s="21"/>
      <c r="VLC143" s="21"/>
      <c r="VLD143" s="21"/>
      <c r="VLE143" s="21"/>
      <c r="VLF143" s="21"/>
      <c r="VLG143" s="21"/>
      <c r="VLH143" s="21"/>
      <c r="VLI143" s="21"/>
      <c r="VLJ143" s="21"/>
      <c r="VLK143" s="21"/>
      <c r="VLL143" s="21"/>
      <c r="VLM143" s="21"/>
      <c r="VLN143" s="21"/>
      <c r="VLO143" s="21"/>
      <c r="VLP143" s="21"/>
      <c r="VLQ143" s="21"/>
      <c r="VLR143" s="21"/>
      <c r="VLS143" s="21"/>
      <c r="VLT143" s="21"/>
      <c r="VLU143" s="21"/>
      <c r="VLV143" s="21"/>
      <c r="VLW143" s="21"/>
      <c r="VLX143" s="21"/>
      <c r="VLY143" s="21"/>
      <c r="VLZ143" s="21"/>
      <c r="VMA143" s="21"/>
      <c r="VMB143" s="21"/>
      <c r="VMC143" s="21"/>
      <c r="VMD143" s="21"/>
      <c r="VME143" s="21"/>
      <c r="VMF143" s="21"/>
      <c r="VMG143" s="21"/>
      <c r="VMH143" s="21"/>
      <c r="VMI143" s="21"/>
      <c r="VMJ143" s="21"/>
      <c r="VMK143" s="21"/>
      <c r="VML143" s="21"/>
      <c r="VMM143" s="21"/>
      <c r="VMN143" s="21"/>
      <c r="VMO143" s="21"/>
      <c r="VMP143" s="21"/>
      <c r="VMQ143" s="21"/>
      <c r="VMR143" s="21"/>
      <c r="VMS143" s="21"/>
      <c r="VMT143" s="21"/>
      <c r="VMU143" s="21"/>
      <c r="VMV143" s="21"/>
      <c r="VMW143" s="21"/>
      <c r="VMX143" s="21"/>
      <c r="VMY143" s="21"/>
      <c r="VMZ143" s="21"/>
      <c r="VNA143" s="21"/>
      <c r="VNB143" s="21"/>
      <c r="VNC143" s="21"/>
      <c r="VND143" s="21"/>
      <c r="VNE143" s="21"/>
      <c r="VNF143" s="21"/>
      <c r="VNG143" s="21"/>
      <c r="VNH143" s="21"/>
      <c r="VNI143" s="21"/>
      <c r="VNJ143" s="21"/>
      <c r="VNK143" s="21"/>
      <c r="VNL143" s="21"/>
      <c r="VNM143" s="21"/>
      <c r="VNN143" s="21"/>
      <c r="VNO143" s="21"/>
      <c r="VNP143" s="21"/>
      <c r="VNQ143" s="21"/>
      <c r="VNR143" s="21"/>
      <c r="VNS143" s="21"/>
      <c r="VNT143" s="21"/>
      <c r="VNU143" s="21"/>
      <c r="VNV143" s="21"/>
      <c r="VNW143" s="21"/>
      <c r="VNX143" s="21"/>
      <c r="VNY143" s="21"/>
      <c r="VNZ143" s="21"/>
      <c r="VOA143" s="21"/>
      <c r="VOB143" s="21"/>
      <c r="VOC143" s="21"/>
      <c r="VOD143" s="21"/>
      <c r="VOE143" s="21"/>
      <c r="VOF143" s="21"/>
      <c r="VOG143" s="21"/>
      <c r="VOH143" s="21"/>
      <c r="VOI143" s="21"/>
      <c r="VOJ143" s="21"/>
      <c r="VOK143" s="21"/>
      <c r="VOL143" s="21"/>
      <c r="VOM143" s="21"/>
      <c r="VON143" s="21"/>
      <c r="VOO143" s="21"/>
      <c r="VOP143" s="21"/>
      <c r="VOQ143" s="21"/>
      <c r="VOR143" s="21"/>
      <c r="VOS143" s="21"/>
      <c r="VOT143" s="21"/>
      <c r="VOU143" s="21"/>
      <c r="VOV143" s="21"/>
      <c r="VOW143" s="21"/>
      <c r="VOX143" s="21"/>
      <c r="VOY143" s="21"/>
      <c r="VOZ143" s="21"/>
      <c r="VPA143" s="21"/>
      <c r="VPB143" s="21"/>
      <c r="VPC143" s="21"/>
      <c r="VPD143" s="21"/>
      <c r="VPE143" s="21"/>
      <c r="VPF143" s="21"/>
      <c r="VPG143" s="21"/>
      <c r="VPH143" s="21"/>
      <c r="VPI143" s="21"/>
      <c r="VPJ143" s="21"/>
      <c r="VPK143" s="21"/>
      <c r="VPL143" s="21"/>
      <c r="VPM143" s="21"/>
      <c r="VPN143" s="21"/>
      <c r="VPO143" s="21"/>
      <c r="VPP143" s="21"/>
      <c r="VPQ143" s="21"/>
      <c r="VPR143" s="21"/>
      <c r="VPS143" s="21"/>
      <c r="VPT143" s="21"/>
      <c r="VPU143" s="21"/>
      <c r="VPV143" s="21"/>
      <c r="VPW143" s="21"/>
      <c r="VPX143" s="21"/>
      <c r="VPY143" s="21"/>
      <c r="VPZ143" s="21"/>
      <c r="VQA143" s="21"/>
      <c r="VQB143" s="21"/>
      <c r="VQC143" s="21"/>
      <c r="VQD143" s="21"/>
      <c r="VQE143" s="21"/>
      <c r="VQF143" s="21"/>
      <c r="VQG143" s="21"/>
      <c r="VQH143" s="21"/>
      <c r="VQI143" s="21"/>
      <c r="VQJ143" s="21"/>
      <c r="VQK143" s="21"/>
      <c r="VQL143" s="21"/>
      <c r="VQM143" s="21"/>
      <c r="VQN143" s="21"/>
      <c r="VQO143" s="21"/>
      <c r="VQP143" s="21"/>
      <c r="VQQ143" s="21"/>
      <c r="VQR143" s="21"/>
      <c r="VQS143" s="21"/>
      <c r="VQT143" s="21"/>
      <c r="VQU143" s="21"/>
      <c r="VQV143" s="21"/>
      <c r="VQW143" s="21"/>
      <c r="VQX143" s="21"/>
      <c r="VQY143" s="21"/>
      <c r="VQZ143" s="21"/>
      <c r="VRA143" s="21"/>
      <c r="VRB143" s="21"/>
      <c r="VRC143" s="21"/>
      <c r="VRD143" s="21"/>
      <c r="VRE143" s="21"/>
      <c r="VRF143" s="21"/>
      <c r="VRG143" s="21"/>
      <c r="VRH143" s="21"/>
      <c r="VRI143" s="21"/>
      <c r="VRJ143" s="21"/>
      <c r="VRK143" s="21"/>
      <c r="VRL143" s="21"/>
      <c r="VRM143" s="21"/>
      <c r="VRN143" s="21"/>
      <c r="VRO143" s="21"/>
      <c r="VRP143" s="21"/>
      <c r="VRQ143" s="21"/>
      <c r="VRR143" s="21"/>
      <c r="VRS143" s="21"/>
      <c r="VRT143" s="21"/>
      <c r="VRU143" s="21"/>
      <c r="VRV143" s="21"/>
      <c r="VRW143" s="21"/>
      <c r="VRX143" s="21"/>
      <c r="VRY143" s="21"/>
      <c r="VRZ143" s="21"/>
      <c r="VSA143" s="21"/>
      <c r="VSB143" s="21"/>
      <c r="VSC143" s="21"/>
      <c r="VSD143" s="21"/>
      <c r="VSE143" s="21"/>
      <c r="VSF143" s="21"/>
      <c r="VSG143" s="21"/>
      <c r="VSH143" s="21"/>
      <c r="VSI143" s="21"/>
      <c r="VSJ143" s="21"/>
      <c r="VSK143" s="21"/>
      <c r="VSL143" s="21"/>
      <c r="VSM143" s="21"/>
      <c r="VSN143" s="21"/>
      <c r="VSO143" s="21"/>
      <c r="VSP143" s="21"/>
      <c r="VSQ143" s="21"/>
      <c r="VSR143" s="21"/>
      <c r="VSS143" s="21"/>
      <c r="VST143" s="21"/>
      <c r="VSU143" s="21"/>
      <c r="VSV143" s="21"/>
      <c r="VSW143" s="21"/>
      <c r="VSX143" s="21"/>
      <c r="VSY143" s="21"/>
      <c r="VSZ143" s="21"/>
      <c r="VTA143" s="21"/>
      <c r="VTB143" s="21"/>
      <c r="VTC143" s="21"/>
      <c r="VTD143" s="21"/>
      <c r="VTE143" s="21"/>
      <c r="VTF143" s="21"/>
      <c r="VTG143" s="21"/>
      <c r="VTH143" s="21"/>
      <c r="VTI143" s="21"/>
      <c r="VTJ143" s="21"/>
      <c r="VTK143" s="21"/>
      <c r="VTL143" s="21"/>
      <c r="VTM143" s="21"/>
      <c r="VTN143" s="21"/>
      <c r="VTO143" s="21"/>
      <c r="VTP143" s="21"/>
      <c r="VTQ143" s="21"/>
      <c r="VTR143" s="21"/>
      <c r="VTS143" s="21"/>
      <c r="VTT143" s="21"/>
      <c r="VTU143" s="21"/>
      <c r="VTV143" s="21"/>
      <c r="VTW143" s="21"/>
      <c r="VTX143" s="21"/>
      <c r="VTY143" s="21"/>
      <c r="VTZ143" s="21"/>
      <c r="VUA143" s="21"/>
      <c r="VUB143" s="21"/>
      <c r="VUC143" s="21"/>
      <c r="VUD143" s="21"/>
      <c r="VUE143" s="21"/>
      <c r="VUF143" s="21"/>
      <c r="VUG143" s="21"/>
      <c r="VUH143" s="21"/>
      <c r="VUI143" s="21"/>
      <c r="VUJ143" s="21"/>
      <c r="VUK143" s="21"/>
      <c r="VUL143" s="21"/>
      <c r="VUM143" s="21"/>
      <c r="VUN143" s="21"/>
      <c r="VUO143" s="21"/>
      <c r="VUP143" s="21"/>
      <c r="VUQ143" s="21"/>
      <c r="VUR143" s="21"/>
      <c r="VUS143" s="21"/>
      <c r="VUT143" s="21"/>
      <c r="VUU143" s="21"/>
      <c r="VUV143" s="21"/>
      <c r="VUW143" s="21"/>
      <c r="VUX143" s="21"/>
      <c r="VUY143" s="21"/>
      <c r="VUZ143" s="21"/>
      <c r="VVA143" s="21"/>
      <c r="VVB143" s="21"/>
      <c r="VVC143" s="21"/>
      <c r="VVD143" s="21"/>
      <c r="VVE143" s="21"/>
      <c r="VVF143" s="21"/>
      <c r="VVG143" s="21"/>
      <c r="VVH143" s="21"/>
      <c r="VVI143" s="21"/>
      <c r="VVJ143" s="21"/>
      <c r="VVK143" s="21"/>
      <c r="VVL143" s="21"/>
      <c r="VVM143" s="21"/>
      <c r="VVN143" s="21"/>
      <c r="VVO143" s="21"/>
      <c r="VVP143" s="21"/>
      <c r="VVQ143" s="21"/>
      <c r="VVR143" s="21"/>
      <c r="VVS143" s="21"/>
      <c r="VVT143" s="21"/>
      <c r="VVU143" s="21"/>
      <c r="VVV143" s="21"/>
      <c r="VVW143" s="21"/>
      <c r="VVX143" s="21"/>
      <c r="VVY143" s="21"/>
      <c r="VVZ143" s="21"/>
      <c r="VWA143" s="21"/>
      <c r="VWB143" s="21"/>
      <c r="VWC143" s="21"/>
      <c r="VWD143" s="21"/>
      <c r="VWE143" s="21"/>
      <c r="VWF143" s="21"/>
      <c r="VWG143" s="21"/>
      <c r="VWH143" s="21"/>
      <c r="VWI143" s="21"/>
      <c r="VWJ143" s="21"/>
      <c r="VWK143" s="21"/>
      <c r="VWL143" s="21"/>
      <c r="VWM143" s="21"/>
      <c r="VWN143" s="21"/>
      <c r="VWO143" s="21"/>
      <c r="VWP143" s="21"/>
      <c r="VWQ143" s="21"/>
      <c r="VWR143" s="21"/>
      <c r="VWS143" s="21"/>
      <c r="VWT143" s="21"/>
      <c r="VWU143" s="21"/>
      <c r="VWV143" s="21"/>
      <c r="VWW143" s="21"/>
      <c r="VWX143" s="21"/>
      <c r="VWY143" s="21"/>
      <c r="VWZ143" s="21"/>
      <c r="VXA143" s="21"/>
      <c r="VXB143" s="21"/>
      <c r="VXC143" s="21"/>
      <c r="VXD143" s="21"/>
      <c r="VXE143" s="21"/>
      <c r="VXF143" s="21"/>
      <c r="VXG143" s="21"/>
      <c r="VXH143" s="21"/>
      <c r="VXI143" s="21"/>
      <c r="VXJ143" s="21"/>
      <c r="VXK143" s="21"/>
      <c r="VXL143" s="21"/>
      <c r="VXM143" s="21"/>
      <c r="VXN143" s="21"/>
      <c r="VXO143" s="21"/>
      <c r="VXP143" s="21"/>
      <c r="VXQ143" s="21"/>
      <c r="VXR143" s="21"/>
      <c r="VXS143" s="21"/>
      <c r="VXT143" s="21"/>
      <c r="VXU143" s="21"/>
      <c r="VXV143" s="21"/>
      <c r="VXW143" s="21"/>
      <c r="VXX143" s="21"/>
      <c r="VXY143" s="21"/>
      <c r="VXZ143" s="21"/>
      <c r="VYA143" s="21"/>
      <c r="VYB143" s="21"/>
      <c r="VYC143" s="21"/>
      <c r="VYD143" s="21"/>
      <c r="VYE143" s="21"/>
      <c r="VYF143" s="21"/>
      <c r="VYG143" s="21"/>
      <c r="VYH143" s="21"/>
      <c r="VYI143" s="21"/>
      <c r="VYJ143" s="21"/>
      <c r="VYK143" s="21"/>
      <c r="VYL143" s="21"/>
      <c r="VYM143" s="21"/>
      <c r="VYN143" s="21"/>
      <c r="VYO143" s="21"/>
      <c r="VYP143" s="21"/>
      <c r="VYQ143" s="21"/>
      <c r="VYR143" s="21"/>
      <c r="VYS143" s="21"/>
      <c r="VYT143" s="21"/>
      <c r="VYU143" s="21"/>
      <c r="VYV143" s="21"/>
      <c r="VYW143" s="21"/>
      <c r="VYX143" s="21"/>
      <c r="VYY143" s="21"/>
      <c r="VYZ143" s="21"/>
      <c r="VZA143" s="21"/>
      <c r="VZB143" s="21"/>
      <c r="VZC143" s="21"/>
      <c r="VZD143" s="21"/>
      <c r="VZE143" s="21"/>
      <c r="VZF143" s="21"/>
      <c r="VZG143" s="21"/>
      <c r="VZH143" s="21"/>
      <c r="VZI143" s="21"/>
      <c r="VZJ143" s="21"/>
      <c r="VZK143" s="21"/>
      <c r="VZL143" s="21"/>
      <c r="VZM143" s="21"/>
      <c r="VZN143" s="21"/>
      <c r="VZO143" s="21"/>
      <c r="VZP143" s="21"/>
      <c r="VZQ143" s="21"/>
      <c r="VZR143" s="21"/>
      <c r="VZS143" s="21"/>
      <c r="VZT143" s="21"/>
      <c r="VZU143" s="21"/>
      <c r="VZV143" s="21"/>
      <c r="VZW143" s="21"/>
      <c r="VZX143" s="21"/>
      <c r="VZY143" s="21"/>
      <c r="VZZ143" s="21"/>
      <c r="WAA143" s="21"/>
      <c r="WAB143" s="21"/>
      <c r="WAC143" s="21"/>
      <c r="WAD143" s="21"/>
      <c r="WAE143" s="21"/>
      <c r="WAF143" s="21"/>
      <c r="WAG143" s="21"/>
      <c r="WAH143" s="21"/>
      <c r="WAI143" s="21"/>
      <c r="WAJ143" s="21"/>
      <c r="WAK143" s="21"/>
      <c r="WAL143" s="21"/>
      <c r="WAM143" s="21"/>
      <c r="WAN143" s="21"/>
      <c r="WAO143" s="21"/>
      <c r="WAP143" s="21"/>
      <c r="WAQ143" s="21"/>
      <c r="WAR143" s="21"/>
      <c r="WAS143" s="21"/>
      <c r="WAT143" s="21"/>
      <c r="WAU143" s="21"/>
      <c r="WAV143" s="21"/>
      <c r="WAW143" s="21"/>
      <c r="WAX143" s="21"/>
      <c r="WAY143" s="21"/>
      <c r="WAZ143" s="21"/>
      <c r="WBA143" s="21"/>
      <c r="WBB143" s="21"/>
      <c r="WBC143" s="21"/>
      <c r="WBD143" s="21"/>
      <c r="WBE143" s="21"/>
      <c r="WBF143" s="21"/>
      <c r="WBG143" s="21"/>
      <c r="WBH143" s="21"/>
      <c r="WBI143" s="21"/>
      <c r="WBJ143" s="21"/>
      <c r="WBK143" s="21"/>
      <c r="WBL143" s="21"/>
      <c r="WBM143" s="21"/>
      <c r="WBN143" s="21"/>
      <c r="WBO143" s="21"/>
      <c r="WBP143" s="21"/>
      <c r="WBQ143" s="21"/>
      <c r="WBR143" s="21"/>
      <c r="WBS143" s="21"/>
      <c r="WBT143" s="21"/>
      <c r="WBU143" s="21"/>
      <c r="WBV143" s="21"/>
      <c r="WBW143" s="21"/>
      <c r="WBX143" s="21"/>
      <c r="WBY143" s="21"/>
      <c r="WBZ143" s="21"/>
      <c r="WCA143" s="21"/>
      <c r="WCB143" s="21"/>
      <c r="WCC143" s="21"/>
      <c r="WCD143" s="21"/>
      <c r="WCE143" s="21"/>
      <c r="WCF143" s="21"/>
      <c r="WCG143" s="21"/>
      <c r="WCH143" s="21"/>
      <c r="WCI143" s="21"/>
      <c r="WCJ143" s="21"/>
      <c r="WCK143" s="21"/>
      <c r="WCL143" s="21"/>
      <c r="WCM143" s="21"/>
      <c r="WCN143" s="21"/>
      <c r="WCO143" s="21"/>
      <c r="WCP143" s="21"/>
      <c r="WCQ143" s="21"/>
      <c r="WCR143" s="21"/>
      <c r="WCS143" s="21"/>
      <c r="WCT143" s="21"/>
      <c r="WCU143" s="21"/>
      <c r="WCV143" s="21"/>
      <c r="WCW143" s="21"/>
      <c r="WCX143" s="21"/>
      <c r="WCY143" s="21"/>
      <c r="WCZ143" s="21"/>
      <c r="WDA143" s="21"/>
      <c r="WDB143" s="21"/>
      <c r="WDC143" s="21"/>
      <c r="WDD143" s="21"/>
      <c r="WDE143" s="21"/>
      <c r="WDF143" s="21"/>
      <c r="WDG143" s="21"/>
      <c r="WDH143" s="21"/>
      <c r="WDI143" s="21"/>
      <c r="WDJ143" s="21"/>
      <c r="WDK143" s="21"/>
      <c r="WDL143" s="21"/>
      <c r="WDM143" s="21"/>
      <c r="WDN143" s="21"/>
      <c r="WDO143" s="21"/>
      <c r="WDP143" s="21"/>
      <c r="WDQ143" s="21"/>
      <c r="WDR143" s="21"/>
      <c r="WDS143" s="21"/>
      <c r="WDT143" s="21"/>
      <c r="WDU143" s="21"/>
      <c r="WDV143" s="21"/>
      <c r="WDW143" s="21"/>
      <c r="WDX143" s="21"/>
      <c r="WDY143" s="21"/>
      <c r="WDZ143" s="21"/>
      <c r="WEA143" s="21"/>
      <c r="WEB143" s="21"/>
      <c r="WEC143" s="21"/>
      <c r="WED143" s="21"/>
      <c r="WEE143" s="21"/>
      <c r="WEF143" s="21"/>
      <c r="WEG143" s="21"/>
      <c r="WEH143" s="21"/>
      <c r="WEI143" s="21"/>
      <c r="WEJ143" s="21"/>
      <c r="WEK143" s="21"/>
      <c r="WEL143" s="21"/>
      <c r="WEM143" s="21"/>
      <c r="WEN143" s="21"/>
      <c r="WEO143" s="21"/>
      <c r="WEP143" s="21"/>
      <c r="WEQ143" s="21"/>
      <c r="WER143" s="21"/>
      <c r="WES143" s="21"/>
      <c r="WET143" s="21"/>
      <c r="WEU143" s="21"/>
      <c r="WEV143" s="21"/>
      <c r="WEW143" s="21"/>
      <c r="WEX143" s="21"/>
      <c r="WEY143" s="21"/>
      <c r="WEZ143" s="21"/>
      <c r="WFA143" s="21"/>
      <c r="WFB143" s="21"/>
      <c r="WFC143" s="21"/>
      <c r="WFD143" s="21"/>
      <c r="WFE143" s="21"/>
      <c r="WFF143" s="21"/>
      <c r="WFG143" s="21"/>
      <c r="WFH143" s="21"/>
      <c r="WFI143" s="21"/>
      <c r="WFJ143" s="21"/>
      <c r="WFK143" s="21"/>
      <c r="WFL143" s="21"/>
      <c r="WFM143" s="21"/>
      <c r="WFN143" s="21"/>
      <c r="WFO143" s="21"/>
      <c r="WFP143" s="21"/>
      <c r="WFQ143" s="21"/>
      <c r="WFR143" s="21"/>
      <c r="WFS143" s="21"/>
      <c r="WFT143" s="21"/>
      <c r="WFU143" s="21"/>
      <c r="WFV143" s="21"/>
      <c r="WFW143" s="21"/>
      <c r="WFX143" s="21"/>
      <c r="WFY143" s="21"/>
      <c r="WFZ143" s="21"/>
      <c r="WGA143" s="21"/>
      <c r="WGB143" s="21"/>
      <c r="WGC143" s="21"/>
      <c r="WGD143" s="21"/>
      <c r="WGE143" s="21"/>
      <c r="WGF143" s="21"/>
      <c r="WGG143" s="21"/>
      <c r="WGH143" s="21"/>
      <c r="WGI143" s="21"/>
      <c r="WGJ143" s="21"/>
      <c r="WGK143" s="21"/>
      <c r="WGL143" s="21"/>
      <c r="WGM143" s="21"/>
      <c r="WGN143" s="21"/>
      <c r="WGO143" s="21"/>
      <c r="WGP143" s="21"/>
      <c r="WGQ143" s="21"/>
      <c r="WGR143" s="21"/>
      <c r="WGS143" s="21"/>
      <c r="WGT143" s="21"/>
      <c r="WGU143" s="21"/>
      <c r="WGV143" s="21"/>
      <c r="WGW143" s="21"/>
      <c r="WGX143" s="21"/>
      <c r="WGY143" s="21"/>
      <c r="WGZ143" s="21"/>
      <c r="WHA143" s="21"/>
      <c r="WHB143" s="21"/>
      <c r="WHC143" s="21"/>
      <c r="WHD143" s="21"/>
      <c r="WHE143" s="21"/>
      <c r="WHF143" s="21"/>
      <c r="WHG143" s="21"/>
      <c r="WHH143" s="21"/>
      <c r="WHI143" s="21"/>
      <c r="WHJ143" s="21"/>
      <c r="WHK143" s="21"/>
      <c r="WHL143" s="21"/>
      <c r="WHM143" s="21"/>
      <c r="WHN143" s="21"/>
      <c r="WHO143" s="21"/>
      <c r="WHP143" s="21"/>
      <c r="WHQ143" s="21"/>
      <c r="WHR143" s="21"/>
      <c r="WHS143" s="21"/>
      <c r="WHT143" s="21"/>
      <c r="WHU143" s="21"/>
      <c r="WHV143" s="21"/>
      <c r="WHW143" s="21"/>
      <c r="WHX143" s="21"/>
      <c r="WHY143" s="21"/>
      <c r="WHZ143" s="21"/>
      <c r="WIA143" s="21"/>
      <c r="WIB143" s="21"/>
      <c r="WIC143" s="21"/>
      <c r="WID143" s="21"/>
      <c r="WIE143" s="21"/>
      <c r="WIF143" s="21"/>
      <c r="WIG143" s="21"/>
      <c r="WIH143" s="21"/>
      <c r="WII143" s="21"/>
      <c r="WIJ143" s="21"/>
      <c r="WIK143" s="21"/>
      <c r="WIL143" s="21"/>
      <c r="WIM143" s="21"/>
      <c r="WIN143" s="21"/>
      <c r="WIO143" s="21"/>
      <c r="WIP143" s="21"/>
      <c r="WIQ143" s="21"/>
      <c r="WIR143" s="21"/>
      <c r="WIS143" s="21"/>
      <c r="WIT143" s="21"/>
      <c r="WIU143" s="21"/>
      <c r="WIV143" s="21"/>
      <c r="WIW143" s="21"/>
      <c r="WIX143" s="21"/>
      <c r="WIY143" s="21"/>
      <c r="WIZ143" s="21"/>
      <c r="WJA143" s="21"/>
      <c r="WJB143" s="21"/>
      <c r="WJC143" s="21"/>
      <c r="WJD143" s="21"/>
      <c r="WJE143" s="21"/>
      <c r="WJF143" s="21"/>
      <c r="WJG143" s="21"/>
      <c r="WJH143" s="21"/>
      <c r="WJI143" s="21"/>
      <c r="WJJ143" s="21"/>
      <c r="WJK143" s="21"/>
      <c r="WJL143" s="21"/>
      <c r="WJM143" s="21"/>
      <c r="WJN143" s="21"/>
      <c r="WJO143" s="21"/>
      <c r="WJP143" s="21"/>
      <c r="WJQ143" s="21"/>
      <c r="WJR143" s="21"/>
      <c r="WJS143" s="21"/>
      <c r="WJT143" s="21"/>
      <c r="WJU143" s="21"/>
      <c r="WJV143" s="21"/>
      <c r="WJW143" s="21"/>
      <c r="WJX143" s="21"/>
      <c r="WJY143" s="21"/>
      <c r="WJZ143" s="21"/>
      <c r="WKA143" s="21"/>
      <c r="WKB143" s="21"/>
      <c r="WKC143" s="21"/>
      <c r="WKD143" s="21"/>
      <c r="WKE143" s="21"/>
      <c r="WKF143" s="21"/>
      <c r="WKG143" s="21"/>
      <c r="WKH143" s="21"/>
      <c r="WKI143" s="21"/>
      <c r="WKJ143" s="21"/>
      <c r="WKK143" s="21"/>
      <c r="WKL143" s="21"/>
      <c r="WKM143" s="21"/>
      <c r="WKN143" s="21"/>
      <c r="WKO143" s="21"/>
      <c r="WKP143" s="21"/>
      <c r="WKQ143" s="21"/>
      <c r="WKR143" s="21"/>
      <c r="WKS143" s="21"/>
      <c r="WKT143" s="21"/>
      <c r="WKU143" s="21"/>
      <c r="WKV143" s="21"/>
      <c r="WKW143" s="21"/>
      <c r="WKX143" s="21"/>
      <c r="WKY143" s="21"/>
      <c r="WKZ143" s="21"/>
      <c r="WLA143" s="21"/>
      <c r="WLB143" s="21"/>
      <c r="WLC143" s="21"/>
      <c r="WLD143" s="21"/>
      <c r="WLE143" s="21"/>
      <c r="WLF143" s="21"/>
      <c r="WLG143" s="21"/>
      <c r="WLH143" s="21"/>
      <c r="WLI143" s="21"/>
      <c r="WLJ143" s="21"/>
      <c r="WLK143" s="21"/>
      <c r="WLL143" s="21"/>
      <c r="WLM143" s="21"/>
      <c r="WLN143" s="21"/>
      <c r="WLO143" s="21"/>
      <c r="WLP143" s="21"/>
      <c r="WLQ143" s="21"/>
      <c r="WLR143" s="21"/>
      <c r="WLS143" s="21"/>
      <c r="WLT143" s="21"/>
      <c r="WLU143" s="21"/>
      <c r="WLV143" s="21"/>
      <c r="WLW143" s="21"/>
      <c r="WLX143" s="21"/>
      <c r="WLY143" s="21"/>
      <c r="WLZ143" s="21"/>
      <c r="WMA143" s="21"/>
      <c r="WMB143" s="21"/>
      <c r="WMC143" s="21"/>
      <c r="WMD143" s="21"/>
      <c r="WME143" s="21"/>
      <c r="WMF143" s="21"/>
      <c r="WMG143" s="21"/>
      <c r="WMH143" s="21"/>
      <c r="WMI143" s="21"/>
      <c r="WMJ143" s="21"/>
      <c r="WMK143" s="21"/>
      <c r="WML143" s="21"/>
      <c r="WMM143" s="21"/>
      <c r="WMN143" s="21"/>
      <c r="WMO143" s="21"/>
      <c r="WMP143" s="21"/>
      <c r="WMQ143" s="21"/>
      <c r="WMR143" s="21"/>
      <c r="WMS143" s="21"/>
      <c r="WMT143" s="21"/>
      <c r="WMU143" s="21"/>
      <c r="WMV143" s="21"/>
      <c r="WMW143" s="21"/>
      <c r="WMX143" s="21"/>
      <c r="WMY143" s="21"/>
      <c r="WMZ143" s="21"/>
      <c r="WNA143" s="21"/>
      <c r="WNB143" s="21"/>
      <c r="WNC143" s="21"/>
      <c r="WND143" s="21"/>
      <c r="WNE143" s="21"/>
      <c r="WNF143" s="21"/>
      <c r="WNG143" s="21"/>
      <c r="WNH143" s="21"/>
      <c r="WNI143" s="21"/>
      <c r="WNJ143" s="21"/>
      <c r="WNK143" s="21"/>
      <c r="WNL143" s="21"/>
      <c r="WNM143" s="21"/>
      <c r="WNN143" s="21"/>
      <c r="WNO143" s="21"/>
      <c r="WNP143" s="21"/>
      <c r="WNQ143" s="21"/>
      <c r="WNR143" s="21"/>
      <c r="WNS143" s="21"/>
      <c r="WNT143" s="21"/>
      <c r="WNU143" s="21"/>
      <c r="WNV143" s="21"/>
      <c r="WNW143" s="21"/>
      <c r="WNX143" s="21"/>
      <c r="WNY143" s="21"/>
      <c r="WNZ143" s="21"/>
      <c r="WOA143" s="21"/>
      <c r="WOB143" s="21"/>
      <c r="WOC143" s="21"/>
      <c r="WOD143" s="21"/>
      <c r="WOE143" s="21"/>
      <c r="WOF143" s="21"/>
      <c r="WOG143" s="21"/>
      <c r="WOH143" s="21"/>
      <c r="WOI143" s="21"/>
      <c r="WOJ143" s="21"/>
      <c r="WOK143" s="21"/>
      <c r="WOL143" s="21"/>
      <c r="WOM143" s="21"/>
      <c r="WON143" s="21"/>
      <c r="WOO143" s="21"/>
      <c r="WOP143" s="21"/>
      <c r="WOQ143" s="21"/>
      <c r="WOR143" s="21"/>
      <c r="WOS143" s="21"/>
      <c r="WOT143" s="21"/>
      <c r="WOU143" s="21"/>
      <c r="WOV143" s="21"/>
      <c r="WOW143" s="21"/>
      <c r="WOX143" s="21"/>
      <c r="WOY143" s="21"/>
      <c r="WOZ143" s="21"/>
      <c r="WPA143" s="21"/>
      <c r="WPB143" s="21"/>
      <c r="WPC143" s="21"/>
      <c r="WPD143" s="21"/>
      <c r="WPE143" s="21"/>
      <c r="WPF143" s="21"/>
      <c r="WPG143" s="21"/>
      <c r="WPH143" s="21"/>
      <c r="WPI143" s="21"/>
      <c r="WPJ143" s="21"/>
      <c r="WPK143" s="21"/>
      <c r="WPL143" s="21"/>
      <c r="WPM143" s="21"/>
      <c r="WPN143" s="21"/>
      <c r="WPO143" s="21"/>
      <c r="WPP143" s="21"/>
      <c r="WPQ143" s="21"/>
      <c r="WPR143" s="21"/>
      <c r="WPS143" s="21"/>
      <c r="WPT143" s="21"/>
      <c r="WPU143" s="21"/>
      <c r="WPV143" s="21"/>
      <c r="WPW143" s="21"/>
      <c r="WPX143" s="21"/>
      <c r="WPY143" s="21"/>
      <c r="WPZ143" s="21"/>
      <c r="WQA143" s="21"/>
      <c r="WQB143" s="21"/>
      <c r="WQC143" s="21"/>
      <c r="WQD143" s="21"/>
      <c r="WQE143" s="21"/>
      <c r="WQF143" s="21"/>
      <c r="WQG143" s="21"/>
      <c r="WQH143" s="21"/>
      <c r="WQI143" s="21"/>
      <c r="WQJ143" s="21"/>
      <c r="WQK143" s="21"/>
      <c r="WQL143" s="21"/>
      <c r="WQM143" s="21"/>
      <c r="WQN143" s="21"/>
      <c r="WQO143" s="21"/>
      <c r="WQP143" s="21"/>
      <c r="WQQ143" s="21"/>
      <c r="WQR143" s="21"/>
      <c r="WQS143" s="21"/>
      <c r="WQT143" s="21"/>
      <c r="WQU143" s="21"/>
      <c r="WQV143" s="21"/>
      <c r="WQW143" s="21"/>
      <c r="WQX143" s="21"/>
      <c r="WQY143" s="21"/>
      <c r="WQZ143" s="21"/>
      <c r="WRA143" s="21"/>
      <c r="WRB143" s="21"/>
      <c r="WRC143" s="21"/>
      <c r="WRD143" s="21"/>
      <c r="WRE143" s="21"/>
      <c r="WRF143" s="21"/>
      <c r="WRG143" s="21"/>
      <c r="WRH143" s="21"/>
      <c r="WRI143" s="21"/>
      <c r="WRJ143" s="21"/>
      <c r="WRK143" s="21"/>
      <c r="WRL143" s="21"/>
      <c r="WRM143" s="21"/>
      <c r="WRN143" s="21"/>
      <c r="WRO143" s="21"/>
      <c r="WRP143" s="21"/>
      <c r="WRQ143" s="21"/>
      <c r="WRR143" s="21"/>
      <c r="WRS143" s="21"/>
      <c r="WRT143" s="21"/>
      <c r="WRU143" s="21"/>
      <c r="WRV143" s="21"/>
      <c r="WRW143" s="21"/>
      <c r="WRX143" s="21"/>
      <c r="WRY143" s="21"/>
      <c r="WRZ143" s="21"/>
      <c r="WSA143" s="21"/>
      <c r="WSB143" s="21"/>
      <c r="WSC143" s="21"/>
      <c r="WSD143" s="21"/>
      <c r="WSE143" s="21"/>
      <c r="WSF143" s="21"/>
      <c r="WSG143" s="21"/>
      <c r="WSH143" s="21"/>
      <c r="WSI143" s="21"/>
      <c r="WSJ143" s="21"/>
      <c r="WSK143" s="21"/>
      <c r="WSL143" s="21"/>
      <c r="WSM143" s="21"/>
      <c r="WSN143" s="21"/>
      <c r="WSO143" s="21"/>
      <c r="WSP143" s="21"/>
      <c r="WSQ143" s="21"/>
      <c r="WSR143" s="21"/>
      <c r="WSS143" s="21"/>
      <c r="WST143" s="21"/>
      <c r="WSU143" s="21"/>
      <c r="WSV143" s="21"/>
      <c r="WSW143" s="21"/>
      <c r="WSX143" s="21"/>
      <c r="WSY143" s="21"/>
      <c r="WSZ143" s="21"/>
      <c r="WTA143" s="21"/>
      <c r="WTB143" s="21"/>
      <c r="WTC143" s="21"/>
      <c r="WTD143" s="21"/>
      <c r="WTE143" s="21"/>
      <c r="WTF143" s="21"/>
      <c r="WTG143" s="21"/>
      <c r="WTH143" s="21"/>
      <c r="WTI143" s="21"/>
      <c r="WTJ143" s="21"/>
      <c r="WTK143" s="21"/>
      <c r="WTL143" s="21"/>
      <c r="WTM143" s="21"/>
      <c r="WTN143" s="21"/>
      <c r="WTO143" s="21"/>
      <c r="WTP143" s="21"/>
      <c r="WTQ143" s="21"/>
      <c r="WTR143" s="21"/>
      <c r="WTS143" s="21"/>
      <c r="WTT143" s="21"/>
      <c r="WTU143" s="21"/>
      <c r="WTV143" s="21"/>
      <c r="WTW143" s="21"/>
      <c r="WTX143" s="21"/>
      <c r="WTY143" s="21"/>
      <c r="WTZ143" s="21"/>
      <c r="WUA143" s="21"/>
      <c r="WUB143" s="21"/>
      <c r="WUC143" s="21"/>
      <c r="WUD143" s="21"/>
      <c r="WUE143" s="21"/>
      <c r="WUF143" s="21"/>
      <c r="WUG143" s="21"/>
      <c r="WUH143" s="21"/>
      <c r="WUI143" s="21"/>
      <c r="WUJ143" s="21"/>
      <c r="WUK143" s="21"/>
      <c r="WUL143" s="21"/>
      <c r="WUM143" s="21"/>
      <c r="WUN143" s="21"/>
      <c r="WUO143" s="21"/>
      <c r="WUP143" s="21"/>
      <c r="WUQ143" s="21"/>
      <c r="WUR143" s="21"/>
      <c r="WUS143" s="21"/>
      <c r="WUT143" s="21"/>
      <c r="WUU143" s="21"/>
      <c r="WUV143" s="21"/>
      <c r="WUW143" s="21"/>
      <c r="WUX143" s="21"/>
      <c r="WUY143" s="21"/>
      <c r="WUZ143" s="21"/>
      <c r="WVA143" s="21"/>
      <c r="WVB143" s="21"/>
      <c r="WVC143" s="21"/>
      <c r="WVD143" s="21"/>
      <c r="WVE143" s="21"/>
      <c r="WVF143" s="21"/>
      <c r="WVG143" s="21"/>
      <c r="WVH143" s="21"/>
      <c r="WVI143" s="21"/>
      <c r="WVJ143" s="21"/>
      <c r="WVK143" s="21"/>
      <c r="WVL143" s="21"/>
      <c r="WVM143" s="21"/>
      <c r="WVN143" s="21"/>
      <c r="WVO143" s="21"/>
      <c r="WVP143" s="21"/>
      <c r="WVQ143" s="21"/>
      <c r="WVR143" s="21"/>
      <c r="WVS143" s="21"/>
      <c r="WVT143" s="21"/>
      <c r="WVU143" s="21"/>
      <c r="WVV143" s="21"/>
      <c r="WVW143" s="21"/>
      <c r="WVX143" s="21"/>
      <c r="WVY143" s="21"/>
      <c r="WVZ143" s="21"/>
      <c r="WWA143" s="21"/>
      <c r="WWB143" s="21"/>
      <c r="WWC143" s="21"/>
      <c r="WWD143" s="21"/>
      <c r="WWE143" s="21"/>
      <c r="WWF143" s="21"/>
      <c r="WWG143" s="21"/>
      <c r="WWH143" s="21"/>
      <c r="WWI143" s="21"/>
      <c r="WWJ143" s="21"/>
      <c r="WWK143" s="21"/>
      <c r="WWL143" s="21"/>
      <c r="WWM143" s="21"/>
      <c r="WWN143" s="21"/>
      <c r="WWO143" s="21"/>
      <c r="WWP143" s="21"/>
      <c r="WWQ143" s="21"/>
      <c r="WWR143" s="21"/>
      <c r="WWS143" s="21"/>
      <c r="WWT143" s="21"/>
      <c r="WWU143" s="21"/>
      <c r="WWV143" s="21"/>
      <c r="WWW143" s="21"/>
      <c r="WWX143" s="21"/>
      <c r="WWY143" s="21"/>
      <c r="WWZ143" s="21"/>
      <c r="WXA143" s="21"/>
      <c r="WXB143" s="21"/>
      <c r="WXC143" s="21"/>
      <c r="WXD143" s="21"/>
      <c r="WXE143" s="21"/>
      <c r="WXF143" s="21"/>
      <c r="WXG143" s="21"/>
      <c r="WXH143" s="21"/>
      <c r="WXI143" s="21"/>
      <c r="WXJ143" s="21"/>
      <c r="WXK143" s="21"/>
      <c r="WXL143" s="21"/>
      <c r="WXM143" s="21"/>
      <c r="WXN143" s="21"/>
      <c r="WXO143" s="21"/>
      <c r="WXP143" s="21"/>
      <c r="WXQ143" s="21"/>
      <c r="WXR143" s="21"/>
      <c r="WXS143" s="21"/>
      <c r="WXT143" s="21"/>
      <c r="WXU143" s="21"/>
      <c r="WXV143" s="21"/>
      <c r="WXW143" s="21"/>
      <c r="WXX143" s="21"/>
      <c r="WXY143" s="21"/>
      <c r="WXZ143" s="21"/>
      <c r="WYA143" s="21"/>
      <c r="WYB143" s="21"/>
      <c r="WYC143" s="21"/>
      <c r="WYD143" s="21"/>
      <c r="WYE143" s="21"/>
      <c r="WYF143" s="21"/>
      <c r="WYG143" s="21"/>
      <c r="WYH143" s="21"/>
      <c r="WYI143" s="21"/>
      <c r="WYJ143" s="21"/>
      <c r="WYK143" s="21"/>
      <c r="WYL143" s="21"/>
      <c r="WYM143" s="21"/>
      <c r="WYN143" s="21"/>
      <c r="WYO143" s="21"/>
      <c r="WYP143" s="21"/>
      <c r="WYQ143" s="21"/>
      <c r="WYR143" s="21"/>
      <c r="WYS143" s="21"/>
      <c r="WYT143" s="21"/>
      <c r="WYU143" s="21"/>
      <c r="WYV143" s="21"/>
      <c r="WYW143" s="21"/>
      <c r="WYX143" s="21"/>
      <c r="WYY143" s="21"/>
      <c r="WYZ143" s="21"/>
      <c r="WZA143" s="21"/>
      <c r="WZB143" s="21"/>
      <c r="WZC143" s="21"/>
      <c r="WZD143" s="21"/>
      <c r="WZE143" s="21"/>
      <c r="WZF143" s="21"/>
      <c r="WZG143" s="21"/>
      <c r="WZH143" s="21"/>
      <c r="WZI143" s="21"/>
      <c r="WZJ143" s="21"/>
      <c r="WZK143" s="21"/>
      <c r="WZL143" s="21"/>
      <c r="WZM143" s="21"/>
      <c r="WZN143" s="21"/>
      <c r="WZO143" s="21"/>
      <c r="WZP143" s="21"/>
      <c r="WZQ143" s="21"/>
      <c r="WZR143" s="21"/>
      <c r="WZS143" s="21"/>
      <c r="WZT143" s="21"/>
      <c r="WZU143" s="21"/>
      <c r="WZV143" s="21"/>
      <c r="WZW143" s="21"/>
      <c r="WZX143" s="21"/>
      <c r="WZY143" s="21"/>
      <c r="WZZ143" s="21"/>
      <c r="XAA143" s="21"/>
      <c r="XAB143" s="21"/>
      <c r="XAC143" s="21"/>
      <c r="XAD143" s="21"/>
      <c r="XAE143" s="21"/>
      <c r="XAF143" s="21"/>
      <c r="XAG143" s="21"/>
      <c r="XAH143" s="21"/>
      <c r="XAI143" s="21"/>
      <c r="XAJ143" s="21"/>
      <c r="XAK143" s="21"/>
      <c r="XAL143" s="21"/>
      <c r="XAM143" s="21"/>
      <c r="XAN143" s="21"/>
      <c r="XAO143" s="21"/>
      <c r="XAP143" s="21"/>
      <c r="XAQ143" s="21"/>
      <c r="XAR143" s="21"/>
      <c r="XAS143" s="21"/>
      <c r="XAT143" s="21"/>
      <c r="XAU143" s="21"/>
      <c r="XAV143" s="21"/>
      <c r="XAW143" s="21"/>
      <c r="XAX143" s="21"/>
      <c r="XAY143" s="21"/>
      <c r="XAZ143" s="21"/>
      <c r="XBA143" s="21"/>
      <c r="XBB143" s="21"/>
      <c r="XBC143" s="21"/>
      <c r="XBD143" s="21"/>
      <c r="XBE143" s="21"/>
      <c r="XBF143" s="21"/>
      <c r="XBG143" s="21"/>
      <c r="XBH143" s="21"/>
      <c r="XBI143" s="21"/>
      <c r="XBJ143" s="21"/>
      <c r="XBK143" s="21"/>
      <c r="XBL143" s="21"/>
      <c r="XBM143" s="21"/>
      <c r="XBN143" s="21"/>
      <c r="XBO143" s="21"/>
      <c r="XBP143" s="21"/>
      <c r="XBQ143" s="21"/>
      <c r="XBR143" s="21"/>
      <c r="XBS143" s="21"/>
      <c r="XBT143" s="21"/>
      <c r="XBU143" s="21"/>
      <c r="XBV143" s="21"/>
      <c r="XBW143" s="21"/>
      <c r="XBX143" s="21"/>
      <c r="XBY143" s="21"/>
      <c r="XBZ143" s="21"/>
      <c r="XCA143" s="21"/>
      <c r="XCB143" s="21"/>
      <c r="XCC143" s="21"/>
      <c r="XCD143" s="21"/>
      <c r="XCE143" s="21"/>
      <c r="XCF143" s="21"/>
      <c r="XCG143" s="21"/>
      <c r="XCH143" s="21"/>
      <c r="XCI143" s="21"/>
      <c r="XCJ143" s="21"/>
      <c r="XCK143" s="21"/>
      <c r="XCL143" s="21"/>
      <c r="XCM143" s="21"/>
      <c r="XCN143" s="21"/>
      <c r="XCO143" s="21"/>
      <c r="XCP143" s="21"/>
      <c r="XCQ143" s="21"/>
      <c r="XCR143" s="21"/>
      <c r="XCS143" s="21"/>
      <c r="XCT143" s="21"/>
      <c r="XCU143" s="21"/>
      <c r="XCV143" s="21"/>
      <c r="XCW143" s="21"/>
      <c r="XCX143" s="21"/>
      <c r="XCY143" s="21"/>
      <c r="XCZ143" s="21"/>
      <c r="XDA143" s="21"/>
      <c r="XDB143" s="21"/>
      <c r="XDC143" s="21"/>
      <c r="XDD143" s="21"/>
      <c r="XDE143" s="21"/>
      <c r="XDF143" s="21"/>
      <c r="XDG143" s="21"/>
      <c r="XDH143" s="21"/>
      <c r="XDI143" s="21"/>
      <c r="XDJ143" s="21"/>
      <c r="XDK143" s="21"/>
      <c r="XDL143" s="21"/>
      <c r="XDM143" s="21"/>
      <c r="XDN143" s="21"/>
      <c r="XDO143" s="21"/>
      <c r="XDP143" s="21"/>
      <c r="XDQ143" s="21"/>
      <c r="XDR143" s="21"/>
      <c r="XDS143" s="21"/>
      <c r="XDT143" s="21"/>
      <c r="XDU143" s="21"/>
      <c r="XDV143" s="21"/>
      <c r="XDW143" s="21"/>
      <c r="XDX143" s="21"/>
      <c r="XDY143" s="21"/>
      <c r="XDZ143" s="21"/>
      <c r="XEA143" s="21"/>
      <c r="XEB143" s="21"/>
      <c r="XEC143" s="21"/>
      <c r="XED143" s="21"/>
      <c r="XEE143" s="21"/>
      <c r="XEF143" s="21"/>
      <c r="XEG143" s="21"/>
      <c r="XEH143" s="21"/>
      <c r="XEI143" s="21"/>
      <c r="XEJ143" s="21"/>
      <c r="XEK143" s="21"/>
      <c r="XEL143" s="21"/>
      <c r="XEM143" s="21"/>
      <c r="XEN143" s="21"/>
      <c r="XEO143" s="21"/>
      <c r="XEP143" s="21"/>
      <c r="XEQ143" s="21"/>
      <c r="XER143" s="21"/>
      <c r="XES143" s="21"/>
      <c r="XET143" s="21"/>
      <c r="XEU143" s="21"/>
      <c r="XEV143" s="21"/>
      <c r="XEW143" s="21"/>
      <c r="XEX143" s="21"/>
      <c r="XEY143" s="21"/>
      <c r="XEZ143" s="21"/>
      <c r="XFA143" s="21"/>
      <c r="XFB143" s="21"/>
      <c r="XFC143" s="21"/>
      <c r="XFD143" s="21"/>
    </row>
    <row r="144" spans="2:16384" ht="17" thickTop="1">
      <c r="B144" s="30"/>
      <c r="C144" s="28"/>
      <c r="D144" s="31"/>
      <c r="E144" s="31"/>
      <c r="F144" s="24"/>
      <c r="G144" s="24"/>
      <c r="H144" s="24"/>
      <c r="I144" s="24"/>
      <c r="J144" s="24"/>
      <c r="K144" s="25"/>
    </row>
    <row r="146" spans="2:9">
      <c r="B146" s="225" t="s">
        <v>172</v>
      </c>
      <c r="C146" s="226"/>
      <c r="H146" s="1" t="s">
        <v>273</v>
      </c>
      <c r="I146" s="1"/>
    </row>
    <row r="147" spans="2:9">
      <c r="H147" t="s">
        <v>269</v>
      </c>
      <c r="I147" s="6">
        <f ca="1">OFFSET($E$15,0,Years_Forecasted)</f>
        <v>25689.252605175378</v>
      </c>
    </row>
    <row r="148" spans="2:9">
      <c r="B148" t="s">
        <v>9</v>
      </c>
      <c r="C148" s="6">
        <f>SUM(F133:O133)</f>
        <v>5.9460297069737802</v>
      </c>
      <c r="H148" t="s">
        <v>261</v>
      </c>
      <c r="I148" s="297">
        <f ca="1">EV_EBITDA_FY0</f>
        <v>217.64592762233039</v>
      </c>
    </row>
    <row r="149" spans="2:9">
      <c r="B149" t="s">
        <v>262</v>
      </c>
      <c r="C149" s="6">
        <f ca="1">I150</f>
        <v>4651683.8784742681</v>
      </c>
      <c r="H149" t="s">
        <v>127</v>
      </c>
      <c r="I149" s="6">
        <f ca="1">$I$147*$I$148</f>
        <v>5591161.2131777629</v>
      </c>
    </row>
    <row r="150" spans="2:9">
      <c r="B150" s="14" t="s">
        <v>129</v>
      </c>
      <c r="C150" s="15">
        <f ca="1">SUM(C148:C149)</f>
        <v>4651689.824503975</v>
      </c>
      <c r="H150" s="14" t="s">
        <v>136</v>
      </c>
      <c r="I150" s="15">
        <f ca="1">$I$149/((1+WACC)^Years_Forecasted)</f>
        <v>4651683.8784742681</v>
      </c>
    </row>
    <row r="151" spans="2:9">
      <c r="B151" t="s">
        <v>130</v>
      </c>
      <c r="C151" s="6">
        <f>-'Balance Sheet Historic'!C116</f>
        <v>0</v>
      </c>
    </row>
    <row r="152" spans="2:9">
      <c r="B152" t="s">
        <v>131</v>
      </c>
      <c r="C152" s="6">
        <f>'Balance Sheet Historic'!C107</f>
        <v>0</v>
      </c>
    </row>
    <row r="153" spans="2:9">
      <c r="B153" t="s">
        <v>132</v>
      </c>
      <c r="C153" s="6">
        <f>'Balance Sheet Historic'!C112</f>
        <v>0</v>
      </c>
    </row>
    <row r="154" spans="2:9">
      <c r="B154" s="14" t="s">
        <v>133</v>
      </c>
      <c r="C154" s="15">
        <f ca="1">SUM(C150:C153)</f>
        <v>4651689.824503975</v>
      </c>
    </row>
    <row r="155" spans="2:9">
      <c r="B155" t="s">
        <v>203</v>
      </c>
      <c r="C155" s="6">
        <f>Shares_Outstanding / 1000000</f>
        <v>15171.99</v>
      </c>
    </row>
    <row r="156" spans="2:9">
      <c r="B156" s="14" t="s">
        <v>134</v>
      </c>
      <c r="C156" s="278">
        <f ca="1">C154/C155</f>
        <v>306.59721134168785</v>
      </c>
    </row>
    <row r="158" spans="2:9">
      <c r="B158" s="1" t="s">
        <v>263</v>
      </c>
      <c r="C158" s="267">
        <f ca="1">WACC-($I$93/$I$149)</f>
        <v>6.1766313943727155E-2</v>
      </c>
    </row>
    <row r="159" spans="2:9">
      <c r="B159" s="266" t="s">
        <v>256</v>
      </c>
      <c r="C159" s="268">
        <f ca="1">$C$150/Revenue_FY0</f>
        <v>48.068054359211509</v>
      </c>
    </row>
    <row r="162" spans="2:22">
      <c r="B162" s="215" t="s">
        <v>120</v>
      </c>
      <c r="C162" s="215"/>
      <c r="D162" s="215"/>
      <c r="E162" s="215"/>
      <c r="F162" s="215"/>
      <c r="G162" s="215"/>
      <c r="H162" s="215"/>
      <c r="I162" s="8"/>
      <c r="J162" s="9"/>
      <c r="K162" s="10" t="s">
        <v>121</v>
      </c>
    </row>
    <row r="163" spans="2:22">
      <c r="B163" s="325" t="s">
        <v>110</v>
      </c>
      <c r="C163" s="326" t="s">
        <v>265</v>
      </c>
      <c r="D163" s="326"/>
      <c r="E163" s="326"/>
      <c r="F163" s="326"/>
      <c r="G163" s="326"/>
      <c r="H163" s="326"/>
      <c r="I163" s="8"/>
      <c r="J163" s="11" t="s">
        <v>258</v>
      </c>
      <c r="K163" s="269">
        <v>5</v>
      </c>
      <c r="O163" s="323" t="s">
        <v>278</v>
      </c>
      <c r="P163" s="323"/>
      <c r="Q163" s="323"/>
      <c r="R163" s="323"/>
    </row>
    <row r="164" spans="2:22" ht="17" thickBot="1">
      <c r="B164" s="325"/>
      <c r="C164" s="279">
        <f ca="1">$C$156</f>
        <v>306.59721134168785</v>
      </c>
      <c r="D164" s="270">
        <f ca="1">E164-$K$163</f>
        <v>207.64592762233039</v>
      </c>
      <c r="E164" s="270">
        <f ca="1">F164-$K$163</f>
        <v>212.64592762233039</v>
      </c>
      <c r="F164" s="271">
        <f ca="1">EV_EBITDA_FY0</f>
        <v>217.64592762233039</v>
      </c>
      <c r="G164" s="270">
        <f ca="1">F164+$K$163</f>
        <v>222.64592762233039</v>
      </c>
      <c r="H164" s="270">
        <f ca="1">G164+$K$163</f>
        <v>227.64592762233039</v>
      </c>
      <c r="I164" s="8"/>
      <c r="O164" s="25"/>
      <c r="P164" s="252" t="s">
        <v>223</v>
      </c>
      <c r="Q164" s="252" t="s">
        <v>233</v>
      </c>
      <c r="R164" s="252" t="s">
        <v>224</v>
      </c>
      <c r="T164" s="253" t="s">
        <v>230</v>
      </c>
      <c r="U164" s="253" t="s">
        <v>231</v>
      </c>
      <c r="V164" s="253" t="s">
        <v>232</v>
      </c>
    </row>
    <row r="165" spans="2:22">
      <c r="B165" s="325"/>
      <c r="C165" s="217">
        <f>C166-$K$111</f>
        <v>5.823828734906282E-2</v>
      </c>
      <c r="D165" s="280">
        <f t="dataTable" ref="D165:H169" dt2D="1" dtr="1" r1="I148" r2="E57" ca="1"/>
        <v>296.67605957646623</v>
      </c>
      <c r="E165" s="281">
        <v>303.81984686536754</v>
      </c>
      <c r="F165" s="282">
        <v>310.9636341542689</v>
      </c>
      <c r="G165" s="281">
        <v>318.10742144317032</v>
      </c>
      <c r="H165" s="281">
        <v>325.25120873207163</v>
      </c>
      <c r="I165" s="8"/>
      <c r="J165" s="11" t="s">
        <v>110</v>
      </c>
      <c r="K165" s="16">
        <v>2.5000000000000001E-3</v>
      </c>
      <c r="O165" s="254" t="s">
        <v>279</v>
      </c>
      <c r="P165" s="5">
        <f ca="1">MIN(D164:H164)</f>
        <v>207.64592762233039</v>
      </c>
      <c r="Q165" s="293">
        <f ca="1">I148</f>
        <v>217.64592762233039</v>
      </c>
      <c r="R165" s="294">
        <f ca="1">MAX(D164:H164)</f>
        <v>227.64592762233039</v>
      </c>
      <c r="T165" s="297">
        <f ca="1">P165</f>
        <v>207.64592762233039</v>
      </c>
      <c r="U165" s="298">
        <f ca="1">Q165-P165</f>
        <v>10</v>
      </c>
      <c r="V165" s="297">
        <f ca="1">R165-Q165</f>
        <v>10</v>
      </c>
    </row>
    <row r="166" spans="2:22">
      <c r="B166" s="325"/>
      <c r="C166" s="217">
        <f>C167-$K$111</f>
        <v>6.0738287349062822E-2</v>
      </c>
      <c r="D166" s="283">
        <v>294.58334028304108</v>
      </c>
      <c r="E166" s="284">
        <v>301.67673603965022</v>
      </c>
      <c r="F166" s="284">
        <v>308.77013179625936</v>
      </c>
      <c r="G166" s="284">
        <v>315.86352755286856</v>
      </c>
      <c r="H166" s="282">
        <v>322.95692330947765</v>
      </c>
      <c r="I166" s="8"/>
      <c r="J166" s="8"/>
      <c r="K166" s="8"/>
      <c r="O166" s="254" t="s">
        <v>284</v>
      </c>
      <c r="P166" s="295">
        <f>MIN(D122:H126)</f>
        <v>9.0992993772289346</v>
      </c>
      <c r="Q166" s="296">
        <f>F124</f>
        <v>10.934947428602307</v>
      </c>
      <c r="R166" s="294">
        <f>MAX(D122:H126)</f>
        <v>13.729708297057025</v>
      </c>
      <c r="T166" s="297">
        <f t="shared" ref="T166" si="36">P166</f>
        <v>9.0992993772289346</v>
      </c>
      <c r="U166" s="298">
        <f t="shared" ref="U166:U167" si="37">Q166-P166</f>
        <v>1.8356480513733722</v>
      </c>
      <c r="V166" s="297">
        <f t="shared" ref="V166:V167" si="38">R166-Q166</f>
        <v>2.7947608684547181</v>
      </c>
    </row>
    <row r="167" spans="2:22">
      <c r="B167" s="325"/>
      <c r="C167" s="224">
        <f>$E$46*$E$54+$E$53*$E$50</f>
        <v>6.3238287349062824E-2</v>
      </c>
      <c r="D167" s="282">
        <v>292.51025723311614</v>
      </c>
      <c r="E167" s="284">
        <v>299.55373428740199</v>
      </c>
      <c r="F167" s="284">
        <v>306.59721134168785</v>
      </c>
      <c r="G167" s="284">
        <v>313.64068839597377</v>
      </c>
      <c r="H167" s="282">
        <v>320.68416545025957</v>
      </c>
      <c r="I167" s="8"/>
      <c r="J167" s="12"/>
      <c r="K167" s="8"/>
      <c r="O167" s="254" t="s">
        <v>285</v>
      </c>
      <c r="P167" s="295">
        <f>MIN(D240:H244)</f>
        <v>46.565450678889221</v>
      </c>
      <c r="Q167" s="296">
        <f>F242</f>
        <v>67.493882931209626</v>
      </c>
      <c r="R167" s="294">
        <f>MAX(D240:H244)</f>
        <v>89.012162452098138</v>
      </c>
      <c r="T167" s="297">
        <f>P167</f>
        <v>46.565450678889221</v>
      </c>
      <c r="U167" s="298">
        <f t="shared" si="37"/>
        <v>20.928432252320405</v>
      </c>
      <c r="V167" s="297">
        <f t="shared" si="38"/>
        <v>21.518279520888512</v>
      </c>
    </row>
    <row r="168" spans="2:22">
      <c r="B168" s="325"/>
      <c r="C168" s="217">
        <f>C167+$K$111</f>
        <v>6.5738287349062827E-2</v>
      </c>
      <c r="D168" s="283">
        <v>290.45658065427659</v>
      </c>
      <c r="E168" s="284">
        <v>297.4506063034143</v>
      </c>
      <c r="F168" s="284">
        <v>304.44463195255213</v>
      </c>
      <c r="G168" s="284">
        <v>311.4386576016899</v>
      </c>
      <c r="H168" s="282">
        <v>318.43268325082767</v>
      </c>
      <c r="I168" s="8"/>
      <c r="J168" s="8"/>
      <c r="K168" s="8"/>
      <c r="O168" s="254" t="s">
        <v>219</v>
      </c>
      <c r="P168" s="295">
        <f>MIN('Comparable multiples'!G35:H38)</f>
        <v>7.1084778829121396</v>
      </c>
      <c r="Q168" s="296">
        <f>AVERAGE('Comparable multiples'!G37:H37)</f>
        <v>19.564009038897154</v>
      </c>
      <c r="R168" s="294">
        <f>MAX('Comparable multiples'!G35:H38)</f>
        <v>63.499434934957428</v>
      </c>
      <c r="T168" s="297">
        <f>P168</f>
        <v>7.1084778829121396</v>
      </c>
      <c r="U168" s="298">
        <f t="shared" ref="U168" si="39">Q168-P168</f>
        <v>12.455531155985014</v>
      </c>
      <c r="V168" s="297">
        <f t="shared" ref="V168" si="40">R168-Q168</f>
        <v>43.935425896060273</v>
      </c>
    </row>
    <row r="169" spans="2:22">
      <c r="B169" s="325"/>
      <c r="C169" s="217">
        <f>C168+$K$111</f>
        <v>6.8238287349062829E-2</v>
      </c>
      <c r="D169" s="283">
        <v>288.42208399297363</v>
      </c>
      <c r="E169" s="282">
        <v>295.36712007885347</v>
      </c>
      <c r="F169" s="282">
        <v>302.31215616473327</v>
      </c>
      <c r="G169" s="282">
        <v>309.25719225061312</v>
      </c>
      <c r="H169" s="282">
        <v>316.20222833649285</v>
      </c>
      <c r="I169" s="8"/>
      <c r="J169" s="8"/>
      <c r="K169" s="8"/>
    </row>
    <row r="173" spans="2:22">
      <c r="B173" s="215" t="s">
        <v>264</v>
      </c>
      <c r="C173" s="215"/>
      <c r="D173" s="215"/>
      <c r="E173" s="215"/>
      <c r="F173" s="215"/>
      <c r="G173" s="215"/>
      <c r="H173" s="215"/>
    </row>
    <row r="174" spans="2:22">
      <c r="B174" s="325" t="s">
        <v>110</v>
      </c>
      <c r="C174" s="326" t="s">
        <v>265</v>
      </c>
      <c r="D174" s="326"/>
      <c r="E174" s="326"/>
      <c r="F174" s="326"/>
      <c r="G174" s="326"/>
      <c r="H174" s="326"/>
    </row>
    <row r="175" spans="2:22" ht="17" thickBot="1">
      <c r="B175" s="325"/>
      <c r="C175" s="277">
        <f ca="1">$C$158</f>
        <v>6.1766313943727155E-2</v>
      </c>
      <c r="D175" s="270">
        <f ca="1">E175-$K$163</f>
        <v>207.64592762233039</v>
      </c>
      <c r="E175" s="270">
        <f ca="1">F175-$K$163</f>
        <v>212.64592762233039</v>
      </c>
      <c r="F175" s="271">
        <f ca="1">EV_EBITDA_FY0</f>
        <v>217.64592762233039</v>
      </c>
      <c r="G175" s="270">
        <f ca="1">F175+$K$163</f>
        <v>222.64592762233039</v>
      </c>
      <c r="H175" s="270">
        <f ca="1">G175+$K$163</f>
        <v>227.64592762233039</v>
      </c>
    </row>
    <row r="176" spans="2:22">
      <c r="B176" s="325"/>
      <c r="C176" s="217">
        <f>C177-$K$111</f>
        <v>5.823828734906282E-2</v>
      </c>
      <c r="D176" s="272">
        <f t="dataTable" ref="D176:H180" dt2D="1" dtr="1" r1="I148" r2="E57" ca="1"/>
        <v>5.669542531989568E-2</v>
      </c>
      <c r="E176" s="273">
        <v>5.6731703043302342E-2</v>
      </c>
      <c r="F176" s="274">
        <v>5.6766313943727151E-2</v>
      </c>
      <c r="G176" s="273">
        <v>5.6799370317608656E-2</v>
      </c>
      <c r="H176" s="273">
        <v>5.6830974595499399E-2</v>
      </c>
    </row>
    <row r="177" spans="2:8">
      <c r="B177" s="325"/>
      <c r="C177" s="217">
        <f>C178-$K$111</f>
        <v>6.0738287349062822E-2</v>
      </c>
      <c r="D177" s="275">
        <v>5.9195425319895682E-2</v>
      </c>
      <c r="E177" s="276">
        <v>5.9231703043302344E-2</v>
      </c>
      <c r="F177" s="276">
        <v>5.9266313943727153E-2</v>
      </c>
      <c r="G177" s="276">
        <v>5.9299370317608659E-2</v>
      </c>
      <c r="H177" s="274">
        <v>5.9330974595499401E-2</v>
      </c>
    </row>
    <row r="178" spans="2:8">
      <c r="B178" s="325"/>
      <c r="C178" s="224">
        <f>$E$46*$E$54+$E$53*$E$50</f>
        <v>6.3238287349062824E-2</v>
      </c>
      <c r="D178" s="274">
        <v>6.1695425319895685E-2</v>
      </c>
      <c r="E178" s="276">
        <v>6.1731703043302347E-2</v>
      </c>
      <c r="F178" s="276">
        <v>6.1766313943727155E-2</v>
      </c>
      <c r="G178" s="276">
        <v>6.1799370317608661E-2</v>
      </c>
      <c r="H178" s="274">
        <v>6.1830974595499404E-2</v>
      </c>
    </row>
    <row r="179" spans="2:8">
      <c r="B179" s="325"/>
      <c r="C179" s="217">
        <f>C178+$K$111</f>
        <v>6.5738287349062827E-2</v>
      </c>
      <c r="D179" s="275">
        <v>6.4195425319895694E-2</v>
      </c>
      <c r="E179" s="276">
        <v>6.4231703043302349E-2</v>
      </c>
      <c r="F179" s="276">
        <v>6.4266313943727157E-2</v>
      </c>
      <c r="G179" s="276">
        <v>6.429937031760867E-2</v>
      </c>
      <c r="H179" s="274">
        <v>6.4330974595499399E-2</v>
      </c>
    </row>
    <row r="180" spans="2:8">
      <c r="B180" s="325"/>
      <c r="C180" s="217">
        <f>C179+$K$111</f>
        <v>6.8238287349062829E-2</v>
      </c>
      <c r="D180" s="275">
        <v>6.6695425319895696E-2</v>
      </c>
      <c r="E180" s="274">
        <v>6.6731703043302351E-2</v>
      </c>
      <c r="F180" s="274">
        <v>6.676631394372716E-2</v>
      </c>
      <c r="G180" s="274">
        <v>6.6799370317608672E-2</v>
      </c>
      <c r="H180" s="274">
        <v>6.6830974595499401E-2</v>
      </c>
    </row>
    <row r="184" spans="2:8">
      <c r="B184" s="215" t="s">
        <v>254</v>
      </c>
      <c r="C184" s="215"/>
      <c r="D184" s="215"/>
      <c r="E184" s="215"/>
      <c r="F184" s="215"/>
      <c r="G184" s="215"/>
      <c r="H184" s="215"/>
    </row>
    <row r="185" spans="2:8">
      <c r="B185" s="325" t="s">
        <v>110</v>
      </c>
      <c r="C185" s="326" t="s">
        <v>265</v>
      </c>
      <c r="D185" s="326"/>
      <c r="E185" s="326"/>
      <c r="F185" s="326"/>
      <c r="G185" s="326"/>
      <c r="H185" s="326"/>
    </row>
    <row r="186" spans="2:8" ht="17" thickBot="1">
      <c r="B186" s="325"/>
      <c r="C186" s="216">
        <f ca="1">$C$159</f>
        <v>48.068054359211509</v>
      </c>
      <c r="D186" s="270">
        <f ca="1">E186-$K$163</f>
        <v>207.64592762233039</v>
      </c>
      <c r="E186" s="270">
        <f ca="1">F186-$K$163</f>
        <v>212.64592762233039</v>
      </c>
      <c r="F186" s="271">
        <f ca="1">EV_EBITDA_FY0</f>
        <v>217.64592762233039</v>
      </c>
      <c r="G186" s="270">
        <f ca="1">F186+$K$163</f>
        <v>222.64592762233039</v>
      </c>
      <c r="H186" s="270">
        <f ca="1">G186+$K$163</f>
        <v>227.64592762233039</v>
      </c>
    </row>
    <row r="187" spans="2:8">
      <c r="B187" s="325"/>
      <c r="C187" s="217">
        <f>C188-$K$111</f>
        <v>5.823828734906282E-2</v>
      </c>
      <c r="D187" s="219">
        <f t="dataTable" ref="D187:H191" dt2D="1" dtr="1" r1="I148" r2="E57" ca="1"/>
        <v>46.512624483415308</v>
      </c>
      <c r="E187" s="220">
        <v>47.632621479574759</v>
      </c>
      <c r="F187" s="221">
        <v>48.752618475734209</v>
      </c>
      <c r="G187" s="220">
        <v>49.872615471893667</v>
      </c>
      <c r="H187" s="220">
        <v>50.992612468053103</v>
      </c>
    </row>
    <row r="188" spans="2:8">
      <c r="B188" s="325"/>
      <c r="C188" s="217">
        <f>C189-$K$111</f>
        <v>6.0738287349062822E-2</v>
      </c>
      <c r="D188" s="222">
        <v>46.184529702922262</v>
      </c>
      <c r="E188" s="223">
        <v>47.296626356795933</v>
      </c>
      <c r="F188" s="223">
        <v>48.408723010669597</v>
      </c>
      <c r="G188" s="223">
        <v>49.520819664543275</v>
      </c>
      <c r="H188" s="221">
        <v>50.632916318416932</v>
      </c>
    </row>
    <row r="189" spans="2:8">
      <c r="B189" s="325"/>
      <c r="C189" s="224">
        <f>$E$46*$E$54+$E$53*$E$50</f>
        <v>6.3238287349062824E-2</v>
      </c>
      <c r="D189" s="221">
        <v>45.859513476261618</v>
      </c>
      <c r="E189" s="223">
        <v>46.963783917736563</v>
      </c>
      <c r="F189" s="223">
        <v>48.068054359211509</v>
      </c>
      <c r="G189" s="223">
        <v>49.172324800686447</v>
      </c>
      <c r="H189" s="221">
        <v>50.276595242161378</v>
      </c>
    </row>
    <row r="190" spans="2:8">
      <c r="B190" s="325"/>
      <c r="C190" s="217">
        <f>C189+$K$111</f>
        <v>6.5738287349062827E-2</v>
      </c>
      <c r="D190" s="222">
        <v>45.537539779906353</v>
      </c>
      <c r="E190" s="223">
        <v>46.634057271442849</v>
      </c>
      <c r="F190" s="223">
        <v>47.730574762979352</v>
      </c>
      <c r="G190" s="223">
        <v>48.827092254515854</v>
      </c>
      <c r="H190" s="221">
        <v>49.923609746052364</v>
      </c>
    </row>
    <row r="191" spans="2:8">
      <c r="B191" s="325"/>
      <c r="C191" s="217">
        <f>C190+$K$111</f>
        <v>6.8238287349062829E-2</v>
      </c>
      <c r="D191" s="222">
        <v>45.218573094980577</v>
      </c>
      <c r="E191" s="221">
        <v>46.307410043763902</v>
      </c>
      <c r="F191" s="221">
        <v>47.396246992547219</v>
      </c>
      <c r="G191" s="221">
        <v>48.485083941330529</v>
      </c>
      <c r="H191" s="221">
        <v>49.57392089011384</v>
      </c>
    </row>
    <row r="196" spans="2:28" ht="21" thickBot="1">
      <c r="B196" s="22" t="s">
        <v>266</v>
      </c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</row>
    <row r="197" spans="2:28" ht="17" thickTop="1">
      <c r="B197" s="30"/>
      <c r="C197" s="28"/>
      <c r="D197" s="31"/>
      <c r="E197" s="31"/>
      <c r="F197" s="24"/>
      <c r="G197" s="24"/>
      <c r="H197" s="24"/>
      <c r="I197" s="24"/>
      <c r="J197" s="24"/>
      <c r="K197" s="25"/>
    </row>
    <row r="199" spans="2:28">
      <c r="B199" s="225" t="s">
        <v>172</v>
      </c>
      <c r="C199" s="226"/>
      <c r="H199" s="1" t="s">
        <v>272</v>
      </c>
      <c r="I199" s="1"/>
    </row>
    <row r="200" spans="2:28">
      <c r="H200" t="s">
        <v>268</v>
      </c>
      <c r="I200" s="6">
        <f ca="1">OFFSET($E$8,0,Years_Forecasted)</f>
        <v>36047.016101175381</v>
      </c>
    </row>
    <row r="201" spans="2:28">
      <c r="B201" t="s">
        <v>9</v>
      </c>
      <c r="C201" s="6">
        <f ca="1">SUM(F186:I186)</f>
        <v>667.93778286699114</v>
      </c>
      <c r="H201" t="s">
        <v>267</v>
      </c>
      <c r="I201" s="297">
        <f ca="1">EV_REVENUE_FY0</f>
        <v>33.276731579056147</v>
      </c>
    </row>
    <row r="202" spans="2:28">
      <c r="B202" t="s">
        <v>262</v>
      </c>
      <c r="C202" s="6">
        <f ca="1">I203</f>
        <v>997971.55406731064</v>
      </c>
      <c r="H202" t="s">
        <v>127</v>
      </c>
      <c r="I202" s="6">
        <f ca="1">$I$200*$I$201</f>
        <v>1199526.8790247282</v>
      </c>
    </row>
    <row r="203" spans="2:28">
      <c r="B203" s="14" t="s">
        <v>129</v>
      </c>
      <c r="C203" s="15">
        <f ca="1">SUM(C201:C202)</f>
        <v>998639.49185017764</v>
      </c>
      <c r="H203" s="14" t="s">
        <v>136</v>
      </c>
      <c r="I203" s="15">
        <f ca="1">$I$202/((1+WACC)^Years_Forecasted)</f>
        <v>997971.55406731064</v>
      </c>
    </row>
    <row r="204" spans="2:28">
      <c r="B204" t="s">
        <v>130</v>
      </c>
      <c r="C204" s="6">
        <f>-'Balance Sheet Historic'!C169</f>
        <v>0</v>
      </c>
    </row>
    <row r="205" spans="2:28">
      <c r="B205" t="s">
        <v>131</v>
      </c>
      <c r="C205" s="6">
        <f>'Balance Sheet Historic'!C160</f>
        <v>0</v>
      </c>
    </row>
    <row r="206" spans="2:28">
      <c r="B206" t="s">
        <v>132</v>
      </c>
      <c r="C206" s="6">
        <f>'Balance Sheet Historic'!C165</f>
        <v>0</v>
      </c>
    </row>
    <row r="207" spans="2:28">
      <c r="B207" s="14" t="s">
        <v>133</v>
      </c>
      <c r="C207" s="15">
        <f ca="1">SUM(C203:C206)</f>
        <v>998639.49185017764</v>
      </c>
    </row>
    <row r="208" spans="2:28">
      <c r="B208" t="s">
        <v>203</v>
      </c>
      <c r="C208" s="6">
        <f>Shares_Outstanding / 1000000</f>
        <v>15171.99</v>
      </c>
    </row>
    <row r="209" spans="2:22">
      <c r="B209" s="14" t="s">
        <v>134</v>
      </c>
      <c r="C209" s="278">
        <f ca="1">C207/C208</f>
        <v>65.821259561216266</v>
      </c>
    </row>
    <row r="211" spans="2:22">
      <c r="B211" s="1" t="s">
        <v>263</v>
      </c>
      <c r="C211" s="267">
        <f ca="1">WACC-($I$93/$I$149)</f>
        <v>6.1766313943727155E-2</v>
      </c>
    </row>
    <row r="212" spans="2:22">
      <c r="B212" s="266" t="s">
        <v>255</v>
      </c>
      <c r="C212" s="268">
        <f ca="1">$C$203/EBITDA_FY0</f>
        <v>67.493882931209626</v>
      </c>
    </row>
    <row r="215" spans="2:22">
      <c r="B215" s="215" t="s">
        <v>120</v>
      </c>
      <c r="C215" s="215"/>
      <c r="D215" s="215"/>
      <c r="E215" s="215"/>
      <c r="F215" s="215"/>
      <c r="G215" s="215"/>
      <c r="H215" s="215"/>
      <c r="I215" s="8"/>
      <c r="J215" s="9"/>
      <c r="K215" s="10" t="s">
        <v>121</v>
      </c>
    </row>
    <row r="216" spans="2:22">
      <c r="B216" s="325" t="s">
        <v>110</v>
      </c>
      <c r="C216" s="326" t="s">
        <v>270</v>
      </c>
      <c r="D216" s="326"/>
      <c r="E216" s="326"/>
      <c r="F216" s="326"/>
      <c r="G216" s="326"/>
      <c r="H216" s="326"/>
      <c r="I216" s="8"/>
      <c r="J216" s="11" t="s">
        <v>271</v>
      </c>
      <c r="K216" s="269">
        <v>5</v>
      </c>
      <c r="O216" s="323" t="s">
        <v>281</v>
      </c>
      <c r="P216" s="323"/>
      <c r="Q216" s="323"/>
      <c r="R216" s="323"/>
    </row>
    <row r="217" spans="2:22" ht="17" thickBot="1">
      <c r="B217" s="325"/>
      <c r="C217" s="279">
        <f ca="1">$C$209</f>
        <v>65.821259561216266</v>
      </c>
      <c r="D217" s="270">
        <f ca="1">E217-$K$216</f>
        <v>23.276731579056147</v>
      </c>
      <c r="E217" s="270">
        <f ca="1">F217-$K$216</f>
        <v>28.276731579056147</v>
      </c>
      <c r="F217" s="271">
        <f ca="1">EV_REVENUE_FY0</f>
        <v>33.276731579056147</v>
      </c>
      <c r="G217" s="270">
        <f ca="1">F217+$K$216</f>
        <v>38.276731579056147</v>
      </c>
      <c r="H217" s="270">
        <f ca="1">G217+$K$216</f>
        <v>43.276731579056147</v>
      </c>
      <c r="I217" s="8"/>
      <c r="O217" s="25"/>
      <c r="P217" s="252" t="s">
        <v>223</v>
      </c>
      <c r="Q217" s="252" t="s">
        <v>233</v>
      </c>
      <c r="R217" s="252" t="s">
        <v>224</v>
      </c>
      <c r="T217" s="253" t="s">
        <v>230</v>
      </c>
      <c r="U217" s="253" t="s">
        <v>231</v>
      </c>
      <c r="V217" s="253" t="s">
        <v>232</v>
      </c>
    </row>
    <row r="218" spans="2:22">
      <c r="B218" s="325"/>
      <c r="C218" s="217">
        <f>C219-$K$111</f>
        <v>5.823828734906282E-2</v>
      </c>
      <c r="D218" s="280">
        <f t="dataTable" ref="D218:H222" dt2D="1" dtr="1" r1="I201" r2="E57" ca="1"/>
        <v>46.709786219972614</v>
      </c>
      <c r="E218" s="281">
        <v>56.733908734713296</v>
      </c>
      <c r="F218" s="282">
        <v>66.758031249453978</v>
      </c>
      <c r="G218" s="281">
        <v>76.782153764194661</v>
      </c>
      <c r="H218" s="281">
        <v>86.806276278935329</v>
      </c>
      <c r="I218" s="8"/>
      <c r="J218" s="11" t="s">
        <v>110</v>
      </c>
      <c r="K218" s="16">
        <v>2.5000000000000001E-3</v>
      </c>
      <c r="O218" s="254" t="s">
        <v>280</v>
      </c>
      <c r="P218" s="5">
        <f ca="1">MIN(D217:H217)</f>
        <v>23.276731579056147</v>
      </c>
      <c r="Q218" s="293">
        <f ca="1">I201</f>
        <v>33.276731579056147</v>
      </c>
      <c r="R218" s="294">
        <f ca="1">MAX(D217:H217)</f>
        <v>43.276731579056147</v>
      </c>
      <c r="T218" s="297">
        <f ca="1">P218</f>
        <v>23.276731579056147</v>
      </c>
      <c r="U218" s="298">
        <f ca="1">Q218-P218</f>
        <v>10</v>
      </c>
      <c r="V218" s="297">
        <f ca="1">R218-Q218</f>
        <v>10</v>
      </c>
    </row>
    <row r="219" spans="2:22">
      <c r="B219" s="325"/>
      <c r="C219" s="217">
        <f>C220-$K$111</f>
        <v>6.0738287349062822E-2</v>
      </c>
      <c r="D219" s="283">
        <v>46.380610791239242</v>
      </c>
      <c r="E219" s="284">
        <v>56.334024188676359</v>
      </c>
      <c r="F219" s="284">
        <v>66.287437586113498</v>
      </c>
      <c r="G219" s="284">
        <v>76.240850983550601</v>
      </c>
      <c r="H219" s="282">
        <v>86.194264380987732</v>
      </c>
      <c r="I219" s="8"/>
      <c r="J219" s="8"/>
      <c r="K219" s="8"/>
      <c r="O219" s="254" t="s">
        <v>286</v>
      </c>
      <c r="P219" s="295">
        <f>MIN(D133:H137)</f>
        <v>1.3912272388525655</v>
      </c>
      <c r="Q219" s="296">
        <f>F135</f>
        <v>1.6718866021886243</v>
      </c>
      <c r="R219" s="294">
        <f>MAX(D133:H137)</f>
        <v>2.0991884509445375</v>
      </c>
      <c r="T219" s="297">
        <f t="shared" ref="T219" si="41">P219</f>
        <v>1.3912272388525655</v>
      </c>
      <c r="U219" s="298">
        <f t="shared" ref="U219:U221" si="42">Q219-P219</f>
        <v>0.28065936333605879</v>
      </c>
      <c r="V219" s="297">
        <f t="shared" ref="V219:V221" si="43">R219-Q219</f>
        <v>0.42730184875591326</v>
      </c>
    </row>
    <row r="220" spans="2:22">
      <c r="B220" s="325"/>
      <c r="C220" s="224">
        <f>$E$46*$E$54+$E$53*$E$50</f>
        <v>6.3238287349062824E-2</v>
      </c>
      <c r="D220" s="282">
        <v>46.054524056194126</v>
      </c>
      <c r="E220" s="284">
        <v>55.937891808705203</v>
      </c>
      <c r="F220" s="284">
        <v>65.821259561216266</v>
      </c>
      <c r="G220" s="284">
        <v>75.704627313727329</v>
      </c>
      <c r="H220" s="282">
        <v>85.58799506623842</v>
      </c>
      <c r="I220" s="8"/>
      <c r="J220" s="12"/>
      <c r="K220" s="8"/>
      <c r="O220" s="254" t="s">
        <v>287</v>
      </c>
      <c r="P220" s="295">
        <f>MIN(D187:H191)</f>
        <v>45.218573094980577</v>
      </c>
      <c r="Q220" s="296">
        <f>F189</f>
        <v>48.068054359211509</v>
      </c>
      <c r="R220" s="294">
        <f>MAX(D187:H191)</f>
        <v>50.992612468053103</v>
      </c>
      <c r="T220" s="297">
        <f>P220</f>
        <v>45.218573094980577</v>
      </c>
      <c r="U220" s="298">
        <f t="shared" si="42"/>
        <v>2.8494812642309313</v>
      </c>
      <c r="V220" s="297">
        <f t="shared" si="43"/>
        <v>2.9245581088415946</v>
      </c>
    </row>
    <row r="221" spans="2:22">
      <c r="B221" s="325"/>
      <c r="C221" s="217">
        <f>C220+$K$111</f>
        <v>6.5738287349062827E-2</v>
      </c>
      <c r="D221" s="283">
        <v>45.731489872659274</v>
      </c>
      <c r="E221" s="284">
        <v>55.545467689036549</v>
      </c>
      <c r="F221" s="284">
        <v>65.359445505413831</v>
      </c>
      <c r="G221" s="284">
        <v>75.173423321791077</v>
      </c>
      <c r="H221" s="282">
        <v>84.987401138168366</v>
      </c>
      <c r="I221" s="8"/>
      <c r="J221" s="8"/>
      <c r="K221" s="8"/>
      <c r="O221" s="254" t="s">
        <v>219</v>
      </c>
      <c r="P221" s="295">
        <f>MIN('Comparable multiples'!E35:F38)</f>
        <v>0.62616964917634632</v>
      </c>
      <c r="Q221" s="296">
        <f>AVERAGE('Comparable multiples'!E36:F36)</f>
        <v>7.6762632390016341</v>
      </c>
      <c r="R221" s="294">
        <f>MAX('Comparable multiples'!E35:F38)</f>
        <v>15.120262935610979</v>
      </c>
      <c r="T221" s="297">
        <f>P221</f>
        <v>0.62616964917634632</v>
      </c>
      <c r="U221" s="298">
        <f t="shared" si="42"/>
        <v>7.0500935898252877</v>
      </c>
      <c r="V221" s="297">
        <f t="shared" si="43"/>
        <v>7.4439996966093451</v>
      </c>
    </row>
    <row r="222" spans="2:22">
      <c r="B222" s="325"/>
      <c r="C222" s="217">
        <f>C221+$K$111</f>
        <v>6.8238287349062829E-2</v>
      </c>
      <c r="D222" s="283">
        <v>45.411472604770033</v>
      </c>
      <c r="E222" s="282">
        <v>55.156708538980055</v>
      </c>
      <c r="F222" s="282">
        <v>64.901944473190085</v>
      </c>
      <c r="G222" s="282">
        <v>74.6471804074001</v>
      </c>
      <c r="H222" s="282">
        <v>84.392416341610129</v>
      </c>
      <c r="I222" s="8"/>
      <c r="J222" s="8"/>
      <c r="K222" s="8"/>
    </row>
    <row r="226" spans="2:8">
      <c r="B226" s="215" t="s">
        <v>264</v>
      </c>
      <c r="C226" s="215"/>
      <c r="D226" s="215"/>
      <c r="E226" s="215"/>
      <c r="F226" s="215"/>
      <c r="G226" s="215"/>
      <c r="H226" s="215"/>
    </row>
    <row r="227" spans="2:8">
      <c r="B227" s="325" t="s">
        <v>110</v>
      </c>
      <c r="C227" s="326" t="s">
        <v>270</v>
      </c>
      <c r="D227" s="326"/>
      <c r="E227" s="326"/>
      <c r="F227" s="326"/>
      <c r="G227" s="326"/>
      <c r="H227" s="326"/>
    </row>
    <row r="228" spans="2:8" ht="17" thickBot="1">
      <c r="B228" s="325"/>
      <c r="C228" s="277">
        <f ca="1">$C$211</f>
        <v>6.1766313943727155E-2</v>
      </c>
      <c r="D228" s="270">
        <f ca="1">E228-$K$216</f>
        <v>23.276731579056147</v>
      </c>
      <c r="E228" s="270">
        <f ca="1">F228-$K$216</f>
        <v>28.276731579056147</v>
      </c>
      <c r="F228" s="271">
        <f ca="1">EV_REVENUE_FY0</f>
        <v>33.276731579056147</v>
      </c>
      <c r="G228" s="270">
        <f ca="1">F228+$K$216</f>
        <v>38.276731579056147</v>
      </c>
      <c r="H228" s="270">
        <f ca="1">G228+$K$216</f>
        <v>43.276731579056147</v>
      </c>
    </row>
    <row r="229" spans="2:8">
      <c r="B229" s="325"/>
      <c r="C229" s="217">
        <f>C230-$K$111</f>
        <v>5.823828734906282E-2</v>
      </c>
      <c r="D229" s="272">
        <f t="dataTable" ref="D229:H233" dt2D="1" dtr="1" r1="I201" r2="E57" ca="1"/>
        <v>5.6766313943727151E-2</v>
      </c>
      <c r="E229" s="273">
        <v>5.6766313943727151E-2</v>
      </c>
      <c r="F229" s="274">
        <v>5.6766313943727151E-2</v>
      </c>
      <c r="G229" s="273">
        <v>5.6766313943727151E-2</v>
      </c>
      <c r="H229" s="273">
        <v>5.6766313943727151E-2</v>
      </c>
    </row>
    <row r="230" spans="2:8">
      <c r="B230" s="325"/>
      <c r="C230" s="217">
        <f>C231-$K$111</f>
        <v>6.0738287349062822E-2</v>
      </c>
      <c r="D230" s="275">
        <v>5.9266313943727153E-2</v>
      </c>
      <c r="E230" s="276">
        <v>5.9266313943727153E-2</v>
      </c>
      <c r="F230" s="276">
        <v>5.9266313943727153E-2</v>
      </c>
      <c r="G230" s="276">
        <v>5.9266313943727153E-2</v>
      </c>
      <c r="H230" s="274">
        <v>5.9266313943727153E-2</v>
      </c>
    </row>
    <row r="231" spans="2:8">
      <c r="B231" s="325"/>
      <c r="C231" s="224">
        <f>$E$46*$E$54+$E$53*$E$50</f>
        <v>6.3238287349062824E-2</v>
      </c>
      <c r="D231" s="274">
        <v>6.1766313943727155E-2</v>
      </c>
      <c r="E231" s="276">
        <v>6.1766313943727155E-2</v>
      </c>
      <c r="F231" s="276">
        <v>6.1766313943727155E-2</v>
      </c>
      <c r="G231" s="276">
        <v>6.1766313943727155E-2</v>
      </c>
      <c r="H231" s="274">
        <v>6.1766313943727155E-2</v>
      </c>
    </row>
    <row r="232" spans="2:8">
      <c r="B232" s="325"/>
      <c r="C232" s="217">
        <f>C231+$K$111</f>
        <v>6.5738287349062827E-2</v>
      </c>
      <c r="D232" s="275">
        <v>6.4266313943727157E-2</v>
      </c>
      <c r="E232" s="276">
        <v>6.4266313943727157E-2</v>
      </c>
      <c r="F232" s="276">
        <v>6.4266313943727157E-2</v>
      </c>
      <c r="G232" s="276">
        <v>6.4266313943727157E-2</v>
      </c>
      <c r="H232" s="274">
        <v>6.4266313943727157E-2</v>
      </c>
    </row>
    <row r="233" spans="2:8">
      <c r="B233" s="325"/>
      <c r="C233" s="217">
        <f>C232+$K$111</f>
        <v>6.8238287349062829E-2</v>
      </c>
      <c r="D233" s="275">
        <v>6.676631394372716E-2</v>
      </c>
      <c r="E233" s="274">
        <v>6.676631394372716E-2</v>
      </c>
      <c r="F233" s="274">
        <v>6.676631394372716E-2</v>
      </c>
      <c r="G233" s="274">
        <v>6.676631394372716E-2</v>
      </c>
      <c r="H233" s="274">
        <v>6.676631394372716E-2</v>
      </c>
    </row>
    <row r="237" spans="2:8">
      <c r="B237" s="215" t="s">
        <v>253</v>
      </c>
      <c r="C237" s="215"/>
      <c r="D237" s="215"/>
      <c r="E237" s="215"/>
      <c r="F237" s="215"/>
      <c r="G237" s="215"/>
      <c r="H237" s="215"/>
    </row>
    <row r="238" spans="2:8">
      <c r="B238" s="325" t="s">
        <v>110</v>
      </c>
      <c r="C238" s="326" t="s">
        <v>270</v>
      </c>
      <c r="D238" s="326"/>
      <c r="E238" s="326"/>
      <c r="F238" s="326"/>
      <c r="G238" s="326"/>
      <c r="H238" s="326"/>
    </row>
    <row r="239" spans="2:8" ht="17" thickBot="1">
      <c r="B239" s="325"/>
      <c r="C239" s="216">
        <f ca="1">$C$212</f>
        <v>67.493882931209626</v>
      </c>
      <c r="D239" s="270">
        <f ca="1">E239-$K$216</f>
        <v>23.276731579056147</v>
      </c>
      <c r="E239" s="270">
        <f ca="1">F239-$K$216</f>
        <v>28.276731579056147</v>
      </c>
      <c r="F239" s="271">
        <f ca="1">EV_REVENUE_FY0</f>
        <v>33.276731579056147</v>
      </c>
      <c r="G239" s="270">
        <f ca="1">F239+$K$216</f>
        <v>38.276731579056147</v>
      </c>
      <c r="H239" s="270">
        <f ca="1">G239+$K$216</f>
        <v>43.276731579056147</v>
      </c>
    </row>
    <row r="240" spans="2:8">
      <c r="B240" s="325"/>
      <c r="C240" s="217">
        <f>C241-$K$111</f>
        <v>5.823828734906282E-2</v>
      </c>
      <c r="D240" s="219">
        <f t="dataTable" ref="D240:H244" dt2D="1" dtr="1" r1="I201" r2="E57" ca="1"/>
        <v>47.89675651740756</v>
      </c>
      <c r="E240" s="220">
        <v>58.175608001080207</v>
      </c>
      <c r="F240" s="221">
        <v>68.45445948475286</v>
      </c>
      <c r="G240" s="220">
        <v>78.733310968425499</v>
      </c>
      <c r="H240" s="220">
        <v>89.012162452098138</v>
      </c>
    </row>
    <row r="241" spans="2:8">
      <c r="B241" s="325"/>
      <c r="C241" s="217">
        <f>C242-$K$111</f>
        <v>6.0738287349062822E-2</v>
      </c>
      <c r="D241" s="222">
        <v>47.55921621509691</v>
      </c>
      <c r="E241" s="223">
        <v>57.765561749821295</v>
      </c>
      <c r="F241" s="223">
        <v>67.971907284545694</v>
      </c>
      <c r="G241" s="223">
        <v>78.178252819270057</v>
      </c>
      <c r="H241" s="221">
        <v>88.384598353994463</v>
      </c>
    </row>
    <row r="242" spans="2:8">
      <c r="B242" s="325"/>
      <c r="C242" s="224">
        <f>$E$46*$E$54+$E$53*$E$50</f>
        <v>6.3238287349062824E-2</v>
      </c>
      <c r="D242" s="221">
        <v>47.224843095116022</v>
      </c>
      <c r="E242" s="223">
        <v>57.359363013162827</v>
      </c>
      <c r="F242" s="223">
        <v>67.493882931209626</v>
      </c>
      <c r="G242" s="223">
        <v>77.628402849256418</v>
      </c>
      <c r="H242" s="221">
        <v>87.762922767303237</v>
      </c>
    </row>
    <row r="243" spans="2:8">
      <c r="B243" s="325"/>
      <c r="C243" s="217">
        <f>C242+$K$111</f>
        <v>6.5738287349062827E-2</v>
      </c>
      <c r="D243" s="222">
        <v>46.893600096856431</v>
      </c>
      <c r="E243" s="223">
        <v>56.956966769625957</v>
      </c>
      <c r="F243" s="223">
        <v>67.020333442395483</v>
      </c>
      <c r="G243" s="223">
        <v>77.083700115164973</v>
      </c>
      <c r="H243" s="221">
        <v>87.147066787934506</v>
      </c>
    </row>
    <row r="244" spans="2:8">
      <c r="B244" s="325"/>
      <c r="C244" s="217">
        <f>C243+$K$111</f>
        <v>6.8238287349062829E-2</v>
      </c>
      <c r="D244" s="222">
        <v>46.565450678889221</v>
      </c>
      <c r="E244" s="221">
        <v>56.558328628434708</v>
      </c>
      <c r="F244" s="221">
        <v>66.55120657798021</v>
      </c>
      <c r="G244" s="221">
        <v>76.544084527525698</v>
      </c>
      <c r="H244" s="221">
        <v>86.536962477071185</v>
      </c>
    </row>
    <row r="483" spans="1:16308">
      <c r="A483" s="299"/>
      <c r="B483" s="299"/>
      <c r="C483" s="299"/>
      <c r="D483" s="299"/>
      <c r="E483" s="299"/>
      <c r="F483" s="299"/>
      <c r="G483" s="299"/>
      <c r="H483" s="299"/>
      <c r="I483" s="299"/>
      <c r="J483" s="299"/>
      <c r="K483" s="299"/>
      <c r="L483" s="299"/>
      <c r="M483" s="299"/>
      <c r="N483" s="299"/>
      <c r="O483" s="299"/>
      <c r="P483" s="299"/>
      <c r="Q483" s="299"/>
      <c r="R483" s="299"/>
      <c r="S483" s="299"/>
      <c r="T483" s="299"/>
      <c r="U483" s="299"/>
      <c r="V483" s="299"/>
      <c r="W483" s="299"/>
      <c r="X483" s="299"/>
      <c r="Y483" s="299"/>
      <c r="Z483" s="299"/>
      <c r="AA483" s="299"/>
      <c r="AB483" s="299"/>
      <c r="AC483" s="299"/>
      <c r="AD483" s="299"/>
      <c r="AE483" s="299"/>
      <c r="AF483" s="299"/>
      <c r="AG483" s="299"/>
      <c r="AH483" s="299"/>
      <c r="AI483" s="299"/>
      <c r="AJ483" s="299"/>
      <c r="AK483" s="299"/>
      <c r="AL483" s="299"/>
      <c r="AM483" s="299"/>
      <c r="AN483" s="299"/>
      <c r="AO483" s="299"/>
      <c r="AP483" s="299"/>
      <c r="AQ483" s="299"/>
      <c r="AR483" s="299"/>
      <c r="AS483" s="299"/>
      <c r="AT483" s="299"/>
      <c r="AU483" s="299"/>
      <c r="AV483" s="299"/>
      <c r="AW483" s="299"/>
      <c r="AX483" s="299"/>
      <c r="AY483" s="299"/>
      <c r="AZ483" s="299"/>
      <c r="BA483" s="299"/>
      <c r="BB483" s="299"/>
      <c r="BC483" s="299"/>
      <c r="BD483" s="299"/>
      <c r="BE483" s="299"/>
      <c r="BF483" s="299"/>
      <c r="BG483" s="299"/>
      <c r="BH483" s="299"/>
      <c r="BI483" s="299"/>
      <c r="BJ483" s="299"/>
      <c r="BK483" s="299"/>
      <c r="BL483" s="299"/>
      <c r="BM483" s="299"/>
      <c r="BN483" s="299"/>
      <c r="BO483" s="299"/>
      <c r="BP483" s="299"/>
      <c r="BQ483" s="299"/>
      <c r="BR483" s="299"/>
      <c r="BS483" s="299"/>
      <c r="BT483" s="299"/>
      <c r="BU483" s="299"/>
      <c r="BV483" s="299"/>
      <c r="BW483" s="299"/>
      <c r="BX483" s="299"/>
      <c r="BY483" s="299"/>
      <c r="BZ483" s="299"/>
      <c r="CA483" s="299"/>
      <c r="CB483" s="299"/>
      <c r="CC483" s="299"/>
      <c r="CD483" s="299"/>
      <c r="CE483" s="299"/>
      <c r="CF483" s="299"/>
      <c r="CG483" s="299"/>
      <c r="CH483" s="299"/>
      <c r="CI483" s="299"/>
      <c r="CJ483" s="299"/>
      <c r="CK483" s="299"/>
      <c r="CL483" s="299"/>
      <c r="CM483" s="299"/>
      <c r="CN483" s="299"/>
      <c r="CO483" s="299"/>
      <c r="CP483" s="299"/>
      <c r="CQ483" s="299"/>
      <c r="CR483" s="299"/>
      <c r="CS483" s="299"/>
      <c r="CT483" s="299"/>
      <c r="CU483" s="299"/>
      <c r="CV483" s="299"/>
      <c r="CW483" s="299"/>
      <c r="CX483" s="299"/>
      <c r="CY483" s="299"/>
      <c r="CZ483" s="299"/>
      <c r="DA483" s="299"/>
      <c r="DB483" s="299"/>
      <c r="DC483" s="299"/>
      <c r="DD483" s="299"/>
      <c r="DE483" s="299"/>
      <c r="DF483" s="299"/>
      <c r="DG483" s="299"/>
      <c r="DH483" s="299"/>
      <c r="DI483" s="299"/>
      <c r="DJ483" s="299"/>
      <c r="DK483" s="299"/>
      <c r="DL483" s="299"/>
      <c r="DM483" s="299"/>
      <c r="DN483" s="299"/>
      <c r="DO483" s="299"/>
      <c r="DP483" s="299"/>
      <c r="DQ483" s="299"/>
      <c r="DR483" s="299"/>
      <c r="DS483" s="299"/>
      <c r="DT483" s="299"/>
      <c r="DU483" s="299"/>
      <c r="DV483" s="299"/>
      <c r="DW483" s="299"/>
      <c r="DX483" s="299"/>
      <c r="DY483" s="299"/>
      <c r="DZ483" s="299"/>
      <c r="EA483" s="299"/>
      <c r="EB483" s="299"/>
      <c r="EC483" s="299"/>
      <c r="ED483" s="299"/>
      <c r="EE483" s="299"/>
      <c r="EF483" s="299"/>
      <c r="EG483" s="299"/>
      <c r="EH483" s="299"/>
      <c r="EI483" s="299"/>
      <c r="EJ483" s="299"/>
      <c r="EK483" s="299"/>
      <c r="EL483" s="299"/>
      <c r="EM483" s="299"/>
      <c r="EN483" s="299"/>
      <c r="EO483" s="299"/>
      <c r="EP483" s="299"/>
      <c r="EQ483" s="299"/>
      <c r="ER483" s="299"/>
      <c r="ES483" s="299"/>
      <c r="ET483" s="299"/>
      <c r="EU483" s="299"/>
      <c r="EV483" s="299"/>
      <c r="EW483" s="299"/>
      <c r="EX483" s="299"/>
      <c r="EY483" s="299"/>
      <c r="EZ483" s="299"/>
      <c r="FA483" s="299"/>
      <c r="FB483" s="299"/>
      <c r="FC483" s="299"/>
      <c r="FD483" s="299"/>
      <c r="FE483" s="299"/>
      <c r="FF483" s="299"/>
      <c r="FG483" s="299"/>
      <c r="FH483" s="299"/>
      <c r="FI483" s="299"/>
      <c r="FJ483" s="299"/>
      <c r="FK483" s="299"/>
      <c r="FL483" s="299"/>
      <c r="FM483" s="299"/>
      <c r="FN483" s="299"/>
      <c r="FO483" s="299"/>
      <c r="FP483" s="299"/>
      <c r="FQ483" s="299"/>
      <c r="FR483" s="299"/>
      <c r="FS483" s="299"/>
      <c r="FT483" s="299"/>
      <c r="FU483" s="299"/>
      <c r="FV483" s="299"/>
      <c r="FW483" s="299"/>
      <c r="FX483" s="299"/>
      <c r="FY483" s="299"/>
      <c r="FZ483" s="299"/>
      <c r="GA483" s="299"/>
      <c r="GB483" s="299"/>
      <c r="GC483" s="299"/>
      <c r="GD483" s="299"/>
      <c r="GE483" s="299"/>
      <c r="GF483" s="299"/>
      <c r="GG483" s="299"/>
      <c r="GH483" s="299"/>
      <c r="GI483" s="299"/>
      <c r="GJ483" s="299"/>
      <c r="GK483" s="299"/>
      <c r="GL483" s="299"/>
      <c r="GM483" s="299"/>
      <c r="GN483" s="299"/>
      <c r="GO483" s="299"/>
      <c r="GP483" s="299"/>
      <c r="GQ483" s="299"/>
      <c r="GR483" s="299"/>
      <c r="GS483" s="299"/>
      <c r="GT483" s="299"/>
      <c r="GU483" s="299"/>
      <c r="GV483" s="299"/>
      <c r="GW483" s="299"/>
      <c r="GX483" s="299"/>
      <c r="GY483" s="299"/>
      <c r="GZ483" s="299"/>
      <c r="HA483" s="299"/>
      <c r="HB483" s="299"/>
      <c r="HC483" s="299"/>
      <c r="HD483" s="299"/>
      <c r="HE483" s="299"/>
      <c r="HF483" s="299"/>
      <c r="HG483" s="299"/>
      <c r="HH483" s="299"/>
      <c r="HI483" s="299"/>
      <c r="HJ483" s="299"/>
      <c r="HK483" s="299"/>
      <c r="HL483" s="299"/>
      <c r="HM483" s="299"/>
      <c r="HN483" s="299"/>
      <c r="HO483" s="299"/>
      <c r="HP483" s="299"/>
      <c r="HQ483" s="299"/>
      <c r="HR483" s="299"/>
      <c r="HS483" s="299"/>
      <c r="HT483" s="299"/>
      <c r="HU483" s="299"/>
      <c r="HV483" s="299"/>
      <c r="HW483" s="299"/>
      <c r="HX483" s="299"/>
      <c r="HY483" s="299"/>
      <c r="HZ483" s="299"/>
      <c r="IA483" s="299"/>
      <c r="IB483" s="299"/>
      <c r="IC483" s="299"/>
      <c r="ID483" s="299"/>
      <c r="IE483" s="299"/>
      <c r="IF483" s="299"/>
      <c r="IG483" s="299"/>
      <c r="IH483" s="299"/>
      <c r="II483" s="299"/>
      <c r="IJ483" s="299"/>
      <c r="IK483" s="299"/>
      <c r="IL483" s="299"/>
      <c r="IM483" s="299"/>
      <c r="IN483" s="299"/>
      <c r="IO483" s="299"/>
      <c r="IP483" s="299"/>
      <c r="IQ483" s="299"/>
      <c r="IR483" s="299"/>
      <c r="IS483" s="299"/>
      <c r="IT483" s="299"/>
      <c r="IU483" s="299"/>
      <c r="IV483" s="299"/>
      <c r="IW483" s="299"/>
      <c r="IX483" s="299"/>
      <c r="IY483" s="299"/>
      <c r="IZ483" s="299"/>
      <c r="JA483" s="299"/>
      <c r="JB483" s="299"/>
      <c r="JC483" s="299"/>
      <c r="JD483" s="299"/>
      <c r="JE483" s="299"/>
      <c r="JF483" s="299"/>
      <c r="JG483" s="299"/>
      <c r="JH483" s="299"/>
      <c r="JI483" s="299"/>
      <c r="JJ483" s="299"/>
      <c r="JK483" s="299"/>
      <c r="JL483" s="299"/>
      <c r="JM483" s="299"/>
      <c r="JN483" s="299"/>
      <c r="JO483" s="299"/>
      <c r="JP483" s="299"/>
      <c r="JQ483" s="299"/>
      <c r="JR483" s="299"/>
      <c r="JS483" s="299"/>
      <c r="JT483" s="299"/>
      <c r="JU483" s="299"/>
      <c r="JV483" s="299"/>
      <c r="JW483" s="299"/>
      <c r="JX483" s="299"/>
      <c r="JY483" s="299"/>
      <c r="JZ483" s="299"/>
      <c r="KA483" s="299"/>
      <c r="KB483" s="299"/>
      <c r="KC483" s="299"/>
      <c r="KD483" s="299"/>
      <c r="KE483" s="299"/>
      <c r="KF483" s="299"/>
      <c r="KG483" s="299"/>
      <c r="KH483" s="299"/>
      <c r="KI483" s="299"/>
      <c r="KJ483" s="299"/>
      <c r="KK483" s="299"/>
      <c r="KL483" s="299"/>
      <c r="KM483" s="299"/>
      <c r="KN483" s="299"/>
      <c r="KO483" s="299"/>
      <c r="KP483" s="299"/>
      <c r="KQ483" s="299"/>
      <c r="KR483" s="299"/>
      <c r="KS483" s="299"/>
      <c r="KT483" s="299"/>
      <c r="KU483" s="299"/>
      <c r="KV483" s="299"/>
      <c r="KW483" s="299"/>
      <c r="KX483" s="299"/>
      <c r="KY483" s="299"/>
      <c r="KZ483" s="299"/>
      <c r="LA483" s="299"/>
      <c r="LB483" s="299"/>
      <c r="LC483" s="299"/>
      <c r="LD483" s="299"/>
      <c r="LE483" s="299"/>
      <c r="LF483" s="299"/>
      <c r="LG483" s="299"/>
      <c r="LH483" s="299"/>
      <c r="LI483" s="299"/>
      <c r="LJ483" s="299"/>
      <c r="LK483" s="299"/>
      <c r="LL483" s="299"/>
      <c r="LM483" s="299"/>
      <c r="LN483" s="299"/>
      <c r="LO483" s="299"/>
      <c r="LP483" s="299"/>
      <c r="LQ483" s="299"/>
      <c r="LR483" s="299"/>
      <c r="LS483" s="299"/>
      <c r="LT483" s="299"/>
      <c r="LU483" s="299"/>
      <c r="LV483" s="299"/>
      <c r="LW483" s="299"/>
      <c r="LX483" s="299"/>
      <c r="LY483" s="299"/>
      <c r="LZ483" s="299"/>
      <c r="MA483" s="299"/>
      <c r="MB483" s="299"/>
      <c r="MC483" s="299"/>
      <c r="MD483" s="299"/>
      <c r="ME483" s="299"/>
      <c r="MF483" s="299"/>
      <c r="MG483" s="299"/>
      <c r="MH483" s="299"/>
      <c r="MI483" s="299"/>
      <c r="MJ483" s="299"/>
      <c r="MK483" s="299"/>
      <c r="ML483" s="299"/>
      <c r="MM483" s="299"/>
      <c r="MN483" s="299"/>
      <c r="MO483" s="299"/>
      <c r="MP483" s="299"/>
      <c r="MQ483" s="299"/>
      <c r="MR483" s="299"/>
      <c r="MS483" s="299"/>
      <c r="MT483" s="299"/>
      <c r="MU483" s="299"/>
      <c r="MV483" s="299"/>
      <c r="MW483" s="299"/>
      <c r="MX483" s="299"/>
      <c r="MY483" s="299"/>
      <c r="MZ483" s="299"/>
      <c r="NA483" s="299"/>
      <c r="NB483" s="299"/>
      <c r="NC483" s="299"/>
      <c r="ND483" s="299"/>
      <c r="NE483" s="299"/>
      <c r="NF483" s="299"/>
      <c r="NG483" s="299"/>
      <c r="NH483" s="299"/>
      <c r="NI483" s="299"/>
      <c r="NJ483" s="299"/>
      <c r="NK483" s="299"/>
      <c r="NL483" s="299"/>
      <c r="NM483" s="299"/>
      <c r="NN483" s="299"/>
      <c r="NO483" s="299"/>
      <c r="NP483" s="299"/>
      <c r="NQ483" s="299"/>
      <c r="NR483" s="299"/>
      <c r="NS483" s="299"/>
      <c r="NT483" s="299"/>
      <c r="NU483" s="299"/>
      <c r="NV483" s="299"/>
      <c r="NW483" s="299"/>
      <c r="NX483" s="299"/>
      <c r="NY483" s="299"/>
      <c r="NZ483" s="299"/>
      <c r="OA483" s="299"/>
      <c r="OB483" s="299"/>
      <c r="OC483" s="299"/>
      <c r="OD483" s="299"/>
      <c r="OE483" s="299"/>
      <c r="OF483" s="299"/>
      <c r="OG483" s="299"/>
      <c r="OH483" s="299"/>
      <c r="OI483" s="299"/>
      <c r="OJ483" s="299"/>
      <c r="OK483" s="299"/>
      <c r="OL483" s="299"/>
      <c r="OM483" s="299"/>
      <c r="ON483" s="299"/>
      <c r="OO483" s="299"/>
      <c r="OP483" s="299"/>
      <c r="OQ483" s="299"/>
      <c r="OR483" s="299"/>
      <c r="OS483" s="299"/>
      <c r="OT483" s="299"/>
      <c r="OU483" s="299"/>
      <c r="OV483" s="299"/>
      <c r="OW483" s="299"/>
      <c r="OX483" s="299"/>
      <c r="OY483" s="299"/>
      <c r="OZ483" s="299"/>
      <c r="PA483" s="299"/>
      <c r="PB483" s="299"/>
      <c r="PC483" s="299"/>
      <c r="PD483" s="299"/>
      <c r="PE483" s="299"/>
      <c r="PF483" s="299"/>
      <c r="PG483" s="299"/>
      <c r="PH483" s="299"/>
      <c r="PI483" s="299"/>
      <c r="PJ483" s="299"/>
      <c r="PK483" s="299"/>
      <c r="PL483" s="299"/>
      <c r="PM483" s="299"/>
      <c r="PN483" s="299"/>
      <c r="PO483" s="299"/>
      <c r="PP483" s="299"/>
      <c r="PQ483" s="299"/>
      <c r="PR483" s="299"/>
      <c r="PS483" s="299"/>
      <c r="PT483" s="299"/>
      <c r="PU483" s="299"/>
      <c r="PV483" s="299"/>
      <c r="PW483" s="299"/>
      <c r="PX483" s="299"/>
      <c r="PY483" s="299"/>
      <c r="PZ483" s="299"/>
      <c r="QA483" s="299"/>
      <c r="QB483" s="299"/>
      <c r="QC483" s="299"/>
      <c r="QD483" s="299"/>
      <c r="QE483" s="299"/>
      <c r="QF483" s="299"/>
      <c r="QG483" s="299"/>
      <c r="QH483" s="299"/>
      <c r="QI483" s="299"/>
      <c r="QJ483" s="299"/>
      <c r="QK483" s="299"/>
      <c r="QL483" s="299"/>
      <c r="QM483" s="299"/>
      <c r="QN483" s="299"/>
      <c r="QO483" s="299"/>
      <c r="QP483" s="299"/>
      <c r="QQ483" s="299"/>
      <c r="QR483" s="299"/>
      <c r="QS483" s="299"/>
      <c r="QT483" s="299"/>
      <c r="QU483" s="299"/>
      <c r="QV483" s="299"/>
      <c r="QW483" s="299"/>
      <c r="QX483" s="299"/>
      <c r="QY483" s="299"/>
      <c r="QZ483" s="299"/>
      <c r="RA483" s="299"/>
      <c r="RB483" s="299"/>
      <c r="RC483" s="299"/>
      <c r="RD483" s="299"/>
      <c r="RE483" s="299"/>
      <c r="RF483" s="299"/>
      <c r="RG483" s="299"/>
      <c r="RH483" s="299"/>
      <c r="RI483" s="299"/>
      <c r="RJ483" s="299"/>
      <c r="RK483" s="299"/>
      <c r="RL483" s="299"/>
      <c r="RM483" s="299"/>
      <c r="RN483" s="299"/>
      <c r="RO483" s="299"/>
      <c r="RP483" s="299"/>
      <c r="RQ483" s="299"/>
      <c r="RR483" s="299"/>
      <c r="RS483" s="299"/>
      <c r="RT483" s="299"/>
      <c r="RU483" s="299"/>
      <c r="RV483" s="299"/>
      <c r="RW483" s="299"/>
      <c r="RX483" s="299"/>
      <c r="RY483" s="299"/>
      <c r="RZ483" s="299"/>
      <c r="SA483" s="299"/>
      <c r="SB483" s="299"/>
      <c r="SC483" s="299"/>
      <c r="SD483" s="299"/>
      <c r="SE483" s="299"/>
      <c r="SF483" s="299"/>
      <c r="SG483" s="299"/>
      <c r="SH483" s="299"/>
      <c r="SI483" s="299"/>
      <c r="SJ483" s="299"/>
      <c r="SK483" s="299"/>
      <c r="SL483" s="299"/>
      <c r="SM483" s="299"/>
      <c r="SN483" s="299"/>
      <c r="SO483" s="299"/>
      <c r="SP483" s="299"/>
      <c r="SQ483" s="299"/>
      <c r="SR483" s="299"/>
      <c r="SS483" s="299"/>
      <c r="ST483" s="299"/>
      <c r="SU483" s="299"/>
      <c r="SV483" s="299"/>
      <c r="SW483" s="299"/>
      <c r="SX483" s="299"/>
      <c r="SY483" s="299"/>
      <c r="SZ483" s="299"/>
      <c r="TA483" s="299"/>
      <c r="TB483" s="299"/>
      <c r="TC483" s="299"/>
      <c r="TD483" s="299"/>
      <c r="TE483" s="299"/>
      <c r="TF483" s="299"/>
      <c r="TG483" s="299"/>
      <c r="TH483" s="299"/>
      <c r="TI483" s="299"/>
      <c r="TJ483" s="299"/>
      <c r="TK483" s="299"/>
      <c r="TL483" s="299"/>
      <c r="TM483" s="299"/>
      <c r="TN483" s="299"/>
      <c r="TO483" s="299"/>
      <c r="TP483" s="299"/>
      <c r="TQ483" s="299"/>
      <c r="TR483" s="299"/>
      <c r="TS483" s="299"/>
      <c r="TT483" s="299"/>
      <c r="TU483" s="299"/>
      <c r="TV483" s="299"/>
      <c r="TW483" s="299"/>
      <c r="TX483" s="299"/>
      <c r="TY483" s="299"/>
      <c r="TZ483" s="299"/>
      <c r="UA483" s="299"/>
      <c r="UB483" s="299"/>
      <c r="UC483" s="299"/>
      <c r="UD483" s="299"/>
      <c r="UE483" s="299"/>
      <c r="UF483" s="299"/>
      <c r="UG483" s="299"/>
      <c r="UH483" s="299"/>
      <c r="UI483" s="299"/>
      <c r="UJ483" s="299"/>
      <c r="UK483" s="299"/>
      <c r="UL483" s="299"/>
      <c r="UM483" s="299"/>
      <c r="UN483" s="299"/>
      <c r="UO483" s="299"/>
      <c r="UP483" s="299"/>
      <c r="UQ483" s="299"/>
      <c r="UR483" s="299"/>
      <c r="US483" s="299"/>
      <c r="UT483" s="299"/>
      <c r="UU483" s="299"/>
      <c r="UV483" s="299"/>
      <c r="UW483" s="299"/>
      <c r="UX483" s="299"/>
      <c r="UY483" s="299"/>
      <c r="UZ483" s="299"/>
      <c r="VA483" s="299"/>
      <c r="VB483" s="299"/>
      <c r="VC483" s="299"/>
      <c r="VD483" s="299"/>
      <c r="VE483" s="299"/>
      <c r="VF483" s="299"/>
      <c r="VG483" s="299"/>
      <c r="VH483" s="299"/>
      <c r="VI483" s="299"/>
      <c r="VJ483" s="299"/>
      <c r="VK483" s="299"/>
      <c r="VL483" s="299"/>
      <c r="VM483" s="299"/>
      <c r="VN483" s="299"/>
      <c r="VO483" s="299"/>
      <c r="VP483" s="299"/>
      <c r="VQ483" s="299"/>
      <c r="VR483" s="299"/>
      <c r="VS483" s="299"/>
      <c r="VT483" s="299"/>
      <c r="VU483" s="299"/>
      <c r="VV483" s="299"/>
      <c r="VW483" s="299"/>
      <c r="VX483" s="299"/>
      <c r="VY483" s="299"/>
      <c r="VZ483" s="299"/>
      <c r="WA483" s="299"/>
      <c r="WB483" s="299"/>
      <c r="WC483" s="299"/>
      <c r="WD483" s="299"/>
      <c r="WE483" s="299"/>
      <c r="WF483" s="299"/>
      <c r="WG483" s="299"/>
      <c r="WH483" s="299"/>
      <c r="WI483" s="299"/>
      <c r="WJ483" s="299"/>
      <c r="WK483" s="299"/>
      <c r="WL483" s="299"/>
      <c r="WM483" s="299"/>
      <c r="WN483" s="299"/>
      <c r="WO483" s="299"/>
      <c r="WP483" s="299"/>
      <c r="WQ483" s="299"/>
      <c r="WR483" s="299"/>
      <c r="WS483" s="299"/>
      <c r="WT483" s="299"/>
      <c r="WU483" s="299"/>
      <c r="WV483" s="299"/>
      <c r="WW483" s="299"/>
      <c r="WX483" s="299"/>
      <c r="WY483" s="299"/>
      <c r="WZ483" s="299"/>
      <c r="XA483" s="299"/>
      <c r="XB483" s="299"/>
      <c r="XC483" s="299"/>
      <c r="XD483" s="299"/>
      <c r="XE483" s="299"/>
      <c r="XF483" s="299"/>
      <c r="XG483" s="299"/>
      <c r="XH483" s="299"/>
      <c r="XI483" s="299"/>
      <c r="XJ483" s="299"/>
      <c r="XK483" s="299"/>
      <c r="XL483" s="299"/>
      <c r="XM483" s="299"/>
      <c r="XN483" s="299"/>
      <c r="XO483" s="299"/>
      <c r="XP483" s="299"/>
      <c r="XQ483" s="299"/>
      <c r="XR483" s="299"/>
      <c r="XS483" s="299"/>
      <c r="XT483" s="299"/>
      <c r="XU483" s="299"/>
      <c r="XV483" s="299"/>
      <c r="XW483" s="299"/>
      <c r="XX483" s="299"/>
      <c r="XY483" s="299"/>
      <c r="XZ483" s="299"/>
      <c r="YA483" s="299"/>
      <c r="YB483" s="299"/>
      <c r="YC483" s="299"/>
      <c r="YD483" s="299"/>
      <c r="YE483" s="299"/>
      <c r="YF483" s="299"/>
      <c r="YG483" s="299"/>
      <c r="YH483" s="299"/>
      <c r="YI483" s="299"/>
      <c r="YJ483" s="299"/>
      <c r="YK483" s="299"/>
      <c r="YL483" s="299"/>
      <c r="YM483" s="299"/>
      <c r="YN483" s="299"/>
      <c r="YO483" s="299"/>
      <c r="YP483" s="299"/>
      <c r="YQ483" s="299"/>
      <c r="YR483" s="299"/>
      <c r="YS483" s="299"/>
      <c r="YT483" s="299"/>
      <c r="YU483" s="299"/>
      <c r="YV483" s="299"/>
      <c r="YW483" s="299"/>
      <c r="YX483" s="299"/>
      <c r="YY483" s="299"/>
      <c r="YZ483" s="299"/>
      <c r="ZA483" s="299"/>
      <c r="ZB483" s="299"/>
      <c r="ZC483" s="299"/>
      <c r="ZD483" s="299"/>
      <c r="ZE483" s="299"/>
      <c r="ZF483" s="299"/>
      <c r="ZG483" s="299"/>
      <c r="ZH483" s="299"/>
      <c r="ZI483" s="299"/>
      <c r="ZJ483" s="299"/>
      <c r="ZK483" s="299"/>
      <c r="ZL483" s="299"/>
      <c r="ZM483" s="299"/>
      <c r="ZN483" s="299"/>
      <c r="ZO483" s="299"/>
      <c r="ZP483" s="299"/>
      <c r="ZQ483" s="299"/>
      <c r="ZR483" s="299"/>
      <c r="ZS483" s="299"/>
      <c r="ZT483" s="299"/>
      <c r="ZU483" s="299"/>
      <c r="ZV483" s="299"/>
      <c r="ZW483" s="299"/>
      <c r="ZX483" s="299"/>
      <c r="ZY483" s="299"/>
      <c r="ZZ483" s="299"/>
      <c r="AAA483" s="299"/>
      <c r="AAB483" s="299"/>
      <c r="AAC483" s="299"/>
      <c r="AAD483" s="299"/>
      <c r="AAE483" s="299"/>
      <c r="AAF483" s="299"/>
      <c r="AAG483" s="299"/>
      <c r="AAH483" s="299"/>
      <c r="AAI483" s="299"/>
      <c r="AAJ483" s="299"/>
      <c r="AAK483" s="299"/>
      <c r="AAL483" s="299"/>
      <c r="AAM483" s="299"/>
      <c r="AAN483" s="299"/>
      <c r="AAO483" s="299"/>
      <c r="AAP483" s="299"/>
      <c r="AAQ483" s="299"/>
      <c r="AAR483" s="299"/>
      <c r="AAS483" s="299"/>
      <c r="AAT483" s="299"/>
      <c r="AAU483" s="299"/>
      <c r="AAV483" s="299"/>
      <c r="AAW483" s="299"/>
      <c r="AAX483" s="299"/>
      <c r="AAY483" s="299"/>
      <c r="AAZ483" s="299"/>
      <c r="ABA483" s="299"/>
      <c r="ABB483" s="299"/>
      <c r="ABC483" s="299"/>
      <c r="ABD483" s="299"/>
      <c r="ABE483" s="299"/>
      <c r="ABF483" s="299"/>
      <c r="ABG483" s="299"/>
      <c r="ABH483" s="299"/>
      <c r="ABI483" s="299"/>
      <c r="ABJ483" s="299"/>
      <c r="ABK483" s="299"/>
      <c r="ABL483" s="299"/>
      <c r="ABM483" s="299"/>
      <c r="ABN483" s="299"/>
      <c r="ABO483" s="299"/>
      <c r="ABP483" s="299"/>
      <c r="ABQ483" s="299"/>
      <c r="ABR483" s="299"/>
      <c r="ABS483" s="299"/>
      <c r="ABT483" s="299"/>
      <c r="ABU483" s="299"/>
      <c r="ABV483" s="299"/>
      <c r="ABW483" s="299"/>
      <c r="ABX483" s="299"/>
      <c r="ABY483" s="299"/>
      <c r="ABZ483" s="299"/>
      <c r="ACA483" s="299"/>
      <c r="ACB483" s="299"/>
      <c r="ACC483" s="299"/>
      <c r="ACD483" s="299"/>
      <c r="ACE483" s="299"/>
      <c r="ACF483" s="299"/>
      <c r="ACG483" s="299"/>
      <c r="ACH483" s="299"/>
      <c r="ACI483" s="299"/>
      <c r="ACJ483" s="299"/>
      <c r="ACK483" s="299"/>
      <c r="ACL483" s="299"/>
      <c r="ACM483" s="299"/>
      <c r="ACN483" s="299"/>
      <c r="ACO483" s="299"/>
      <c r="ACP483" s="299"/>
      <c r="ACQ483" s="299"/>
      <c r="ACR483" s="299"/>
      <c r="ACS483" s="299"/>
      <c r="ACT483" s="299"/>
      <c r="ACU483" s="299"/>
      <c r="ACV483" s="299"/>
      <c r="ACW483" s="299"/>
      <c r="ACX483" s="299"/>
      <c r="ACY483" s="299"/>
      <c r="ACZ483" s="299"/>
      <c r="ADA483" s="299"/>
      <c r="ADB483" s="299"/>
      <c r="ADC483" s="299"/>
      <c r="ADD483" s="299"/>
      <c r="ADE483" s="299"/>
      <c r="ADF483" s="299"/>
      <c r="ADG483" s="299"/>
      <c r="ADH483" s="299"/>
      <c r="ADI483" s="299"/>
      <c r="ADJ483" s="299"/>
      <c r="ADK483" s="299"/>
      <c r="ADL483" s="299"/>
      <c r="ADM483" s="299"/>
      <c r="ADN483" s="299"/>
      <c r="ADO483" s="299"/>
      <c r="ADP483" s="299"/>
      <c r="ADQ483" s="299"/>
      <c r="ADR483" s="299"/>
      <c r="ADS483" s="299"/>
      <c r="ADT483" s="299"/>
      <c r="ADU483" s="299"/>
      <c r="ADV483" s="299"/>
      <c r="ADW483" s="299"/>
      <c r="ADX483" s="299"/>
      <c r="ADY483" s="299"/>
      <c r="ADZ483" s="299"/>
      <c r="AEA483" s="299"/>
      <c r="AEB483" s="299"/>
      <c r="AEC483" s="299"/>
      <c r="AED483" s="299"/>
      <c r="AEE483" s="299"/>
      <c r="AEF483" s="299"/>
      <c r="AEG483" s="299"/>
      <c r="AEH483" s="299"/>
      <c r="AEI483" s="299"/>
      <c r="AEJ483" s="299"/>
      <c r="AEK483" s="299"/>
      <c r="AEL483" s="299"/>
      <c r="AEM483" s="299"/>
      <c r="AEN483" s="299"/>
      <c r="AEO483" s="299"/>
      <c r="AEP483" s="299"/>
      <c r="AEQ483" s="299"/>
      <c r="AER483" s="299"/>
      <c r="AES483" s="299"/>
      <c r="AET483" s="299"/>
      <c r="AEU483" s="299"/>
      <c r="AEV483" s="299"/>
      <c r="AEW483" s="299"/>
      <c r="AEX483" s="299"/>
      <c r="AEY483" s="299"/>
      <c r="AEZ483" s="299"/>
      <c r="AFA483" s="299"/>
      <c r="AFB483" s="299"/>
      <c r="AFC483" s="299"/>
      <c r="AFD483" s="299"/>
      <c r="AFE483" s="299"/>
      <c r="AFF483" s="299"/>
      <c r="AFG483" s="299"/>
      <c r="AFH483" s="299"/>
      <c r="AFI483" s="299"/>
      <c r="AFJ483" s="299"/>
      <c r="AFK483" s="299"/>
      <c r="AFL483" s="299"/>
      <c r="AFM483" s="299"/>
      <c r="AFN483" s="299"/>
      <c r="AFO483" s="299"/>
      <c r="AFP483" s="299"/>
      <c r="AFQ483" s="299"/>
      <c r="AFR483" s="299"/>
      <c r="AFS483" s="299"/>
      <c r="AFT483" s="299"/>
      <c r="AFU483" s="299"/>
      <c r="AFV483" s="299"/>
      <c r="AFW483" s="299"/>
      <c r="AFX483" s="299"/>
      <c r="AFY483" s="299"/>
      <c r="AFZ483" s="299"/>
      <c r="AGA483" s="299"/>
      <c r="AGB483" s="299"/>
      <c r="AGC483" s="299"/>
      <c r="AGD483" s="299"/>
      <c r="AGE483" s="299"/>
      <c r="AGF483" s="299"/>
      <c r="AGG483" s="299"/>
      <c r="AGH483" s="299"/>
      <c r="AGI483" s="299"/>
      <c r="AGJ483" s="299"/>
      <c r="AGK483" s="299"/>
      <c r="AGL483" s="299"/>
      <c r="AGM483" s="299"/>
      <c r="AGN483" s="299"/>
      <c r="AGO483" s="299"/>
      <c r="AGP483" s="299"/>
      <c r="AGQ483" s="299"/>
      <c r="AGR483" s="299"/>
      <c r="AGS483" s="299"/>
      <c r="AGT483" s="299"/>
      <c r="AGU483" s="299"/>
      <c r="AGV483" s="299"/>
      <c r="AGW483" s="299"/>
      <c r="AGX483" s="299"/>
      <c r="AGY483" s="299"/>
      <c r="AGZ483" s="299"/>
      <c r="AHA483" s="299"/>
      <c r="AHB483" s="299"/>
      <c r="AHC483" s="299"/>
      <c r="AHD483" s="299"/>
      <c r="AHE483" s="299"/>
      <c r="AHF483" s="299"/>
      <c r="AHG483" s="299"/>
      <c r="AHH483" s="299"/>
      <c r="AHI483" s="299"/>
      <c r="AHJ483" s="299"/>
      <c r="AHK483" s="299"/>
      <c r="AHL483" s="299"/>
      <c r="AHM483" s="299"/>
      <c r="AHN483" s="299"/>
      <c r="AHO483" s="299"/>
      <c r="AHP483" s="299"/>
      <c r="AHQ483" s="299"/>
      <c r="AHR483" s="299"/>
      <c r="AHS483" s="299"/>
      <c r="AHT483" s="299"/>
      <c r="AHU483" s="299"/>
      <c r="AHV483" s="299"/>
      <c r="AHW483" s="299"/>
      <c r="AHX483" s="299"/>
      <c r="AHY483" s="299"/>
      <c r="AHZ483" s="299"/>
      <c r="AIA483" s="299"/>
      <c r="AIB483" s="299"/>
      <c r="AIC483" s="299"/>
      <c r="AID483" s="299"/>
      <c r="AIE483" s="299"/>
      <c r="AIF483" s="299"/>
      <c r="AIG483" s="299"/>
      <c r="AIH483" s="299"/>
      <c r="AII483" s="299"/>
      <c r="AIJ483" s="299"/>
      <c r="AIK483" s="299"/>
      <c r="AIL483" s="299"/>
      <c r="AIM483" s="299"/>
      <c r="AIN483" s="299"/>
      <c r="AIO483" s="299"/>
      <c r="AIP483" s="299"/>
      <c r="AIQ483" s="299"/>
      <c r="AIR483" s="299"/>
      <c r="AIS483" s="299"/>
      <c r="AIT483" s="299"/>
      <c r="AIU483" s="299"/>
      <c r="AIV483" s="299"/>
      <c r="AIW483" s="299"/>
      <c r="AIX483" s="299"/>
      <c r="AIY483" s="299"/>
      <c r="AIZ483" s="299"/>
      <c r="AJA483" s="299"/>
      <c r="AJB483" s="299"/>
      <c r="AJC483" s="299"/>
      <c r="AJD483" s="299"/>
      <c r="AJE483" s="299"/>
      <c r="AJF483" s="299"/>
      <c r="AJG483" s="299"/>
      <c r="AJH483" s="299"/>
      <c r="AJI483" s="299"/>
      <c r="AJJ483" s="299"/>
      <c r="AJK483" s="299"/>
      <c r="AJL483" s="299"/>
      <c r="AJM483" s="299"/>
      <c r="AJN483" s="299"/>
      <c r="AJO483" s="299"/>
      <c r="AJP483" s="299"/>
      <c r="AJQ483" s="299"/>
      <c r="AJR483" s="299"/>
      <c r="AJS483" s="299"/>
      <c r="AJT483" s="299"/>
      <c r="AJU483" s="299"/>
      <c r="AJV483" s="299"/>
      <c r="AJW483" s="299"/>
      <c r="AJX483" s="299"/>
      <c r="AJY483" s="299"/>
      <c r="AJZ483" s="299"/>
      <c r="AKA483" s="299"/>
      <c r="AKB483" s="299"/>
      <c r="AKC483" s="299"/>
      <c r="AKD483" s="299"/>
      <c r="AKE483" s="299"/>
      <c r="AKF483" s="299"/>
      <c r="AKG483" s="299"/>
      <c r="AKH483" s="299"/>
      <c r="AKI483" s="299"/>
      <c r="AKJ483" s="299"/>
      <c r="AKK483" s="299"/>
      <c r="AKL483" s="299"/>
      <c r="AKM483" s="299"/>
      <c r="AKN483" s="299"/>
      <c r="AKO483" s="299"/>
      <c r="AKP483" s="299"/>
      <c r="AKQ483" s="299"/>
      <c r="AKR483" s="299"/>
      <c r="AKS483" s="299"/>
      <c r="AKT483" s="299"/>
      <c r="AKU483" s="299"/>
      <c r="AKV483" s="299"/>
      <c r="AKW483" s="299"/>
      <c r="AKX483" s="299"/>
      <c r="AKY483" s="299"/>
      <c r="AKZ483" s="299"/>
      <c r="ALA483" s="299"/>
      <c r="ALB483" s="299"/>
      <c r="ALC483" s="299"/>
      <c r="ALD483" s="299"/>
      <c r="ALE483" s="299"/>
      <c r="ALF483" s="299"/>
      <c r="ALG483" s="299"/>
      <c r="ALH483" s="299"/>
      <c r="ALI483" s="299"/>
      <c r="ALJ483" s="299"/>
      <c r="ALK483" s="299"/>
      <c r="ALL483" s="299"/>
      <c r="ALM483" s="299"/>
      <c r="ALN483" s="299"/>
      <c r="ALO483" s="299"/>
      <c r="ALP483" s="299"/>
      <c r="ALQ483" s="299"/>
      <c r="ALR483" s="299"/>
      <c r="ALS483" s="299"/>
      <c r="ALT483" s="299"/>
      <c r="ALU483" s="299"/>
      <c r="ALV483" s="299"/>
      <c r="ALW483" s="299"/>
      <c r="ALX483" s="299"/>
      <c r="ALY483" s="299"/>
      <c r="ALZ483" s="299"/>
      <c r="AMA483" s="299"/>
      <c r="AMB483" s="299"/>
      <c r="AMC483" s="299"/>
      <c r="AMD483" s="299"/>
      <c r="AME483" s="299"/>
      <c r="AMF483" s="299"/>
      <c r="AMG483" s="299"/>
      <c r="AMH483" s="299"/>
      <c r="AMI483" s="299"/>
      <c r="AMJ483" s="299"/>
      <c r="AMK483" s="299"/>
      <c r="AML483" s="299"/>
      <c r="AMM483" s="299"/>
      <c r="AMN483" s="299"/>
      <c r="AMO483" s="299"/>
      <c r="AMP483" s="299"/>
      <c r="AMQ483" s="299"/>
      <c r="AMR483" s="299"/>
      <c r="AMS483" s="299"/>
      <c r="AMT483" s="299"/>
      <c r="AMU483" s="299"/>
      <c r="AMV483" s="299"/>
      <c r="AMW483" s="299"/>
      <c r="AMX483" s="299"/>
      <c r="AMY483" s="299"/>
      <c r="AMZ483" s="299"/>
      <c r="ANA483" s="299"/>
      <c r="ANB483" s="299"/>
      <c r="ANC483" s="299"/>
      <c r="AND483" s="299"/>
      <c r="ANE483" s="299"/>
      <c r="ANF483" s="299"/>
      <c r="ANG483" s="299"/>
      <c r="ANH483" s="299"/>
      <c r="ANI483" s="299"/>
      <c r="ANJ483" s="299"/>
      <c r="ANK483" s="299"/>
      <c r="ANL483" s="299"/>
      <c r="ANM483" s="299"/>
      <c r="ANN483" s="299"/>
      <c r="ANO483" s="299"/>
      <c r="ANP483" s="299"/>
      <c r="ANQ483" s="299"/>
      <c r="ANR483" s="299"/>
      <c r="ANS483" s="299"/>
      <c r="ANT483" s="299"/>
      <c r="ANU483" s="299"/>
      <c r="ANV483" s="299"/>
      <c r="ANW483" s="299"/>
      <c r="ANX483" s="299"/>
      <c r="ANY483" s="299"/>
      <c r="ANZ483" s="299"/>
      <c r="AOA483" s="299"/>
      <c r="AOB483" s="299"/>
      <c r="AOC483" s="299"/>
      <c r="AOD483" s="299"/>
      <c r="AOE483" s="299"/>
      <c r="AOF483" s="299"/>
      <c r="AOG483" s="299"/>
      <c r="AOH483" s="299"/>
      <c r="AOI483" s="299"/>
      <c r="AOJ483" s="299"/>
      <c r="AOK483" s="299"/>
      <c r="AOL483" s="299"/>
      <c r="AOM483" s="299"/>
      <c r="AON483" s="299"/>
      <c r="AOO483" s="299"/>
      <c r="AOP483" s="299"/>
      <c r="AOQ483" s="299"/>
      <c r="AOR483" s="299"/>
      <c r="AOS483" s="299"/>
      <c r="AOT483" s="299"/>
      <c r="AOU483" s="299"/>
      <c r="AOV483" s="299"/>
      <c r="AOW483" s="299"/>
      <c r="AOX483" s="299"/>
      <c r="AOY483" s="299"/>
      <c r="AOZ483" s="299"/>
      <c r="APA483" s="299"/>
      <c r="APB483" s="299"/>
      <c r="APC483" s="299"/>
      <c r="APD483" s="299"/>
      <c r="APE483" s="299"/>
      <c r="APF483" s="299"/>
      <c r="APG483" s="299"/>
      <c r="APH483" s="299"/>
      <c r="API483" s="299"/>
      <c r="APJ483" s="299"/>
      <c r="APK483" s="299"/>
      <c r="APL483" s="299"/>
      <c r="APM483" s="299"/>
      <c r="APN483" s="299"/>
      <c r="APO483" s="299"/>
      <c r="APP483" s="299"/>
      <c r="APQ483" s="299"/>
      <c r="APR483" s="299"/>
      <c r="APS483" s="299"/>
      <c r="APT483" s="299"/>
      <c r="APU483" s="299"/>
      <c r="APV483" s="299"/>
      <c r="APW483" s="299"/>
      <c r="APX483" s="299"/>
      <c r="APY483" s="299"/>
      <c r="APZ483" s="299"/>
      <c r="AQA483" s="299"/>
      <c r="AQB483" s="299"/>
      <c r="AQC483" s="299"/>
      <c r="AQD483" s="299"/>
      <c r="AQE483" s="299"/>
      <c r="AQF483" s="299"/>
      <c r="AQG483" s="299"/>
      <c r="AQH483" s="299"/>
      <c r="AQI483" s="299"/>
      <c r="AQJ483" s="299"/>
      <c r="AQK483" s="299"/>
      <c r="AQL483" s="299"/>
      <c r="AQM483" s="299"/>
      <c r="AQN483" s="299"/>
      <c r="AQO483" s="299"/>
      <c r="AQP483" s="299"/>
      <c r="AQQ483" s="299"/>
      <c r="AQR483" s="299"/>
      <c r="AQS483" s="299"/>
      <c r="AQT483" s="299"/>
      <c r="AQU483" s="299"/>
      <c r="AQV483" s="299"/>
      <c r="AQW483" s="299"/>
      <c r="AQX483" s="299"/>
      <c r="AQY483" s="299"/>
      <c r="AQZ483" s="299"/>
      <c r="ARA483" s="299"/>
      <c r="ARB483" s="299"/>
      <c r="ARC483" s="299"/>
      <c r="ARD483" s="299"/>
      <c r="ARE483" s="299"/>
      <c r="ARF483" s="299"/>
      <c r="ARG483" s="299"/>
      <c r="ARH483" s="299"/>
      <c r="ARI483" s="299"/>
      <c r="ARJ483" s="299"/>
      <c r="ARK483" s="299"/>
      <c r="ARL483" s="299"/>
      <c r="ARM483" s="299"/>
      <c r="ARN483" s="299"/>
      <c r="ARO483" s="299"/>
      <c r="ARP483" s="299"/>
      <c r="ARQ483" s="299"/>
      <c r="ARR483" s="299"/>
      <c r="ARS483" s="299"/>
      <c r="ART483" s="299"/>
      <c r="ARU483" s="299"/>
      <c r="ARV483" s="299"/>
      <c r="ARW483" s="299"/>
      <c r="ARX483" s="299"/>
      <c r="ARY483" s="299"/>
      <c r="ARZ483" s="299"/>
      <c r="ASA483" s="299"/>
      <c r="ASB483" s="299"/>
      <c r="ASC483" s="299"/>
      <c r="ASD483" s="299"/>
      <c r="ASE483" s="299"/>
      <c r="ASF483" s="299"/>
      <c r="ASG483" s="299"/>
      <c r="ASH483" s="299"/>
      <c r="ASI483" s="299"/>
      <c r="ASJ483" s="299"/>
      <c r="ASK483" s="299"/>
      <c r="ASL483" s="299"/>
      <c r="ASM483" s="299"/>
      <c r="ASN483" s="299"/>
      <c r="ASO483" s="299"/>
      <c r="ASP483" s="299"/>
      <c r="ASQ483" s="299"/>
      <c r="ASR483" s="299"/>
      <c r="ASS483" s="299"/>
      <c r="AST483" s="299"/>
      <c r="ASU483" s="299"/>
      <c r="ASV483" s="299"/>
      <c r="ASW483" s="299"/>
      <c r="ASX483" s="299"/>
      <c r="ASY483" s="299"/>
      <c r="ASZ483" s="299"/>
      <c r="ATA483" s="299"/>
      <c r="ATB483" s="299"/>
      <c r="ATC483" s="299"/>
      <c r="ATD483" s="299"/>
      <c r="ATE483" s="299"/>
      <c r="ATF483" s="299"/>
      <c r="ATG483" s="299"/>
      <c r="ATH483" s="299"/>
      <c r="ATI483" s="299"/>
      <c r="ATJ483" s="299"/>
      <c r="ATK483" s="299"/>
      <c r="ATL483" s="299"/>
      <c r="ATM483" s="299"/>
      <c r="ATN483" s="299"/>
      <c r="ATO483" s="299"/>
      <c r="ATP483" s="299"/>
      <c r="ATQ483" s="299"/>
      <c r="ATR483" s="299"/>
      <c r="ATS483" s="299"/>
      <c r="ATT483" s="299"/>
      <c r="ATU483" s="299"/>
      <c r="ATV483" s="299"/>
      <c r="ATW483" s="299"/>
      <c r="ATX483" s="299"/>
      <c r="ATY483" s="299"/>
      <c r="ATZ483" s="299"/>
      <c r="AUA483" s="299"/>
      <c r="AUB483" s="299"/>
      <c r="AUC483" s="299"/>
      <c r="AUD483" s="299"/>
      <c r="AUE483" s="299"/>
      <c r="AUF483" s="299"/>
      <c r="AUG483" s="299"/>
      <c r="AUH483" s="299"/>
      <c r="AUI483" s="299"/>
      <c r="AUJ483" s="299"/>
      <c r="AUK483" s="299"/>
      <c r="AUL483" s="299"/>
      <c r="AUM483" s="299"/>
      <c r="AUN483" s="299"/>
      <c r="AUO483" s="299"/>
      <c r="AUP483" s="299"/>
      <c r="AUQ483" s="299"/>
      <c r="AUR483" s="299"/>
      <c r="AUS483" s="299"/>
      <c r="AUT483" s="299"/>
      <c r="AUU483" s="299"/>
      <c r="AUV483" s="299"/>
      <c r="AUW483" s="299"/>
      <c r="AUX483" s="299"/>
      <c r="AUY483" s="299"/>
      <c r="AUZ483" s="299"/>
      <c r="AVA483" s="299"/>
      <c r="AVB483" s="299"/>
      <c r="AVC483" s="299"/>
      <c r="AVD483" s="299"/>
      <c r="AVE483" s="299"/>
      <c r="AVF483" s="299"/>
      <c r="AVG483" s="299"/>
      <c r="AVH483" s="299"/>
      <c r="AVI483" s="299"/>
      <c r="AVJ483" s="299"/>
      <c r="AVK483" s="299"/>
      <c r="AVL483" s="299"/>
      <c r="AVM483" s="299"/>
      <c r="AVN483" s="299"/>
      <c r="AVO483" s="299"/>
      <c r="AVP483" s="299"/>
      <c r="AVQ483" s="299"/>
      <c r="AVR483" s="299"/>
      <c r="AVS483" s="299"/>
      <c r="AVT483" s="299"/>
      <c r="AVU483" s="299"/>
      <c r="AVV483" s="299"/>
      <c r="AVW483" s="299"/>
      <c r="AVX483" s="299"/>
      <c r="AVY483" s="299"/>
      <c r="AVZ483" s="299"/>
      <c r="AWA483" s="299"/>
      <c r="AWB483" s="299"/>
      <c r="AWC483" s="299"/>
      <c r="AWD483" s="299"/>
      <c r="AWE483" s="299"/>
      <c r="AWF483" s="299"/>
      <c r="AWG483" s="299"/>
      <c r="AWH483" s="299"/>
      <c r="AWI483" s="299"/>
      <c r="AWJ483" s="299"/>
      <c r="AWK483" s="299"/>
      <c r="AWL483" s="299"/>
      <c r="AWM483" s="299"/>
      <c r="AWN483" s="299"/>
      <c r="AWO483" s="299"/>
      <c r="AWP483" s="299"/>
      <c r="AWQ483" s="299"/>
      <c r="AWR483" s="299"/>
      <c r="AWS483" s="299"/>
      <c r="AWT483" s="299"/>
      <c r="AWU483" s="299"/>
      <c r="AWV483" s="299"/>
      <c r="AWW483" s="299"/>
      <c r="AWX483" s="299"/>
      <c r="AWY483" s="299"/>
      <c r="AWZ483" s="299"/>
      <c r="AXA483" s="299"/>
      <c r="AXB483" s="299"/>
      <c r="AXC483" s="299"/>
      <c r="AXD483" s="299"/>
      <c r="AXE483" s="299"/>
      <c r="AXF483" s="299"/>
      <c r="AXG483" s="299"/>
      <c r="AXH483" s="299"/>
      <c r="AXI483" s="299"/>
      <c r="AXJ483" s="299"/>
      <c r="AXK483" s="299"/>
      <c r="AXL483" s="299"/>
      <c r="AXM483" s="299"/>
      <c r="AXN483" s="299"/>
      <c r="AXO483" s="299"/>
      <c r="AXP483" s="299"/>
      <c r="AXQ483" s="299"/>
      <c r="AXR483" s="299"/>
      <c r="AXS483" s="299"/>
      <c r="AXT483" s="299"/>
      <c r="AXU483" s="299"/>
      <c r="AXV483" s="299"/>
      <c r="AXW483" s="299"/>
      <c r="AXX483" s="299"/>
      <c r="AXY483" s="299"/>
      <c r="AXZ483" s="299"/>
      <c r="AYA483" s="299"/>
      <c r="AYB483" s="299"/>
      <c r="AYC483" s="299"/>
      <c r="AYD483" s="299"/>
      <c r="AYE483" s="299"/>
      <c r="AYF483" s="299"/>
      <c r="AYG483" s="299"/>
      <c r="AYH483" s="299"/>
      <c r="AYI483" s="299"/>
      <c r="AYJ483" s="299"/>
      <c r="AYK483" s="299"/>
      <c r="AYL483" s="299"/>
      <c r="AYM483" s="299"/>
      <c r="AYN483" s="299"/>
      <c r="AYO483" s="299"/>
      <c r="AYP483" s="299"/>
      <c r="AYQ483" s="299"/>
      <c r="AYR483" s="299"/>
      <c r="AYS483" s="299"/>
      <c r="AYT483" s="299"/>
      <c r="AYU483" s="299"/>
      <c r="AYV483" s="299"/>
      <c r="AYW483" s="299"/>
      <c r="AYX483" s="299"/>
      <c r="AYY483" s="299"/>
      <c r="AYZ483" s="299"/>
      <c r="AZA483" s="299"/>
      <c r="AZB483" s="299"/>
      <c r="AZC483" s="299"/>
      <c r="AZD483" s="299"/>
      <c r="AZE483" s="299"/>
      <c r="AZF483" s="299"/>
      <c r="AZG483" s="299"/>
      <c r="AZH483" s="299"/>
      <c r="AZI483" s="299"/>
      <c r="AZJ483" s="299"/>
      <c r="AZK483" s="299"/>
      <c r="AZL483" s="299"/>
      <c r="AZM483" s="299"/>
      <c r="AZN483" s="299"/>
      <c r="AZO483" s="299"/>
      <c r="AZP483" s="299"/>
      <c r="AZQ483" s="299"/>
      <c r="AZR483" s="299"/>
      <c r="AZS483" s="299"/>
      <c r="AZT483" s="299"/>
      <c r="AZU483" s="299"/>
      <c r="AZV483" s="299"/>
      <c r="AZW483" s="299"/>
      <c r="AZX483" s="299"/>
      <c r="AZY483" s="299"/>
      <c r="AZZ483" s="299"/>
      <c r="BAA483" s="299"/>
      <c r="BAB483" s="299"/>
      <c r="BAC483" s="299"/>
      <c r="BAD483" s="299"/>
      <c r="BAE483" s="299"/>
      <c r="BAF483" s="299"/>
      <c r="BAG483" s="299"/>
      <c r="BAH483" s="299"/>
      <c r="BAI483" s="299"/>
      <c r="BAJ483" s="299"/>
      <c r="BAK483" s="299"/>
      <c r="BAL483" s="299"/>
      <c r="BAM483" s="299"/>
      <c r="BAN483" s="299"/>
      <c r="BAO483" s="299"/>
      <c r="BAP483" s="299"/>
      <c r="BAQ483" s="299"/>
      <c r="BAR483" s="299"/>
      <c r="BAS483" s="299"/>
      <c r="BAT483" s="299"/>
      <c r="BAU483" s="299"/>
      <c r="BAV483" s="299"/>
      <c r="BAW483" s="299"/>
      <c r="BAX483" s="299"/>
      <c r="BAY483" s="299"/>
      <c r="BAZ483" s="299"/>
      <c r="BBA483" s="299"/>
      <c r="BBB483" s="299"/>
      <c r="BBC483" s="299"/>
      <c r="BBD483" s="299"/>
      <c r="BBE483" s="299"/>
      <c r="BBF483" s="299"/>
      <c r="BBG483" s="299"/>
      <c r="BBH483" s="299"/>
      <c r="BBI483" s="299"/>
      <c r="BBJ483" s="299"/>
      <c r="BBK483" s="299"/>
      <c r="BBL483" s="299"/>
      <c r="BBM483" s="299"/>
      <c r="BBN483" s="299"/>
      <c r="BBO483" s="299"/>
      <c r="BBP483" s="299"/>
      <c r="BBQ483" s="299"/>
      <c r="BBR483" s="299"/>
      <c r="BBS483" s="299"/>
      <c r="BBT483" s="299"/>
      <c r="BBU483" s="299"/>
      <c r="BBV483" s="299"/>
      <c r="BBW483" s="299"/>
      <c r="BBX483" s="299"/>
      <c r="BBY483" s="299"/>
      <c r="BBZ483" s="299"/>
      <c r="BCA483" s="299"/>
      <c r="BCB483" s="299"/>
      <c r="BCC483" s="299"/>
      <c r="BCD483" s="299"/>
      <c r="BCE483" s="299"/>
      <c r="BCF483" s="299"/>
      <c r="BCG483" s="299"/>
      <c r="BCH483" s="299"/>
      <c r="BCI483" s="299"/>
      <c r="BCJ483" s="299"/>
      <c r="BCK483" s="299"/>
      <c r="BCL483" s="299"/>
      <c r="BCM483" s="299"/>
      <c r="BCN483" s="299"/>
      <c r="BCO483" s="299"/>
      <c r="BCP483" s="299"/>
      <c r="BCQ483" s="299"/>
      <c r="BCR483" s="299"/>
      <c r="BCS483" s="299"/>
      <c r="BCT483" s="299"/>
      <c r="BCU483" s="299"/>
      <c r="BCV483" s="299"/>
      <c r="BCW483" s="299"/>
      <c r="BCX483" s="299"/>
      <c r="BCY483" s="299"/>
      <c r="BCZ483" s="299"/>
      <c r="BDA483" s="299"/>
      <c r="BDB483" s="299"/>
      <c r="BDC483" s="299"/>
      <c r="BDD483" s="299"/>
      <c r="BDE483" s="299"/>
      <c r="BDF483" s="299"/>
      <c r="BDG483" s="299"/>
      <c r="BDH483" s="299"/>
      <c r="BDI483" s="299"/>
      <c r="BDJ483" s="299"/>
      <c r="BDK483" s="299"/>
      <c r="BDL483" s="299"/>
      <c r="BDM483" s="299"/>
      <c r="BDN483" s="299"/>
      <c r="BDO483" s="299"/>
      <c r="BDP483" s="299"/>
      <c r="BDQ483" s="299"/>
      <c r="BDR483" s="299"/>
      <c r="BDS483" s="299"/>
      <c r="BDT483" s="299"/>
      <c r="BDU483" s="299"/>
      <c r="BDV483" s="299"/>
      <c r="BDW483" s="299"/>
      <c r="BDX483" s="299"/>
      <c r="BDY483" s="299"/>
      <c r="BDZ483" s="299"/>
      <c r="BEA483" s="299"/>
      <c r="BEB483" s="299"/>
      <c r="BEC483" s="299"/>
      <c r="BED483" s="299"/>
      <c r="BEE483" s="299"/>
      <c r="BEF483" s="299"/>
      <c r="BEG483" s="299"/>
      <c r="BEH483" s="299"/>
      <c r="BEI483" s="299"/>
      <c r="BEJ483" s="299"/>
      <c r="BEK483" s="299"/>
      <c r="BEL483" s="299"/>
      <c r="BEM483" s="299"/>
      <c r="BEN483" s="299"/>
      <c r="BEO483" s="299"/>
      <c r="BEP483" s="299"/>
      <c r="BEQ483" s="299"/>
      <c r="BER483" s="299"/>
      <c r="BES483" s="299"/>
      <c r="BET483" s="299"/>
      <c r="BEU483" s="299"/>
      <c r="BEV483" s="299"/>
      <c r="BEW483" s="299"/>
      <c r="BEX483" s="299"/>
      <c r="BEY483" s="299"/>
      <c r="BEZ483" s="299"/>
      <c r="BFA483" s="299"/>
      <c r="BFB483" s="299"/>
      <c r="BFC483" s="299"/>
      <c r="BFD483" s="299"/>
      <c r="BFE483" s="299"/>
      <c r="BFF483" s="299"/>
      <c r="BFG483" s="299"/>
      <c r="BFH483" s="299"/>
      <c r="BFI483" s="299"/>
      <c r="BFJ483" s="299"/>
      <c r="BFK483" s="299"/>
      <c r="BFL483" s="299"/>
      <c r="BFM483" s="299"/>
      <c r="BFN483" s="299"/>
      <c r="BFO483" s="299"/>
      <c r="BFP483" s="299"/>
      <c r="BFQ483" s="299"/>
      <c r="BFR483" s="299"/>
      <c r="BFS483" s="299"/>
      <c r="BFT483" s="299"/>
      <c r="BFU483" s="299"/>
      <c r="BFV483" s="299"/>
      <c r="BFW483" s="299"/>
      <c r="BFX483" s="299"/>
      <c r="BFY483" s="299"/>
      <c r="BFZ483" s="299"/>
      <c r="BGA483" s="299"/>
      <c r="BGB483" s="299"/>
      <c r="BGC483" s="299"/>
      <c r="BGD483" s="299"/>
      <c r="BGE483" s="299"/>
      <c r="BGF483" s="299"/>
      <c r="BGG483" s="299"/>
      <c r="BGH483" s="299"/>
      <c r="BGI483" s="299"/>
      <c r="BGJ483" s="299"/>
      <c r="BGK483" s="299"/>
      <c r="BGL483" s="299"/>
      <c r="BGM483" s="299"/>
      <c r="BGN483" s="299"/>
      <c r="BGO483" s="299"/>
      <c r="BGP483" s="299"/>
      <c r="BGQ483" s="299"/>
      <c r="BGR483" s="299"/>
      <c r="BGS483" s="299"/>
      <c r="BGT483" s="299"/>
      <c r="BGU483" s="299"/>
      <c r="BGV483" s="299"/>
      <c r="BGW483" s="299"/>
      <c r="BGX483" s="299"/>
      <c r="BGY483" s="299"/>
      <c r="BGZ483" s="299"/>
      <c r="BHA483" s="299"/>
      <c r="BHB483" s="299"/>
      <c r="BHC483" s="299"/>
      <c r="BHD483" s="299"/>
      <c r="BHE483" s="299"/>
      <c r="BHF483" s="299"/>
      <c r="BHG483" s="299"/>
      <c r="BHH483" s="299"/>
      <c r="BHI483" s="299"/>
      <c r="BHJ483" s="299"/>
      <c r="BHK483" s="299"/>
      <c r="BHL483" s="299"/>
      <c r="BHM483" s="299"/>
      <c r="BHN483" s="299"/>
      <c r="BHO483" s="299"/>
      <c r="BHP483" s="299"/>
      <c r="BHQ483" s="299"/>
      <c r="BHR483" s="299"/>
      <c r="BHS483" s="299"/>
      <c r="BHT483" s="299"/>
      <c r="BHU483" s="299"/>
      <c r="BHV483" s="299"/>
      <c r="BHW483" s="299"/>
      <c r="BHX483" s="299"/>
      <c r="BHY483" s="299"/>
      <c r="BHZ483" s="299"/>
      <c r="BIA483" s="299"/>
      <c r="BIB483" s="299"/>
      <c r="BIC483" s="299"/>
      <c r="BID483" s="299"/>
      <c r="BIE483" s="299"/>
      <c r="BIF483" s="299"/>
      <c r="BIG483" s="299"/>
      <c r="BIH483" s="299"/>
      <c r="BII483" s="299"/>
      <c r="BIJ483" s="299"/>
      <c r="BIK483" s="299"/>
      <c r="BIL483" s="299"/>
      <c r="BIM483" s="299"/>
      <c r="BIN483" s="299"/>
      <c r="BIO483" s="299"/>
      <c r="BIP483" s="299"/>
      <c r="BIQ483" s="299"/>
      <c r="BIR483" s="299"/>
      <c r="BIS483" s="299"/>
      <c r="BIT483" s="299"/>
      <c r="BIU483" s="299"/>
      <c r="BIV483" s="299"/>
      <c r="BIW483" s="299"/>
      <c r="BIX483" s="299"/>
      <c r="BIY483" s="299"/>
      <c r="BIZ483" s="299"/>
      <c r="BJA483" s="299"/>
      <c r="BJB483" s="299"/>
      <c r="BJC483" s="299"/>
      <c r="BJD483" s="299"/>
      <c r="BJE483" s="299"/>
      <c r="BJF483" s="299"/>
      <c r="BJG483" s="299"/>
      <c r="BJH483" s="299"/>
      <c r="BJI483" s="299"/>
      <c r="BJJ483" s="299"/>
      <c r="BJK483" s="299"/>
      <c r="BJL483" s="299"/>
      <c r="BJM483" s="299"/>
      <c r="BJN483" s="299"/>
      <c r="BJO483" s="299"/>
      <c r="BJP483" s="299"/>
      <c r="BJQ483" s="299"/>
      <c r="BJR483" s="299"/>
      <c r="BJS483" s="299"/>
      <c r="BJT483" s="299"/>
      <c r="BJU483" s="299"/>
      <c r="BJV483" s="299"/>
      <c r="BJW483" s="299"/>
      <c r="BJX483" s="299"/>
      <c r="BJY483" s="299"/>
      <c r="BJZ483" s="299"/>
      <c r="BKA483" s="299"/>
      <c r="BKB483" s="299"/>
      <c r="BKC483" s="299"/>
      <c r="BKD483" s="299"/>
      <c r="BKE483" s="299"/>
      <c r="BKF483" s="299"/>
      <c r="BKG483" s="299"/>
      <c r="BKH483" s="299"/>
      <c r="BKI483" s="299"/>
      <c r="BKJ483" s="299"/>
      <c r="BKK483" s="299"/>
      <c r="BKL483" s="299"/>
      <c r="BKM483" s="299"/>
      <c r="BKN483" s="299"/>
      <c r="BKO483" s="299"/>
      <c r="BKP483" s="299"/>
      <c r="BKQ483" s="299"/>
      <c r="BKR483" s="299"/>
      <c r="BKS483" s="299"/>
      <c r="BKT483" s="299"/>
      <c r="BKU483" s="299"/>
      <c r="BKV483" s="299"/>
      <c r="BKW483" s="299"/>
      <c r="BKX483" s="299"/>
      <c r="BKY483" s="299"/>
      <c r="BKZ483" s="299"/>
      <c r="BLA483" s="299"/>
      <c r="BLB483" s="299"/>
      <c r="BLC483" s="299"/>
      <c r="BLD483" s="299"/>
      <c r="BLE483" s="299"/>
      <c r="BLF483" s="299"/>
      <c r="BLG483" s="299"/>
      <c r="BLH483" s="299"/>
      <c r="BLI483" s="299"/>
      <c r="BLJ483" s="299"/>
      <c r="BLK483" s="299"/>
      <c r="BLL483" s="299"/>
      <c r="BLM483" s="299"/>
      <c r="BLN483" s="299"/>
      <c r="BLO483" s="299"/>
      <c r="BLP483" s="299"/>
      <c r="BLQ483" s="299"/>
      <c r="BLR483" s="299"/>
      <c r="BLS483" s="299"/>
      <c r="BLT483" s="299"/>
      <c r="BLU483" s="299"/>
      <c r="BLV483" s="299"/>
      <c r="BLW483" s="299"/>
      <c r="BLX483" s="299"/>
      <c r="BLY483" s="299"/>
      <c r="BLZ483" s="299"/>
      <c r="BMA483" s="299"/>
      <c r="BMB483" s="299"/>
      <c r="BMC483" s="299"/>
      <c r="BMD483" s="299"/>
      <c r="BME483" s="299"/>
      <c r="BMF483" s="299"/>
      <c r="BMG483" s="299"/>
      <c r="BMH483" s="299"/>
      <c r="BMI483" s="299"/>
      <c r="BMJ483" s="299"/>
      <c r="BMK483" s="299"/>
      <c r="BML483" s="299"/>
      <c r="BMM483" s="299"/>
      <c r="BMN483" s="299"/>
      <c r="BMO483" s="299"/>
      <c r="BMP483" s="299"/>
      <c r="BMQ483" s="299"/>
      <c r="BMR483" s="299"/>
      <c r="BMS483" s="299"/>
      <c r="BMT483" s="299"/>
      <c r="BMU483" s="299"/>
      <c r="BMV483" s="299"/>
      <c r="BMW483" s="299"/>
      <c r="BMX483" s="299"/>
      <c r="BMY483" s="299"/>
      <c r="BMZ483" s="299"/>
      <c r="BNA483" s="299"/>
      <c r="BNB483" s="299"/>
      <c r="BNC483" s="299"/>
      <c r="BND483" s="299"/>
      <c r="BNE483" s="299"/>
      <c r="BNF483" s="299"/>
      <c r="BNG483" s="299"/>
      <c r="BNH483" s="299"/>
      <c r="BNI483" s="299"/>
      <c r="BNJ483" s="299"/>
      <c r="BNK483" s="299"/>
      <c r="BNL483" s="299"/>
      <c r="BNM483" s="299"/>
      <c r="BNN483" s="299"/>
      <c r="BNO483" s="299"/>
      <c r="BNP483" s="299"/>
      <c r="BNQ483" s="299"/>
      <c r="BNR483" s="299"/>
      <c r="BNS483" s="299"/>
      <c r="BNT483" s="299"/>
      <c r="BNU483" s="299"/>
      <c r="BNV483" s="299"/>
      <c r="BNW483" s="299"/>
      <c r="BNX483" s="299"/>
      <c r="BNY483" s="299"/>
      <c r="BNZ483" s="299"/>
      <c r="BOA483" s="299"/>
      <c r="BOB483" s="299"/>
      <c r="BOC483" s="299"/>
      <c r="BOD483" s="299"/>
      <c r="BOE483" s="299"/>
      <c r="BOF483" s="299"/>
      <c r="BOG483" s="299"/>
      <c r="BOH483" s="299"/>
      <c r="BOI483" s="299"/>
      <c r="BOJ483" s="299"/>
      <c r="BOK483" s="299"/>
      <c r="BOL483" s="299"/>
      <c r="BOM483" s="299"/>
      <c r="BON483" s="299"/>
      <c r="BOO483" s="299"/>
      <c r="BOP483" s="299"/>
      <c r="BOQ483" s="299"/>
      <c r="BOR483" s="299"/>
      <c r="BOS483" s="299"/>
      <c r="BOT483" s="299"/>
      <c r="BOU483" s="299"/>
      <c r="BOV483" s="299"/>
      <c r="BOW483" s="299"/>
      <c r="BOX483" s="299"/>
      <c r="BOY483" s="299"/>
      <c r="BOZ483" s="299"/>
      <c r="BPA483" s="299"/>
      <c r="BPB483" s="299"/>
      <c r="BPC483" s="299"/>
      <c r="BPD483" s="299"/>
      <c r="BPE483" s="299"/>
      <c r="BPF483" s="299"/>
      <c r="BPG483" s="299"/>
      <c r="BPH483" s="299"/>
      <c r="BPI483" s="299"/>
      <c r="BPJ483" s="299"/>
      <c r="BPK483" s="299"/>
      <c r="BPL483" s="299"/>
      <c r="BPM483" s="299"/>
      <c r="BPN483" s="299"/>
      <c r="BPO483" s="299"/>
      <c r="BPP483" s="299"/>
      <c r="BPQ483" s="299"/>
      <c r="BPR483" s="299"/>
      <c r="BPS483" s="299"/>
      <c r="BPT483" s="299"/>
      <c r="BPU483" s="299"/>
      <c r="BPV483" s="299"/>
      <c r="BPW483" s="299"/>
      <c r="BPX483" s="299"/>
      <c r="BPY483" s="299"/>
      <c r="BPZ483" s="299"/>
      <c r="BQA483" s="299"/>
      <c r="BQB483" s="299"/>
      <c r="BQC483" s="299"/>
      <c r="BQD483" s="299"/>
      <c r="BQE483" s="299"/>
      <c r="BQF483" s="299"/>
      <c r="BQG483" s="299"/>
      <c r="BQH483" s="299"/>
      <c r="BQI483" s="299"/>
      <c r="BQJ483" s="299"/>
      <c r="BQK483" s="299"/>
      <c r="BQL483" s="299"/>
      <c r="BQM483" s="299"/>
      <c r="BQN483" s="299"/>
      <c r="BQO483" s="299"/>
      <c r="BQP483" s="299"/>
      <c r="BQQ483" s="299"/>
      <c r="BQR483" s="299"/>
      <c r="BQS483" s="299"/>
      <c r="BQT483" s="299"/>
      <c r="BQU483" s="299"/>
      <c r="BQV483" s="299"/>
      <c r="BQW483" s="299"/>
      <c r="BQX483" s="299"/>
      <c r="BQY483" s="299"/>
      <c r="BQZ483" s="299"/>
      <c r="BRA483" s="299"/>
      <c r="BRB483" s="299"/>
      <c r="BRC483" s="299"/>
      <c r="BRD483" s="299"/>
      <c r="BRE483" s="299"/>
      <c r="BRF483" s="299"/>
      <c r="BRG483" s="299"/>
      <c r="BRH483" s="299"/>
      <c r="BRI483" s="299"/>
      <c r="BRJ483" s="299"/>
      <c r="BRK483" s="299"/>
      <c r="BRL483" s="299"/>
      <c r="BRM483" s="299"/>
      <c r="BRN483" s="299"/>
      <c r="BRO483" s="299"/>
      <c r="BRP483" s="299"/>
      <c r="BRQ483" s="299"/>
      <c r="BRR483" s="299"/>
      <c r="BRS483" s="299"/>
      <c r="BRT483" s="299"/>
      <c r="BRU483" s="299"/>
      <c r="BRV483" s="299"/>
      <c r="BRW483" s="299"/>
      <c r="BRX483" s="299"/>
      <c r="BRY483" s="299"/>
      <c r="BRZ483" s="299"/>
      <c r="BSA483" s="299"/>
      <c r="BSB483" s="299"/>
      <c r="BSC483" s="299"/>
      <c r="BSD483" s="299"/>
      <c r="BSE483" s="299"/>
      <c r="BSF483" s="299"/>
      <c r="BSG483" s="299"/>
      <c r="BSH483" s="299"/>
      <c r="BSI483" s="299"/>
      <c r="BSJ483" s="299"/>
      <c r="BSK483" s="299"/>
      <c r="BSL483" s="299"/>
      <c r="BSM483" s="299"/>
      <c r="BSN483" s="299"/>
      <c r="BSO483" s="299"/>
      <c r="BSP483" s="299"/>
      <c r="BSQ483" s="299"/>
      <c r="BSR483" s="299"/>
      <c r="BSS483" s="299"/>
      <c r="BST483" s="299"/>
      <c r="BSU483" s="299"/>
      <c r="BSV483" s="299"/>
      <c r="BSW483" s="299"/>
      <c r="BSX483" s="299"/>
      <c r="BSY483" s="299"/>
      <c r="BSZ483" s="299"/>
      <c r="BTA483" s="299"/>
      <c r="BTB483" s="299"/>
      <c r="BTC483" s="299"/>
      <c r="BTD483" s="299"/>
      <c r="BTE483" s="299"/>
      <c r="BTF483" s="299"/>
      <c r="BTG483" s="299"/>
      <c r="BTH483" s="299"/>
      <c r="BTI483" s="299"/>
      <c r="BTJ483" s="299"/>
      <c r="BTK483" s="299"/>
      <c r="BTL483" s="299"/>
      <c r="BTM483" s="299"/>
      <c r="BTN483" s="299"/>
      <c r="BTO483" s="299"/>
      <c r="BTP483" s="299"/>
      <c r="BTQ483" s="299"/>
      <c r="BTR483" s="299"/>
      <c r="BTS483" s="299"/>
      <c r="BTT483" s="299"/>
      <c r="BTU483" s="299"/>
      <c r="BTV483" s="299"/>
      <c r="BTW483" s="299"/>
      <c r="BTX483" s="299"/>
      <c r="BTY483" s="299"/>
      <c r="BTZ483" s="299"/>
      <c r="BUA483" s="299"/>
      <c r="BUB483" s="299"/>
      <c r="BUC483" s="299"/>
      <c r="BUD483" s="299"/>
      <c r="BUE483" s="299"/>
      <c r="BUF483" s="299"/>
      <c r="BUG483" s="299"/>
      <c r="BUH483" s="299"/>
      <c r="BUI483" s="299"/>
      <c r="BUJ483" s="299"/>
      <c r="BUK483" s="299"/>
      <c r="BUL483" s="299"/>
      <c r="BUM483" s="299"/>
      <c r="BUN483" s="299"/>
      <c r="BUO483" s="299"/>
      <c r="BUP483" s="299"/>
      <c r="BUQ483" s="299"/>
      <c r="BUR483" s="299"/>
      <c r="BUS483" s="299"/>
      <c r="BUT483" s="299"/>
      <c r="BUU483" s="299"/>
      <c r="BUV483" s="299"/>
      <c r="BUW483" s="299"/>
      <c r="BUX483" s="299"/>
      <c r="BUY483" s="299"/>
      <c r="BUZ483" s="299"/>
      <c r="BVA483" s="299"/>
      <c r="BVB483" s="299"/>
      <c r="BVC483" s="299"/>
      <c r="BVD483" s="299"/>
      <c r="BVE483" s="299"/>
      <c r="BVF483" s="299"/>
      <c r="BVG483" s="299"/>
      <c r="BVH483" s="299"/>
      <c r="BVI483" s="299"/>
      <c r="BVJ483" s="299"/>
      <c r="BVK483" s="299"/>
      <c r="BVL483" s="299"/>
      <c r="BVM483" s="299"/>
      <c r="BVN483" s="299"/>
      <c r="BVO483" s="299"/>
      <c r="BVP483" s="299"/>
      <c r="BVQ483" s="299"/>
      <c r="BVR483" s="299"/>
      <c r="BVS483" s="299"/>
      <c r="BVT483" s="299"/>
      <c r="BVU483" s="299"/>
      <c r="BVV483" s="299"/>
      <c r="BVW483" s="299"/>
      <c r="BVX483" s="299"/>
      <c r="BVY483" s="299"/>
      <c r="BVZ483" s="299"/>
      <c r="BWA483" s="299"/>
      <c r="BWB483" s="299"/>
      <c r="BWC483" s="299"/>
      <c r="BWD483" s="299"/>
      <c r="BWE483" s="299"/>
      <c r="BWF483" s="299"/>
      <c r="BWG483" s="299"/>
      <c r="BWH483" s="299"/>
      <c r="BWI483" s="299"/>
      <c r="BWJ483" s="299"/>
      <c r="BWK483" s="299"/>
      <c r="BWL483" s="299"/>
      <c r="BWM483" s="299"/>
      <c r="BWN483" s="299"/>
      <c r="BWO483" s="299"/>
      <c r="BWP483" s="299"/>
      <c r="BWQ483" s="299"/>
      <c r="BWR483" s="299"/>
      <c r="BWS483" s="299"/>
      <c r="BWT483" s="299"/>
      <c r="BWU483" s="299"/>
      <c r="BWV483" s="299"/>
      <c r="BWW483" s="299"/>
      <c r="BWX483" s="299"/>
      <c r="BWY483" s="299"/>
      <c r="BWZ483" s="299"/>
      <c r="BXA483" s="299"/>
      <c r="BXB483" s="299"/>
      <c r="BXC483" s="299"/>
      <c r="BXD483" s="299"/>
      <c r="BXE483" s="299"/>
      <c r="BXF483" s="299"/>
      <c r="BXG483" s="299"/>
      <c r="BXH483" s="299"/>
      <c r="BXI483" s="299"/>
      <c r="BXJ483" s="299"/>
      <c r="BXK483" s="299"/>
      <c r="BXL483" s="299"/>
      <c r="BXM483" s="299"/>
      <c r="BXN483" s="299"/>
      <c r="BXO483" s="299"/>
      <c r="BXP483" s="299"/>
      <c r="BXQ483" s="299"/>
      <c r="BXR483" s="299"/>
      <c r="BXS483" s="299"/>
      <c r="BXT483" s="299"/>
      <c r="BXU483" s="299"/>
      <c r="BXV483" s="299"/>
      <c r="BXW483" s="299"/>
      <c r="BXX483" s="299"/>
      <c r="BXY483" s="299"/>
      <c r="BXZ483" s="299"/>
      <c r="BYA483" s="299"/>
      <c r="BYB483" s="299"/>
      <c r="BYC483" s="299"/>
      <c r="BYD483" s="299"/>
      <c r="BYE483" s="299"/>
      <c r="BYF483" s="299"/>
      <c r="BYG483" s="299"/>
      <c r="BYH483" s="299"/>
      <c r="BYI483" s="299"/>
      <c r="BYJ483" s="299"/>
      <c r="BYK483" s="299"/>
      <c r="BYL483" s="299"/>
      <c r="BYM483" s="299"/>
      <c r="BYN483" s="299"/>
      <c r="BYO483" s="299"/>
      <c r="BYP483" s="299"/>
      <c r="BYQ483" s="299"/>
      <c r="BYR483" s="299"/>
      <c r="BYS483" s="299"/>
      <c r="BYT483" s="299"/>
      <c r="BYU483" s="299"/>
      <c r="BYV483" s="299"/>
      <c r="BYW483" s="299"/>
      <c r="BYX483" s="299"/>
      <c r="BYY483" s="299"/>
      <c r="BYZ483" s="299"/>
      <c r="BZA483" s="299"/>
      <c r="BZB483" s="299"/>
      <c r="BZC483" s="299"/>
      <c r="BZD483" s="299"/>
      <c r="BZE483" s="299"/>
      <c r="BZF483" s="299"/>
      <c r="BZG483" s="299"/>
      <c r="BZH483" s="299"/>
      <c r="BZI483" s="299"/>
      <c r="BZJ483" s="299"/>
      <c r="BZK483" s="299"/>
      <c r="BZL483" s="299"/>
      <c r="BZM483" s="299"/>
      <c r="BZN483" s="299"/>
      <c r="BZO483" s="299"/>
      <c r="BZP483" s="299"/>
      <c r="BZQ483" s="299"/>
      <c r="BZR483" s="299"/>
      <c r="BZS483" s="299"/>
      <c r="BZT483" s="299"/>
      <c r="BZU483" s="299"/>
      <c r="BZV483" s="299"/>
      <c r="BZW483" s="299"/>
      <c r="BZX483" s="299"/>
      <c r="BZY483" s="299"/>
      <c r="BZZ483" s="299"/>
      <c r="CAA483" s="299"/>
      <c r="CAB483" s="299"/>
      <c r="CAC483" s="299"/>
      <c r="CAD483" s="299"/>
      <c r="CAE483" s="299"/>
      <c r="CAF483" s="299"/>
      <c r="CAG483" s="299"/>
      <c r="CAH483" s="299"/>
      <c r="CAI483" s="299"/>
      <c r="CAJ483" s="299"/>
      <c r="CAK483" s="299"/>
      <c r="CAL483" s="299"/>
      <c r="CAM483" s="299"/>
      <c r="CAN483" s="299"/>
      <c r="CAO483" s="299"/>
      <c r="CAP483" s="299"/>
      <c r="CAQ483" s="299"/>
      <c r="CAR483" s="299"/>
      <c r="CAS483" s="299"/>
      <c r="CAT483" s="299"/>
      <c r="CAU483" s="299"/>
      <c r="CAV483" s="299"/>
      <c r="CAW483" s="299"/>
      <c r="CAX483" s="299"/>
      <c r="CAY483" s="299"/>
      <c r="CAZ483" s="299"/>
      <c r="CBA483" s="299"/>
      <c r="CBB483" s="299"/>
      <c r="CBC483" s="299"/>
      <c r="CBD483" s="299"/>
      <c r="CBE483" s="299"/>
      <c r="CBF483" s="299"/>
      <c r="CBG483" s="299"/>
      <c r="CBH483" s="299"/>
      <c r="CBI483" s="299"/>
      <c r="CBJ483" s="299"/>
      <c r="CBK483" s="299"/>
      <c r="CBL483" s="299"/>
      <c r="CBM483" s="299"/>
      <c r="CBN483" s="299"/>
      <c r="CBO483" s="299"/>
      <c r="CBP483" s="299"/>
      <c r="CBQ483" s="299"/>
      <c r="CBR483" s="299"/>
      <c r="CBS483" s="299"/>
      <c r="CBT483" s="299"/>
      <c r="CBU483" s="299"/>
      <c r="CBV483" s="299"/>
      <c r="CBW483" s="299"/>
      <c r="CBX483" s="299"/>
      <c r="CBY483" s="299"/>
      <c r="CBZ483" s="299"/>
      <c r="CCA483" s="299"/>
      <c r="CCB483" s="299"/>
      <c r="CCC483" s="299"/>
      <c r="CCD483" s="299"/>
      <c r="CCE483" s="299"/>
      <c r="CCF483" s="299"/>
      <c r="CCG483" s="299"/>
      <c r="CCH483" s="299"/>
      <c r="CCI483" s="299"/>
      <c r="CCJ483" s="299"/>
      <c r="CCK483" s="299"/>
      <c r="CCL483" s="299"/>
      <c r="CCM483" s="299"/>
      <c r="CCN483" s="299"/>
      <c r="CCO483" s="299"/>
      <c r="CCP483" s="299"/>
      <c r="CCQ483" s="299"/>
      <c r="CCR483" s="299"/>
      <c r="CCS483" s="299"/>
      <c r="CCT483" s="299"/>
      <c r="CCU483" s="299"/>
      <c r="CCV483" s="299"/>
      <c r="CCW483" s="299"/>
      <c r="CCX483" s="299"/>
      <c r="CCY483" s="299"/>
      <c r="CCZ483" s="299"/>
      <c r="CDA483" s="299"/>
      <c r="CDB483" s="299"/>
      <c r="CDC483" s="299"/>
      <c r="CDD483" s="299"/>
      <c r="CDE483" s="299"/>
      <c r="CDF483" s="299"/>
      <c r="CDG483" s="299"/>
      <c r="CDH483" s="299"/>
      <c r="CDI483" s="299"/>
      <c r="CDJ483" s="299"/>
      <c r="CDK483" s="299"/>
      <c r="CDL483" s="299"/>
      <c r="CDM483" s="299"/>
      <c r="CDN483" s="299"/>
      <c r="CDO483" s="299"/>
      <c r="CDP483" s="299"/>
      <c r="CDQ483" s="299"/>
      <c r="CDR483" s="299"/>
      <c r="CDS483" s="299"/>
      <c r="CDT483" s="299"/>
      <c r="CDU483" s="299"/>
      <c r="CDV483" s="299"/>
      <c r="CDW483" s="299"/>
      <c r="CDX483" s="299"/>
      <c r="CDY483" s="299"/>
      <c r="CDZ483" s="299"/>
      <c r="CEA483" s="299"/>
      <c r="CEB483" s="299"/>
      <c r="CEC483" s="299"/>
      <c r="CED483" s="299"/>
      <c r="CEE483" s="299"/>
      <c r="CEF483" s="299"/>
      <c r="CEG483" s="299"/>
      <c r="CEH483" s="299"/>
      <c r="CEI483" s="299"/>
      <c r="CEJ483" s="299"/>
      <c r="CEK483" s="299"/>
      <c r="CEL483" s="299"/>
      <c r="CEM483" s="299"/>
      <c r="CEN483" s="299"/>
      <c r="CEO483" s="299"/>
      <c r="CEP483" s="299"/>
      <c r="CEQ483" s="299"/>
      <c r="CER483" s="299"/>
      <c r="CES483" s="299"/>
      <c r="CET483" s="299"/>
      <c r="CEU483" s="299"/>
      <c r="CEV483" s="299"/>
      <c r="CEW483" s="299"/>
      <c r="CEX483" s="299"/>
      <c r="CEY483" s="299"/>
      <c r="CEZ483" s="299"/>
      <c r="CFA483" s="299"/>
      <c r="CFB483" s="299"/>
      <c r="CFC483" s="299"/>
      <c r="CFD483" s="299"/>
      <c r="CFE483" s="299"/>
      <c r="CFF483" s="299"/>
      <c r="CFG483" s="299"/>
      <c r="CFH483" s="299"/>
      <c r="CFI483" s="299"/>
      <c r="CFJ483" s="299"/>
      <c r="CFK483" s="299"/>
      <c r="CFL483" s="299"/>
      <c r="CFM483" s="299"/>
      <c r="CFN483" s="299"/>
      <c r="CFO483" s="299"/>
      <c r="CFP483" s="299"/>
      <c r="CFQ483" s="299"/>
      <c r="CFR483" s="299"/>
      <c r="CFS483" s="299"/>
      <c r="CFT483" s="299"/>
      <c r="CFU483" s="299"/>
      <c r="CFV483" s="299"/>
      <c r="CFW483" s="299"/>
      <c r="CFX483" s="299"/>
      <c r="CFY483" s="299"/>
      <c r="CFZ483" s="299"/>
      <c r="CGA483" s="299"/>
      <c r="CGB483" s="299"/>
      <c r="CGC483" s="299"/>
      <c r="CGD483" s="299"/>
      <c r="CGE483" s="299"/>
      <c r="CGF483" s="299"/>
      <c r="CGG483" s="299"/>
      <c r="CGH483" s="299"/>
      <c r="CGI483" s="299"/>
      <c r="CGJ483" s="299"/>
      <c r="CGK483" s="299"/>
      <c r="CGL483" s="299"/>
      <c r="CGM483" s="299"/>
      <c r="CGN483" s="299"/>
      <c r="CGO483" s="299"/>
      <c r="CGP483" s="299"/>
      <c r="CGQ483" s="299"/>
      <c r="CGR483" s="299"/>
      <c r="CGS483" s="299"/>
      <c r="CGT483" s="299"/>
      <c r="CGU483" s="299"/>
      <c r="CGV483" s="299"/>
      <c r="CGW483" s="299"/>
      <c r="CGX483" s="299"/>
      <c r="CGY483" s="299"/>
      <c r="CGZ483" s="299"/>
      <c r="CHA483" s="299"/>
      <c r="CHB483" s="299"/>
      <c r="CHC483" s="299"/>
      <c r="CHD483" s="299"/>
      <c r="CHE483" s="299"/>
      <c r="CHF483" s="299"/>
      <c r="CHG483" s="299"/>
      <c r="CHH483" s="299"/>
      <c r="CHI483" s="299"/>
      <c r="CHJ483" s="299"/>
      <c r="CHK483" s="299"/>
      <c r="CHL483" s="299"/>
      <c r="CHM483" s="299"/>
      <c r="CHN483" s="299"/>
      <c r="CHO483" s="299"/>
      <c r="CHP483" s="299"/>
      <c r="CHQ483" s="299"/>
      <c r="CHR483" s="299"/>
      <c r="CHS483" s="299"/>
      <c r="CHT483" s="299"/>
      <c r="CHU483" s="299"/>
      <c r="CHV483" s="299"/>
      <c r="CHW483" s="299"/>
      <c r="CHX483" s="299"/>
      <c r="CHY483" s="299"/>
      <c r="CHZ483" s="299"/>
      <c r="CIA483" s="299"/>
      <c r="CIB483" s="299"/>
      <c r="CIC483" s="299"/>
      <c r="CID483" s="299"/>
      <c r="CIE483" s="299"/>
      <c r="CIF483" s="299"/>
      <c r="CIG483" s="299"/>
      <c r="CIH483" s="299"/>
      <c r="CII483" s="299"/>
      <c r="CIJ483" s="299"/>
      <c r="CIK483" s="299"/>
      <c r="CIL483" s="299"/>
      <c r="CIM483" s="299"/>
      <c r="CIN483" s="299"/>
      <c r="CIO483" s="299"/>
      <c r="CIP483" s="299"/>
      <c r="CIQ483" s="299"/>
      <c r="CIR483" s="299"/>
      <c r="CIS483" s="299"/>
      <c r="CIT483" s="299"/>
      <c r="CIU483" s="299"/>
      <c r="CIV483" s="299"/>
      <c r="CIW483" s="299"/>
      <c r="CIX483" s="299"/>
      <c r="CIY483" s="299"/>
      <c r="CIZ483" s="299"/>
      <c r="CJA483" s="299"/>
      <c r="CJB483" s="299"/>
      <c r="CJC483" s="299"/>
      <c r="CJD483" s="299"/>
      <c r="CJE483" s="299"/>
      <c r="CJF483" s="299"/>
      <c r="CJG483" s="299"/>
      <c r="CJH483" s="299"/>
      <c r="CJI483" s="299"/>
      <c r="CJJ483" s="299"/>
      <c r="CJK483" s="299"/>
      <c r="CJL483" s="299"/>
      <c r="CJM483" s="299"/>
      <c r="CJN483" s="299"/>
      <c r="CJO483" s="299"/>
      <c r="CJP483" s="299"/>
      <c r="CJQ483" s="299"/>
      <c r="CJR483" s="299"/>
      <c r="CJS483" s="299"/>
      <c r="CJT483" s="299"/>
      <c r="CJU483" s="299"/>
      <c r="CJV483" s="299"/>
      <c r="CJW483" s="299"/>
      <c r="CJX483" s="299"/>
      <c r="CJY483" s="299"/>
      <c r="CJZ483" s="299"/>
      <c r="CKA483" s="299"/>
      <c r="CKB483" s="299"/>
      <c r="CKC483" s="299"/>
      <c r="CKD483" s="299"/>
      <c r="CKE483" s="299"/>
      <c r="CKF483" s="299"/>
      <c r="CKG483" s="299"/>
      <c r="CKH483" s="299"/>
      <c r="CKI483" s="299"/>
      <c r="CKJ483" s="299"/>
      <c r="CKK483" s="299"/>
      <c r="CKL483" s="299"/>
      <c r="CKM483" s="299"/>
      <c r="CKN483" s="299"/>
      <c r="CKO483" s="299"/>
      <c r="CKP483" s="299"/>
      <c r="CKQ483" s="299"/>
      <c r="CKR483" s="299"/>
      <c r="CKS483" s="299"/>
      <c r="CKT483" s="299"/>
      <c r="CKU483" s="299"/>
      <c r="CKV483" s="299"/>
      <c r="CKW483" s="299"/>
      <c r="CKX483" s="299"/>
      <c r="CKY483" s="299"/>
      <c r="CKZ483" s="299"/>
      <c r="CLA483" s="299"/>
      <c r="CLB483" s="299"/>
      <c r="CLC483" s="299"/>
      <c r="CLD483" s="299"/>
      <c r="CLE483" s="299"/>
      <c r="CLF483" s="299"/>
      <c r="CLG483" s="299"/>
      <c r="CLH483" s="299"/>
      <c r="CLI483" s="299"/>
      <c r="CLJ483" s="299"/>
      <c r="CLK483" s="299"/>
      <c r="CLL483" s="299"/>
      <c r="CLM483" s="299"/>
      <c r="CLN483" s="299"/>
      <c r="CLO483" s="299"/>
      <c r="CLP483" s="299"/>
      <c r="CLQ483" s="299"/>
      <c r="CLR483" s="299"/>
      <c r="CLS483" s="299"/>
      <c r="CLT483" s="299"/>
      <c r="CLU483" s="299"/>
      <c r="CLV483" s="299"/>
      <c r="CLW483" s="299"/>
      <c r="CLX483" s="299"/>
      <c r="CLY483" s="299"/>
      <c r="CLZ483" s="299"/>
      <c r="CMA483" s="299"/>
      <c r="CMB483" s="299"/>
      <c r="CMC483" s="299"/>
      <c r="CMD483" s="299"/>
      <c r="CME483" s="299"/>
      <c r="CMF483" s="299"/>
      <c r="CMG483" s="299"/>
      <c r="CMH483" s="299"/>
      <c r="CMI483" s="299"/>
      <c r="CMJ483" s="299"/>
      <c r="CMK483" s="299"/>
      <c r="CML483" s="299"/>
      <c r="CMM483" s="299"/>
      <c r="CMN483" s="299"/>
      <c r="CMO483" s="299"/>
      <c r="CMP483" s="299"/>
      <c r="CMQ483" s="299"/>
      <c r="CMR483" s="299"/>
      <c r="CMS483" s="299"/>
      <c r="CMT483" s="299"/>
      <c r="CMU483" s="299"/>
      <c r="CMV483" s="299"/>
      <c r="CMW483" s="299"/>
      <c r="CMX483" s="299"/>
      <c r="CMY483" s="299"/>
      <c r="CMZ483" s="299"/>
      <c r="CNA483" s="299"/>
      <c r="CNB483" s="299"/>
      <c r="CNC483" s="299"/>
      <c r="CND483" s="299"/>
      <c r="CNE483" s="299"/>
      <c r="CNF483" s="299"/>
      <c r="CNG483" s="299"/>
      <c r="CNH483" s="299"/>
      <c r="CNI483" s="299"/>
      <c r="CNJ483" s="299"/>
      <c r="CNK483" s="299"/>
      <c r="CNL483" s="299"/>
      <c r="CNM483" s="299"/>
      <c r="CNN483" s="299"/>
      <c r="CNO483" s="299"/>
      <c r="CNP483" s="299"/>
      <c r="CNQ483" s="299"/>
      <c r="CNR483" s="299"/>
      <c r="CNS483" s="299"/>
      <c r="CNT483" s="299"/>
      <c r="CNU483" s="299"/>
      <c r="CNV483" s="299"/>
      <c r="CNW483" s="299"/>
      <c r="CNX483" s="299"/>
      <c r="CNY483" s="299"/>
      <c r="CNZ483" s="299"/>
      <c r="COA483" s="299"/>
      <c r="COB483" s="299"/>
      <c r="COC483" s="299"/>
      <c r="COD483" s="299"/>
      <c r="COE483" s="299"/>
      <c r="COF483" s="299"/>
      <c r="COG483" s="299"/>
      <c r="COH483" s="299"/>
      <c r="COI483" s="299"/>
      <c r="COJ483" s="299"/>
      <c r="COK483" s="299"/>
      <c r="COL483" s="299"/>
      <c r="COM483" s="299"/>
      <c r="CON483" s="299"/>
      <c r="COO483" s="299"/>
      <c r="COP483" s="299"/>
      <c r="COQ483" s="299"/>
      <c r="COR483" s="299"/>
      <c r="COS483" s="299"/>
      <c r="COT483" s="299"/>
      <c r="COU483" s="299"/>
      <c r="COV483" s="299"/>
      <c r="COW483" s="299"/>
      <c r="COX483" s="299"/>
      <c r="COY483" s="299"/>
      <c r="COZ483" s="299"/>
      <c r="CPA483" s="299"/>
      <c r="CPB483" s="299"/>
      <c r="CPC483" s="299"/>
      <c r="CPD483" s="299"/>
      <c r="CPE483" s="299"/>
      <c r="CPF483" s="299"/>
      <c r="CPG483" s="299"/>
      <c r="CPH483" s="299"/>
      <c r="CPI483" s="299"/>
      <c r="CPJ483" s="299"/>
      <c r="CPK483" s="299"/>
      <c r="CPL483" s="299"/>
      <c r="CPM483" s="299"/>
      <c r="CPN483" s="299"/>
      <c r="CPO483" s="299"/>
      <c r="CPP483" s="299"/>
      <c r="CPQ483" s="299"/>
      <c r="CPR483" s="299"/>
      <c r="CPS483" s="299"/>
      <c r="CPT483" s="299"/>
      <c r="CPU483" s="299"/>
      <c r="CPV483" s="299"/>
      <c r="CPW483" s="299"/>
      <c r="CPX483" s="299"/>
      <c r="CPY483" s="299"/>
      <c r="CPZ483" s="299"/>
      <c r="CQA483" s="299"/>
      <c r="CQB483" s="299"/>
      <c r="CQC483" s="299"/>
      <c r="CQD483" s="299"/>
      <c r="CQE483" s="299"/>
      <c r="CQF483" s="299"/>
      <c r="CQG483" s="299"/>
      <c r="CQH483" s="299"/>
      <c r="CQI483" s="299"/>
      <c r="CQJ483" s="299"/>
      <c r="CQK483" s="299"/>
      <c r="CQL483" s="299"/>
      <c r="CQM483" s="299"/>
      <c r="CQN483" s="299"/>
      <c r="CQO483" s="299"/>
      <c r="CQP483" s="299"/>
      <c r="CQQ483" s="299"/>
      <c r="CQR483" s="299"/>
      <c r="CQS483" s="299"/>
      <c r="CQT483" s="299"/>
      <c r="CQU483" s="299"/>
      <c r="CQV483" s="299"/>
      <c r="CQW483" s="299"/>
      <c r="CQX483" s="299"/>
      <c r="CQY483" s="299"/>
      <c r="CQZ483" s="299"/>
      <c r="CRA483" s="299"/>
      <c r="CRB483" s="299"/>
      <c r="CRC483" s="299"/>
      <c r="CRD483" s="299"/>
      <c r="CRE483" s="299"/>
      <c r="CRF483" s="299"/>
      <c r="CRG483" s="299"/>
      <c r="CRH483" s="299"/>
      <c r="CRI483" s="299"/>
      <c r="CRJ483" s="299"/>
      <c r="CRK483" s="299"/>
      <c r="CRL483" s="299"/>
      <c r="CRM483" s="299"/>
      <c r="CRN483" s="299"/>
      <c r="CRO483" s="299"/>
      <c r="CRP483" s="299"/>
      <c r="CRQ483" s="299"/>
      <c r="CRR483" s="299"/>
      <c r="CRS483" s="299"/>
      <c r="CRT483" s="299"/>
      <c r="CRU483" s="299"/>
      <c r="CRV483" s="299"/>
      <c r="CRW483" s="299"/>
      <c r="CRX483" s="299"/>
      <c r="CRY483" s="299"/>
      <c r="CRZ483" s="299"/>
      <c r="CSA483" s="299"/>
      <c r="CSB483" s="299"/>
      <c r="CSC483" s="299"/>
      <c r="CSD483" s="299"/>
      <c r="CSE483" s="299"/>
      <c r="CSF483" s="299"/>
      <c r="CSG483" s="299"/>
      <c r="CSH483" s="299"/>
      <c r="CSI483" s="299"/>
      <c r="CSJ483" s="299"/>
      <c r="CSK483" s="299"/>
      <c r="CSL483" s="299"/>
      <c r="CSM483" s="299"/>
      <c r="CSN483" s="299"/>
      <c r="CSO483" s="299"/>
      <c r="CSP483" s="299"/>
      <c r="CSQ483" s="299"/>
      <c r="CSR483" s="299"/>
      <c r="CSS483" s="299"/>
      <c r="CST483" s="299"/>
      <c r="CSU483" s="299"/>
      <c r="CSV483" s="299"/>
      <c r="CSW483" s="299"/>
      <c r="CSX483" s="299"/>
      <c r="CSY483" s="299"/>
      <c r="CSZ483" s="299"/>
      <c r="CTA483" s="299"/>
      <c r="CTB483" s="299"/>
      <c r="CTC483" s="299"/>
      <c r="CTD483" s="299"/>
      <c r="CTE483" s="299"/>
      <c r="CTF483" s="299"/>
      <c r="CTG483" s="299"/>
      <c r="CTH483" s="299"/>
      <c r="CTI483" s="299"/>
      <c r="CTJ483" s="299"/>
      <c r="CTK483" s="299"/>
      <c r="CTL483" s="299"/>
      <c r="CTM483" s="299"/>
      <c r="CTN483" s="299"/>
      <c r="CTO483" s="299"/>
      <c r="CTP483" s="299"/>
      <c r="CTQ483" s="299"/>
      <c r="CTR483" s="299"/>
      <c r="CTS483" s="299"/>
      <c r="CTT483" s="299"/>
      <c r="CTU483" s="299"/>
      <c r="CTV483" s="299"/>
      <c r="CTW483" s="299"/>
      <c r="CTX483" s="299"/>
      <c r="CTY483" s="299"/>
      <c r="CTZ483" s="299"/>
      <c r="CUA483" s="299"/>
      <c r="CUB483" s="299"/>
      <c r="CUC483" s="299"/>
      <c r="CUD483" s="299"/>
      <c r="CUE483" s="299"/>
      <c r="CUF483" s="299"/>
      <c r="CUG483" s="299"/>
      <c r="CUH483" s="299"/>
      <c r="CUI483" s="299"/>
      <c r="CUJ483" s="299"/>
      <c r="CUK483" s="299"/>
      <c r="CUL483" s="299"/>
      <c r="CUM483" s="299"/>
      <c r="CUN483" s="299"/>
      <c r="CUO483" s="299"/>
      <c r="CUP483" s="299"/>
      <c r="CUQ483" s="299"/>
      <c r="CUR483" s="299"/>
      <c r="CUS483" s="299"/>
      <c r="CUT483" s="299"/>
      <c r="CUU483" s="299"/>
      <c r="CUV483" s="299"/>
      <c r="CUW483" s="299"/>
      <c r="CUX483" s="299"/>
      <c r="CUY483" s="299"/>
      <c r="CUZ483" s="299"/>
      <c r="CVA483" s="299"/>
      <c r="CVB483" s="299"/>
      <c r="CVC483" s="299"/>
      <c r="CVD483" s="299"/>
      <c r="CVE483" s="299"/>
      <c r="CVF483" s="299"/>
      <c r="CVG483" s="299"/>
      <c r="CVH483" s="299"/>
      <c r="CVI483" s="299"/>
      <c r="CVJ483" s="299"/>
      <c r="CVK483" s="299"/>
      <c r="CVL483" s="299"/>
      <c r="CVM483" s="299"/>
      <c r="CVN483" s="299"/>
      <c r="CVO483" s="299"/>
      <c r="CVP483" s="299"/>
      <c r="CVQ483" s="299"/>
      <c r="CVR483" s="299"/>
      <c r="CVS483" s="299"/>
      <c r="CVT483" s="299"/>
      <c r="CVU483" s="299"/>
      <c r="CVV483" s="299"/>
      <c r="CVW483" s="299"/>
      <c r="CVX483" s="299"/>
      <c r="CVY483" s="299"/>
      <c r="CVZ483" s="299"/>
      <c r="CWA483" s="299"/>
      <c r="CWB483" s="299"/>
      <c r="CWC483" s="299"/>
      <c r="CWD483" s="299"/>
      <c r="CWE483" s="299"/>
      <c r="CWF483" s="299"/>
      <c r="CWG483" s="299"/>
      <c r="CWH483" s="299"/>
      <c r="CWI483" s="299"/>
      <c r="CWJ483" s="299"/>
      <c r="CWK483" s="299"/>
      <c r="CWL483" s="299"/>
      <c r="CWM483" s="299"/>
      <c r="CWN483" s="299"/>
      <c r="CWO483" s="299"/>
      <c r="CWP483" s="299"/>
      <c r="CWQ483" s="299"/>
      <c r="CWR483" s="299"/>
      <c r="CWS483" s="299"/>
      <c r="CWT483" s="299"/>
      <c r="CWU483" s="299"/>
      <c r="CWV483" s="299"/>
      <c r="CWW483" s="299"/>
      <c r="CWX483" s="299"/>
      <c r="CWY483" s="299"/>
      <c r="CWZ483" s="299"/>
      <c r="CXA483" s="299"/>
      <c r="CXB483" s="299"/>
      <c r="CXC483" s="299"/>
      <c r="CXD483" s="299"/>
      <c r="CXE483" s="299"/>
      <c r="CXF483" s="299"/>
      <c r="CXG483" s="299"/>
      <c r="CXH483" s="299"/>
      <c r="CXI483" s="299"/>
      <c r="CXJ483" s="299"/>
      <c r="CXK483" s="299"/>
      <c r="CXL483" s="299"/>
      <c r="CXM483" s="299"/>
      <c r="CXN483" s="299"/>
      <c r="CXO483" s="299"/>
      <c r="CXP483" s="299"/>
      <c r="CXQ483" s="299"/>
      <c r="CXR483" s="299"/>
      <c r="CXS483" s="299"/>
      <c r="CXT483" s="299"/>
      <c r="CXU483" s="299"/>
      <c r="CXV483" s="299"/>
      <c r="CXW483" s="299"/>
      <c r="CXX483" s="299"/>
      <c r="CXY483" s="299"/>
      <c r="CXZ483" s="299"/>
      <c r="CYA483" s="299"/>
      <c r="CYB483" s="299"/>
      <c r="CYC483" s="299"/>
      <c r="CYD483" s="299"/>
      <c r="CYE483" s="299"/>
      <c r="CYF483" s="299"/>
      <c r="CYG483" s="299"/>
      <c r="CYH483" s="299"/>
      <c r="CYI483" s="299"/>
      <c r="CYJ483" s="299"/>
      <c r="CYK483" s="299"/>
      <c r="CYL483" s="299"/>
      <c r="CYM483" s="299"/>
      <c r="CYN483" s="299"/>
      <c r="CYO483" s="299"/>
      <c r="CYP483" s="299"/>
      <c r="CYQ483" s="299"/>
      <c r="CYR483" s="299"/>
      <c r="CYS483" s="299"/>
      <c r="CYT483" s="299"/>
      <c r="CYU483" s="299"/>
      <c r="CYV483" s="299"/>
      <c r="CYW483" s="299"/>
      <c r="CYX483" s="299"/>
      <c r="CYY483" s="299"/>
      <c r="CYZ483" s="299"/>
      <c r="CZA483" s="299"/>
      <c r="CZB483" s="299"/>
      <c r="CZC483" s="299"/>
      <c r="CZD483" s="299"/>
      <c r="CZE483" s="299"/>
      <c r="CZF483" s="299"/>
      <c r="CZG483" s="299"/>
      <c r="CZH483" s="299"/>
      <c r="CZI483" s="299"/>
      <c r="CZJ483" s="299"/>
      <c r="CZK483" s="299"/>
      <c r="CZL483" s="299"/>
      <c r="CZM483" s="299"/>
      <c r="CZN483" s="299"/>
      <c r="CZO483" s="299"/>
      <c r="CZP483" s="299"/>
      <c r="CZQ483" s="299"/>
      <c r="CZR483" s="299"/>
      <c r="CZS483" s="299"/>
      <c r="CZT483" s="299"/>
      <c r="CZU483" s="299"/>
      <c r="CZV483" s="299"/>
      <c r="CZW483" s="299"/>
      <c r="CZX483" s="299"/>
      <c r="CZY483" s="299"/>
      <c r="CZZ483" s="299"/>
      <c r="DAA483" s="299"/>
      <c r="DAB483" s="299"/>
      <c r="DAC483" s="299"/>
      <c r="DAD483" s="299"/>
      <c r="DAE483" s="299"/>
      <c r="DAF483" s="299"/>
      <c r="DAG483" s="299"/>
      <c r="DAH483" s="299"/>
      <c r="DAI483" s="299"/>
      <c r="DAJ483" s="299"/>
      <c r="DAK483" s="299"/>
      <c r="DAL483" s="299"/>
      <c r="DAM483" s="299"/>
      <c r="DAN483" s="299"/>
      <c r="DAO483" s="299"/>
      <c r="DAP483" s="299"/>
      <c r="DAQ483" s="299"/>
      <c r="DAR483" s="299"/>
      <c r="DAS483" s="299"/>
      <c r="DAT483" s="299"/>
      <c r="DAU483" s="299"/>
      <c r="DAV483" s="299"/>
      <c r="DAW483" s="299"/>
      <c r="DAX483" s="299"/>
      <c r="DAY483" s="299"/>
      <c r="DAZ483" s="299"/>
      <c r="DBA483" s="299"/>
      <c r="DBB483" s="299"/>
      <c r="DBC483" s="299"/>
      <c r="DBD483" s="299"/>
      <c r="DBE483" s="299"/>
      <c r="DBF483" s="299"/>
      <c r="DBG483" s="299"/>
      <c r="DBH483" s="299"/>
      <c r="DBI483" s="299"/>
      <c r="DBJ483" s="299"/>
      <c r="DBK483" s="299"/>
      <c r="DBL483" s="299"/>
      <c r="DBM483" s="299"/>
      <c r="DBN483" s="299"/>
      <c r="DBO483" s="299"/>
      <c r="DBP483" s="299"/>
      <c r="DBQ483" s="299"/>
      <c r="DBR483" s="299"/>
      <c r="DBS483" s="299"/>
      <c r="DBT483" s="299"/>
      <c r="DBU483" s="299"/>
      <c r="DBV483" s="299"/>
      <c r="DBW483" s="299"/>
      <c r="DBX483" s="299"/>
      <c r="DBY483" s="299"/>
      <c r="DBZ483" s="299"/>
      <c r="DCA483" s="299"/>
      <c r="DCB483" s="299"/>
      <c r="DCC483" s="299"/>
      <c r="DCD483" s="299"/>
      <c r="DCE483" s="299"/>
      <c r="DCF483" s="299"/>
      <c r="DCG483" s="299"/>
      <c r="DCH483" s="299"/>
      <c r="DCI483" s="299"/>
      <c r="DCJ483" s="299"/>
      <c r="DCK483" s="299"/>
      <c r="DCL483" s="299"/>
      <c r="DCM483" s="299"/>
      <c r="DCN483" s="299"/>
      <c r="DCO483" s="299"/>
      <c r="DCP483" s="299"/>
      <c r="DCQ483" s="299"/>
      <c r="DCR483" s="299"/>
      <c r="DCS483" s="299"/>
      <c r="DCT483" s="299"/>
      <c r="DCU483" s="299"/>
      <c r="DCV483" s="299"/>
      <c r="DCW483" s="299"/>
      <c r="DCX483" s="299"/>
      <c r="DCY483" s="299"/>
      <c r="DCZ483" s="299"/>
      <c r="DDA483" s="299"/>
      <c r="DDB483" s="299"/>
      <c r="DDC483" s="299"/>
      <c r="DDD483" s="299"/>
      <c r="DDE483" s="299"/>
      <c r="DDF483" s="299"/>
      <c r="DDG483" s="299"/>
      <c r="DDH483" s="299"/>
      <c r="DDI483" s="299"/>
      <c r="DDJ483" s="299"/>
      <c r="DDK483" s="299"/>
      <c r="DDL483" s="299"/>
      <c r="DDM483" s="299"/>
      <c r="DDN483" s="299"/>
      <c r="DDO483" s="299"/>
      <c r="DDP483" s="299"/>
      <c r="DDQ483" s="299"/>
      <c r="DDR483" s="299"/>
      <c r="DDS483" s="299"/>
      <c r="DDT483" s="299"/>
      <c r="DDU483" s="299"/>
      <c r="DDV483" s="299"/>
      <c r="DDW483" s="299"/>
      <c r="DDX483" s="299"/>
      <c r="DDY483" s="299"/>
      <c r="DDZ483" s="299"/>
      <c r="DEA483" s="299"/>
      <c r="DEB483" s="299"/>
      <c r="DEC483" s="299"/>
      <c r="DED483" s="299"/>
      <c r="DEE483" s="299"/>
      <c r="DEF483" s="299"/>
      <c r="DEG483" s="299"/>
      <c r="DEH483" s="299"/>
      <c r="DEI483" s="299"/>
      <c r="DEJ483" s="299"/>
      <c r="DEK483" s="299"/>
      <c r="DEL483" s="299"/>
      <c r="DEM483" s="299"/>
      <c r="DEN483" s="299"/>
      <c r="DEO483" s="299"/>
      <c r="DEP483" s="299"/>
      <c r="DEQ483" s="299"/>
      <c r="DER483" s="299"/>
      <c r="DES483" s="299"/>
      <c r="DET483" s="299"/>
      <c r="DEU483" s="299"/>
      <c r="DEV483" s="299"/>
      <c r="DEW483" s="299"/>
      <c r="DEX483" s="299"/>
      <c r="DEY483" s="299"/>
      <c r="DEZ483" s="299"/>
      <c r="DFA483" s="299"/>
      <c r="DFB483" s="299"/>
      <c r="DFC483" s="299"/>
      <c r="DFD483" s="299"/>
      <c r="DFE483" s="299"/>
      <c r="DFF483" s="299"/>
      <c r="DFG483" s="299"/>
      <c r="DFH483" s="299"/>
      <c r="DFI483" s="299"/>
      <c r="DFJ483" s="299"/>
      <c r="DFK483" s="299"/>
      <c r="DFL483" s="299"/>
      <c r="DFM483" s="299"/>
      <c r="DFN483" s="299"/>
      <c r="DFO483" s="299"/>
      <c r="DFP483" s="299"/>
      <c r="DFQ483" s="299"/>
      <c r="DFR483" s="299"/>
      <c r="DFS483" s="299"/>
      <c r="DFT483" s="299"/>
      <c r="DFU483" s="299"/>
      <c r="DFV483" s="299"/>
      <c r="DFW483" s="299"/>
      <c r="DFX483" s="299"/>
      <c r="DFY483" s="299"/>
      <c r="DFZ483" s="299"/>
      <c r="DGA483" s="299"/>
      <c r="DGB483" s="299"/>
      <c r="DGC483" s="299"/>
      <c r="DGD483" s="299"/>
      <c r="DGE483" s="299"/>
      <c r="DGF483" s="299"/>
      <c r="DGG483" s="299"/>
      <c r="DGH483" s="299"/>
      <c r="DGI483" s="299"/>
      <c r="DGJ483" s="299"/>
      <c r="DGK483" s="299"/>
      <c r="DGL483" s="299"/>
      <c r="DGM483" s="299"/>
      <c r="DGN483" s="299"/>
      <c r="DGO483" s="299"/>
      <c r="DGP483" s="299"/>
      <c r="DGQ483" s="299"/>
      <c r="DGR483" s="299"/>
      <c r="DGS483" s="299"/>
      <c r="DGT483" s="299"/>
      <c r="DGU483" s="299"/>
      <c r="DGV483" s="299"/>
      <c r="DGW483" s="299"/>
      <c r="DGX483" s="299"/>
      <c r="DGY483" s="299"/>
      <c r="DGZ483" s="299"/>
      <c r="DHA483" s="299"/>
      <c r="DHB483" s="299"/>
      <c r="DHC483" s="299"/>
      <c r="DHD483" s="299"/>
      <c r="DHE483" s="299"/>
      <c r="DHF483" s="299"/>
      <c r="DHG483" s="299"/>
      <c r="DHH483" s="299"/>
      <c r="DHI483" s="299"/>
      <c r="DHJ483" s="299"/>
      <c r="DHK483" s="299"/>
      <c r="DHL483" s="299"/>
      <c r="DHM483" s="299"/>
      <c r="DHN483" s="299"/>
      <c r="DHO483" s="299"/>
      <c r="DHP483" s="299"/>
      <c r="DHQ483" s="299"/>
      <c r="DHR483" s="299"/>
      <c r="DHS483" s="299"/>
      <c r="DHT483" s="299"/>
      <c r="DHU483" s="299"/>
      <c r="DHV483" s="299"/>
      <c r="DHW483" s="299"/>
      <c r="DHX483" s="299"/>
      <c r="DHY483" s="299"/>
      <c r="DHZ483" s="299"/>
      <c r="DIA483" s="299"/>
      <c r="DIB483" s="299"/>
      <c r="DIC483" s="299"/>
      <c r="DID483" s="299"/>
      <c r="DIE483" s="299"/>
      <c r="DIF483" s="299"/>
      <c r="DIG483" s="299"/>
      <c r="DIH483" s="299"/>
      <c r="DII483" s="299"/>
      <c r="DIJ483" s="299"/>
      <c r="DIK483" s="299"/>
      <c r="DIL483" s="299"/>
      <c r="DIM483" s="299"/>
      <c r="DIN483" s="299"/>
      <c r="DIO483" s="299"/>
      <c r="DIP483" s="299"/>
      <c r="DIQ483" s="299"/>
      <c r="DIR483" s="299"/>
      <c r="DIS483" s="299"/>
      <c r="DIT483" s="299"/>
      <c r="DIU483" s="299"/>
      <c r="DIV483" s="299"/>
      <c r="DIW483" s="299"/>
      <c r="DIX483" s="299"/>
      <c r="DIY483" s="299"/>
      <c r="DIZ483" s="299"/>
      <c r="DJA483" s="299"/>
      <c r="DJB483" s="299"/>
      <c r="DJC483" s="299"/>
      <c r="DJD483" s="299"/>
      <c r="DJE483" s="299"/>
      <c r="DJF483" s="299"/>
      <c r="DJG483" s="299"/>
      <c r="DJH483" s="299"/>
      <c r="DJI483" s="299"/>
      <c r="DJJ483" s="299"/>
      <c r="DJK483" s="299"/>
      <c r="DJL483" s="299"/>
      <c r="DJM483" s="299"/>
      <c r="DJN483" s="299"/>
      <c r="DJO483" s="299"/>
      <c r="DJP483" s="299"/>
      <c r="DJQ483" s="299"/>
      <c r="DJR483" s="299"/>
      <c r="DJS483" s="299"/>
      <c r="DJT483" s="299"/>
      <c r="DJU483" s="299"/>
      <c r="DJV483" s="299"/>
      <c r="DJW483" s="299"/>
      <c r="DJX483" s="299"/>
      <c r="DJY483" s="299"/>
      <c r="DJZ483" s="299"/>
      <c r="DKA483" s="299"/>
      <c r="DKB483" s="299"/>
      <c r="DKC483" s="299"/>
      <c r="DKD483" s="299"/>
      <c r="DKE483" s="299"/>
      <c r="DKF483" s="299"/>
      <c r="DKG483" s="299"/>
      <c r="DKH483" s="299"/>
      <c r="DKI483" s="299"/>
      <c r="DKJ483" s="299"/>
      <c r="DKK483" s="299"/>
      <c r="DKL483" s="299"/>
      <c r="DKM483" s="299"/>
      <c r="DKN483" s="299"/>
      <c r="DKO483" s="299"/>
      <c r="DKP483" s="299"/>
      <c r="DKQ483" s="299"/>
      <c r="DKR483" s="299"/>
      <c r="DKS483" s="299"/>
      <c r="DKT483" s="299"/>
      <c r="DKU483" s="299"/>
      <c r="DKV483" s="299"/>
      <c r="DKW483" s="299"/>
      <c r="DKX483" s="299"/>
      <c r="DKY483" s="299"/>
      <c r="DKZ483" s="299"/>
      <c r="DLA483" s="299"/>
      <c r="DLB483" s="299"/>
      <c r="DLC483" s="299"/>
      <c r="DLD483" s="299"/>
      <c r="DLE483" s="299"/>
      <c r="DLF483" s="299"/>
      <c r="DLG483" s="299"/>
      <c r="DLH483" s="299"/>
      <c r="DLI483" s="299"/>
      <c r="DLJ483" s="299"/>
      <c r="DLK483" s="299"/>
      <c r="DLL483" s="299"/>
      <c r="DLM483" s="299"/>
      <c r="DLN483" s="299"/>
      <c r="DLO483" s="299"/>
      <c r="DLP483" s="299"/>
      <c r="DLQ483" s="299"/>
      <c r="DLR483" s="299"/>
      <c r="DLS483" s="299"/>
      <c r="DLT483" s="299"/>
      <c r="DLU483" s="299"/>
      <c r="DLV483" s="299"/>
      <c r="DLW483" s="299"/>
      <c r="DLX483" s="299"/>
      <c r="DLY483" s="299"/>
      <c r="DLZ483" s="299"/>
      <c r="DMA483" s="299"/>
      <c r="DMB483" s="299"/>
      <c r="DMC483" s="299"/>
      <c r="DMD483" s="299"/>
      <c r="DME483" s="299"/>
      <c r="DMF483" s="299"/>
      <c r="DMG483" s="299"/>
      <c r="DMH483" s="299"/>
      <c r="DMI483" s="299"/>
      <c r="DMJ483" s="299"/>
      <c r="DMK483" s="299"/>
      <c r="DML483" s="299"/>
      <c r="DMM483" s="299"/>
      <c r="DMN483" s="299"/>
      <c r="DMO483" s="299"/>
      <c r="DMP483" s="299"/>
      <c r="DMQ483" s="299"/>
      <c r="DMR483" s="299"/>
      <c r="DMS483" s="299"/>
      <c r="DMT483" s="299"/>
      <c r="DMU483" s="299"/>
      <c r="DMV483" s="299"/>
      <c r="DMW483" s="299"/>
      <c r="DMX483" s="299"/>
      <c r="DMY483" s="299"/>
      <c r="DMZ483" s="299"/>
      <c r="DNA483" s="299"/>
      <c r="DNB483" s="299"/>
      <c r="DNC483" s="299"/>
      <c r="DND483" s="299"/>
      <c r="DNE483" s="299"/>
      <c r="DNF483" s="299"/>
      <c r="DNG483" s="299"/>
      <c r="DNH483" s="299"/>
      <c r="DNI483" s="299"/>
      <c r="DNJ483" s="299"/>
      <c r="DNK483" s="299"/>
      <c r="DNL483" s="299"/>
      <c r="DNM483" s="299"/>
      <c r="DNN483" s="299"/>
      <c r="DNO483" s="299"/>
      <c r="DNP483" s="299"/>
      <c r="DNQ483" s="299"/>
      <c r="DNR483" s="299"/>
      <c r="DNS483" s="299"/>
      <c r="DNT483" s="299"/>
      <c r="DNU483" s="299"/>
      <c r="DNV483" s="299"/>
      <c r="DNW483" s="299"/>
      <c r="DNX483" s="299"/>
      <c r="DNY483" s="299"/>
      <c r="DNZ483" s="299"/>
      <c r="DOA483" s="299"/>
      <c r="DOB483" s="299"/>
      <c r="DOC483" s="299"/>
      <c r="DOD483" s="299"/>
      <c r="DOE483" s="299"/>
      <c r="DOF483" s="299"/>
      <c r="DOG483" s="299"/>
      <c r="DOH483" s="299"/>
      <c r="DOI483" s="299"/>
      <c r="DOJ483" s="299"/>
      <c r="DOK483" s="299"/>
      <c r="DOL483" s="299"/>
      <c r="DOM483" s="299"/>
      <c r="DON483" s="299"/>
      <c r="DOO483" s="299"/>
      <c r="DOP483" s="299"/>
      <c r="DOQ483" s="299"/>
      <c r="DOR483" s="299"/>
      <c r="DOS483" s="299"/>
      <c r="DOT483" s="299"/>
      <c r="DOU483" s="299"/>
      <c r="DOV483" s="299"/>
      <c r="DOW483" s="299"/>
      <c r="DOX483" s="299"/>
      <c r="DOY483" s="299"/>
      <c r="DOZ483" s="299"/>
      <c r="DPA483" s="299"/>
      <c r="DPB483" s="299"/>
      <c r="DPC483" s="299"/>
      <c r="DPD483" s="299"/>
      <c r="DPE483" s="299"/>
      <c r="DPF483" s="299"/>
      <c r="DPG483" s="299"/>
      <c r="DPH483" s="299"/>
      <c r="DPI483" s="299"/>
      <c r="DPJ483" s="299"/>
      <c r="DPK483" s="299"/>
      <c r="DPL483" s="299"/>
      <c r="DPM483" s="299"/>
      <c r="DPN483" s="299"/>
      <c r="DPO483" s="299"/>
      <c r="DPP483" s="299"/>
      <c r="DPQ483" s="299"/>
      <c r="DPR483" s="299"/>
      <c r="DPS483" s="299"/>
      <c r="DPT483" s="299"/>
      <c r="DPU483" s="299"/>
      <c r="DPV483" s="299"/>
      <c r="DPW483" s="299"/>
      <c r="DPX483" s="299"/>
      <c r="DPY483" s="299"/>
      <c r="DPZ483" s="299"/>
      <c r="DQA483" s="299"/>
      <c r="DQB483" s="299"/>
      <c r="DQC483" s="299"/>
      <c r="DQD483" s="299"/>
      <c r="DQE483" s="299"/>
      <c r="DQF483" s="299"/>
      <c r="DQG483" s="299"/>
      <c r="DQH483" s="299"/>
      <c r="DQI483" s="299"/>
      <c r="DQJ483" s="299"/>
      <c r="DQK483" s="299"/>
      <c r="DQL483" s="299"/>
      <c r="DQM483" s="299"/>
      <c r="DQN483" s="299"/>
      <c r="DQO483" s="299"/>
      <c r="DQP483" s="299"/>
      <c r="DQQ483" s="299"/>
      <c r="DQR483" s="299"/>
      <c r="DQS483" s="299"/>
      <c r="DQT483" s="299"/>
      <c r="DQU483" s="299"/>
      <c r="DQV483" s="299"/>
      <c r="DQW483" s="299"/>
      <c r="DQX483" s="299"/>
      <c r="DQY483" s="299"/>
      <c r="DQZ483" s="299"/>
      <c r="DRA483" s="299"/>
      <c r="DRB483" s="299"/>
      <c r="DRC483" s="299"/>
      <c r="DRD483" s="299"/>
      <c r="DRE483" s="299"/>
      <c r="DRF483" s="299"/>
      <c r="DRG483" s="299"/>
      <c r="DRH483" s="299"/>
      <c r="DRI483" s="299"/>
      <c r="DRJ483" s="299"/>
      <c r="DRK483" s="299"/>
      <c r="DRL483" s="299"/>
      <c r="DRM483" s="299"/>
      <c r="DRN483" s="299"/>
      <c r="DRO483" s="299"/>
      <c r="DRP483" s="299"/>
      <c r="DRQ483" s="299"/>
      <c r="DRR483" s="299"/>
      <c r="DRS483" s="299"/>
      <c r="DRT483" s="299"/>
      <c r="DRU483" s="299"/>
      <c r="DRV483" s="299"/>
      <c r="DRW483" s="299"/>
      <c r="DRX483" s="299"/>
      <c r="DRY483" s="299"/>
      <c r="DRZ483" s="299"/>
      <c r="DSA483" s="299"/>
      <c r="DSB483" s="299"/>
      <c r="DSC483" s="299"/>
      <c r="DSD483" s="299"/>
      <c r="DSE483" s="299"/>
      <c r="DSF483" s="299"/>
      <c r="DSG483" s="299"/>
      <c r="DSH483" s="299"/>
      <c r="DSI483" s="299"/>
      <c r="DSJ483" s="299"/>
      <c r="DSK483" s="299"/>
      <c r="DSL483" s="299"/>
      <c r="DSM483" s="299"/>
      <c r="DSN483" s="299"/>
      <c r="DSO483" s="299"/>
      <c r="DSP483" s="299"/>
      <c r="DSQ483" s="299"/>
      <c r="DSR483" s="299"/>
      <c r="DSS483" s="299"/>
      <c r="DST483" s="299"/>
      <c r="DSU483" s="299"/>
      <c r="DSV483" s="299"/>
      <c r="DSW483" s="299"/>
      <c r="DSX483" s="299"/>
      <c r="DSY483" s="299"/>
      <c r="DSZ483" s="299"/>
      <c r="DTA483" s="299"/>
      <c r="DTB483" s="299"/>
      <c r="DTC483" s="299"/>
      <c r="DTD483" s="299"/>
      <c r="DTE483" s="299"/>
      <c r="DTF483" s="299"/>
      <c r="DTG483" s="299"/>
      <c r="DTH483" s="299"/>
      <c r="DTI483" s="299"/>
      <c r="DTJ483" s="299"/>
      <c r="DTK483" s="299"/>
      <c r="DTL483" s="299"/>
      <c r="DTM483" s="299"/>
      <c r="DTN483" s="299"/>
      <c r="DTO483" s="299"/>
      <c r="DTP483" s="299"/>
      <c r="DTQ483" s="299"/>
      <c r="DTR483" s="299"/>
      <c r="DTS483" s="299"/>
      <c r="DTT483" s="299"/>
      <c r="DTU483" s="299"/>
      <c r="DTV483" s="299"/>
      <c r="DTW483" s="299"/>
      <c r="DTX483" s="299"/>
      <c r="DTY483" s="299"/>
      <c r="DTZ483" s="299"/>
      <c r="DUA483" s="299"/>
      <c r="DUB483" s="299"/>
      <c r="DUC483" s="299"/>
      <c r="DUD483" s="299"/>
      <c r="DUE483" s="299"/>
      <c r="DUF483" s="299"/>
      <c r="DUG483" s="299"/>
      <c r="DUH483" s="299"/>
      <c r="DUI483" s="299"/>
      <c r="DUJ483" s="299"/>
      <c r="DUK483" s="299"/>
      <c r="DUL483" s="299"/>
      <c r="DUM483" s="299"/>
      <c r="DUN483" s="299"/>
      <c r="DUO483" s="299"/>
      <c r="DUP483" s="299"/>
      <c r="DUQ483" s="299"/>
      <c r="DUR483" s="299"/>
      <c r="DUS483" s="299"/>
      <c r="DUT483" s="299"/>
      <c r="DUU483" s="299"/>
      <c r="DUV483" s="299"/>
      <c r="DUW483" s="299"/>
      <c r="DUX483" s="299"/>
      <c r="DUY483" s="299"/>
      <c r="DUZ483" s="299"/>
      <c r="DVA483" s="299"/>
      <c r="DVB483" s="299"/>
      <c r="DVC483" s="299"/>
      <c r="DVD483" s="299"/>
      <c r="DVE483" s="299"/>
      <c r="DVF483" s="299"/>
      <c r="DVG483" s="299"/>
      <c r="DVH483" s="299"/>
      <c r="DVI483" s="299"/>
      <c r="DVJ483" s="299"/>
      <c r="DVK483" s="299"/>
      <c r="DVL483" s="299"/>
      <c r="DVM483" s="299"/>
      <c r="DVN483" s="299"/>
      <c r="DVO483" s="299"/>
      <c r="DVP483" s="299"/>
      <c r="DVQ483" s="299"/>
      <c r="DVR483" s="299"/>
      <c r="DVS483" s="299"/>
      <c r="DVT483" s="299"/>
      <c r="DVU483" s="299"/>
      <c r="DVV483" s="299"/>
      <c r="DVW483" s="299"/>
      <c r="DVX483" s="299"/>
      <c r="DVY483" s="299"/>
      <c r="DVZ483" s="299"/>
      <c r="DWA483" s="299"/>
      <c r="DWB483" s="299"/>
      <c r="DWC483" s="299"/>
      <c r="DWD483" s="299"/>
      <c r="DWE483" s="299"/>
      <c r="DWF483" s="299"/>
      <c r="DWG483" s="299"/>
      <c r="DWH483" s="299"/>
      <c r="DWI483" s="299"/>
      <c r="DWJ483" s="299"/>
      <c r="DWK483" s="299"/>
      <c r="DWL483" s="299"/>
      <c r="DWM483" s="299"/>
      <c r="DWN483" s="299"/>
      <c r="DWO483" s="299"/>
      <c r="DWP483" s="299"/>
      <c r="DWQ483" s="299"/>
      <c r="DWR483" s="299"/>
      <c r="DWS483" s="299"/>
      <c r="DWT483" s="299"/>
      <c r="DWU483" s="299"/>
      <c r="DWV483" s="299"/>
      <c r="DWW483" s="299"/>
      <c r="DWX483" s="299"/>
      <c r="DWY483" s="299"/>
      <c r="DWZ483" s="299"/>
      <c r="DXA483" s="299"/>
      <c r="DXB483" s="299"/>
      <c r="DXC483" s="299"/>
      <c r="DXD483" s="299"/>
      <c r="DXE483" s="299"/>
      <c r="DXF483" s="299"/>
      <c r="DXG483" s="299"/>
      <c r="DXH483" s="299"/>
      <c r="DXI483" s="299"/>
      <c r="DXJ483" s="299"/>
      <c r="DXK483" s="299"/>
      <c r="DXL483" s="299"/>
      <c r="DXM483" s="299"/>
      <c r="DXN483" s="299"/>
      <c r="DXO483" s="299"/>
      <c r="DXP483" s="299"/>
      <c r="DXQ483" s="299"/>
      <c r="DXR483" s="299"/>
      <c r="DXS483" s="299"/>
      <c r="DXT483" s="299"/>
      <c r="DXU483" s="299"/>
      <c r="DXV483" s="299"/>
      <c r="DXW483" s="299"/>
      <c r="DXX483" s="299"/>
      <c r="DXY483" s="299"/>
      <c r="DXZ483" s="299"/>
      <c r="DYA483" s="299"/>
      <c r="DYB483" s="299"/>
      <c r="DYC483" s="299"/>
      <c r="DYD483" s="299"/>
      <c r="DYE483" s="299"/>
      <c r="DYF483" s="299"/>
      <c r="DYG483" s="299"/>
      <c r="DYH483" s="299"/>
      <c r="DYI483" s="299"/>
      <c r="DYJ483" s="299"/>
      <c r="DYK483" s="299"/>
      <c r="DYL483" s="299"/>
      <c r="DYM483" s="299"/>
      <c r="DYN483" s="299"/>
      <c r="DYO483" s="299"/>
      <c r="DYP483" s="299"/>
      <c r="DYQ483" s="299"/>
      <c r="DYR483" s="299"/>
      <c r="DYS483" s="299"/>
      <c r="DYT483" s="299"/>
      <c r="DYU483" s="299"/>
      <c r="DYV483" s="299"/>
      <c r="DYW483" s="299"/>
      <c r="DYX483" s="299"/>
      <c r="DYY483" s="299"/>
      <c r="DYZ483" s="299"/>
      <c r="DZA483" s="299"/>
      <c r="DZB483" s="299"/>
      <c r="DZC483" s="299"/>
      <c r="DZD483" s="299"/>
      <c r="DZE483" s="299"/>
      <c r="DZF483" s="299"/>
      <c r="DZG483" s="299"/>
      <c r="DZH483" s="299"/>
      <c r="DZI483" s="299"/>
      <c r="DZJ483" s="299"/>
      <c r="DZK483" s="299"/>
      <c r="DZL483" s="299"/>
      <c r="DZM483" s="299"/>
      <c r="DZN483" s="299"/>
      <c r="DZO483" s="299"/>
      <c r="DZP483" s="299"/>
      <c r="DZQ483" s="299"/>
      <c r="DZR483" s="299"/>
      <c r="DZS483" s="299"/>
      <c r="DZT483" s="299"/>
      <c r="DZU483" s="299"/>
      <c r="DZV483" s="299"/>
      <c r="DZW483" s="299"/>
      <c r="DZX483" s="299"/>
      <c r="DZY483" s="299"/>
      <c r="DZZ483" s="299"/>
      <c r="EAA483" s="299"/>
      <c r="EAB483" s="299"/>
      <c r="EAC483" s="299"/>
      <c r="EAD483" s="299"/>
      <c r="EAE483" s="299"/>
      <c r="EAF483" s="299"/>
      <c r="EAG483" s="299"/>
      <c r="EAH483" s="299"/>
      <c r="EAI483" s="299"/>
      <c r="EAJ483" s="299"/>
      <c r="EAK483" s="299"/>
      <c r="EAL483" s="299"/>
      <c r="EAM483" s="299"/>
      <c r="EAN483" s="299"/>
      <c r="EAO483" s="299"/>
      <c r="EAP483" s="299"/>
      <c r="EAQ483" s="299"/>
      <c r="EAR483" s="299"/>
      <c r="EAS483" s="299"/>
      <c r="EAT483" s="299"/>
      <c r="EAU483" s="299"/>
      <c r="EAV483" s="299"/>
      <c r="EAW483" s="299"/>
      <c r="EAX483" s="299"/>
      <c r="EAY483" s="299"/>
      <c r="EAZ483" s="299"/>
      <c r="EBA483" s="299"/>
      <c r="EBB483" s="299"/>
      <c r="EBC483" s="299"/>
      <c r="EBD483" s="299"/>
      <c r="EBE483" s="299"/>
      <c r="EBF483" s="299"/>
      <c r="EBG483" s="299"/>
      <c r="EBH483" s="299"/>
      <c r="EBI483" s="299"/>
      <c r="EBJ483" s="299"/>
      <c r="EBK483" s="299"/>
      <c r="EBL483" s="299"/>
      <c r="EBM483" s="299"/>
      <c r="EBN483" s="299"/>
      <c r="EBO483" s="299"/>
      <c r="EBP483" s="299"/>
      <c r="EBQ483" s="299"/>
      <c r="EBR483" s="299"/>
      <c r="EBS483" s="299"/>
      <c r="EBT483" s="299"/>
      <c r="EBU483" s="299"/>
      <c r="EBV483" s="299"/>
      <c r="EBW483" s="299"/>
      <c r="EBX483" s="299"/>
      <c r="EBY483" s="299"/>
      <c r="EBZ483" s="299"/>
      <c r="ECA483" s="299"/>
      <c r="ECB483" s="299"/>
      <c r="ECC483" s="299"/>
      <c r="ECD483" s="299"/>
      <c r="ECE483" s="299"/>
      <c r="ECF483" s="299"/>
      <c r="ECG483" s="299"/>
      <c r="ECH483" s="299"/>
      <c r="ECI483" s="299"/>
      <c r="ECJ483" s="299"/>
      <c r="ECK483" s="299"/>
      <c r="ECL483" s="299"/>
      <c r="ECM483" s="299"/>
      <c r="ECN483" s="299"/>
      <c r="ECO483" s="299"/>
      <c r="ECP483" s="299"/>
      <c r="ECQ483" s="299"/>
      <c r="ECR483" s="299"/>
      <c r="ECS483" s="299"/>
      <c r="ECT483" s="299"/>
      <c r="ECU483" s="299"/>
      <c r="ECV483" s="299"/>
      <c r="ECW483" s="299"/>
      <c r="ECX483" s="299"/>
      <c r="ECY483" s="299"/>
      <c r="ECZ483" s="299"/>
      <c r="EDA483" s="299"/>
      <c r="EDB483" s="299"/>
      <c r="EDC483" s="299"/>
      <c r="EDD483" s="299"/>
      <c r="EDE483" s="299"/>
      <c r="EDF483" s="299"/>
      <c r="EDG483" s="299"/>
      <c r="EDH483" s="299"/>
      <c r="EDI483" s="299"/>
      <c r="EDJ483" s="299"/>
      <c r="EDK483" s="299"/>
      <c r="EDL483" s="299"/>
      <c r="EDM483" s="299"/>
      <c r="EDN483" s="299"/>
      <c r="EDO483" s="299"/>
      <c r="EDP483" s="299"/>
      <c r="EDQ483" s="299"/>
      <c r="EDR483" s="299"/>
      <c r="EDS483" s="299"/>
      <c r="EDT483" s="299"/>
      <c r="EDU483" s="299"/>
      <c r="EDV483" s="299"/>
      <c r="EDW483" s="299"/>
      <c r="EDX483" s="299"/>
      <c r="EDY483" s="299"/>
      <c r="EDZ483" s="299"/>
      <c r="EEA483" s="299"/>
      <c r="EEB483" s="299"/>
      <c r="EEC483" s="299"/>
      <c r="EED483" s="299"/>
      <c r="EEE483" s="299"/>
      <c r="EEF483" s="299"/>
      <c r="EEG483" s="299"/>
      <c r="EEH483" s="299"/>
      <c r="EEI483" s="299"/>
      <c r="EEJ483" s="299"/>
      <c r="EEK483" s="299"/>
      <c r="EEL483" s="299"/>
      <c r="EEM483" s="299"/>
      <c r="EEN483" s="299"/>
      <c r="EEO483" s="299"/>
      <c r="EEP483" s="299"/>
      <c r="EEQ483" s="299"/>
      <c r="EER483" s="299"/>
      <c r="EES483" s="299"/>
      <c r="EET483" s="299"/>
      <c r="EEU483" s="299"/>
      <c r="EEV483" s="299"/>
      <c r="EEW483" s="299"/>
      <c r="EEX483" s="299"/>
      <c r="EEY483" s="299"/>
      <c r="EEZ483" s="299"/>
      <c r="EFA483" s="299"/>
      <c r="EFB483" s="299"/>
      <c r="EFC483" s="299"/>
      <c r="EFD483" s="299"/>
      <c r="EFE483" s="299"/>
      <c r="EFF483" s="299"/>
      <c r="EFG483" s="299"/>
      <c r="EFH483" s="299"/>
      <c r="EFI483" s="299"/>
      <c r="EFJ483" s="299"/>
      <c r="EFK483" s="299"/>
      <c r="EFL483" s="299"/>
      <c r="EFM483" s="299"/>
      <c r="EFN483" s="299"/>
      <c r="EFO483" s="299"/>
      <c r="EFP483" s="299"/>
      <c r="EFQ483" s="299"/>
      <c r="EFR483" s="299"/>
      <c r="EFS483" s="299"/>
      <c r="EFT483" s="299"/>
      <c r="EFU483" s="299"/>
      <c r="EFV483" s="299"/>
      <c r="EFW483" s="299"/>
      <c r="EFX483" s="299"/>
      <c r="EFY483" s="299"/>
      <c r="EFZ483" s="299"/>
      <c r="EGA483" s="299"/>
      <c r="EGB483" s="299"/>
      <c r="EGC483" s="299"/>
      <c r="EGD483" s="299"/>
      <c r="EGE483" s="299"/>
      <c r="EGF483" s="299"/>
      <c r="EGG483" s="299"/>
      <c r="EGH483" s="299"/>
      <c r="EGI483" s="299"/>
      <c r="EGJ483" s="299"/>
      <c r="EGK483" s="299"/>
      <c r="EGL483" s="299"/>
      <c r="EGM483" s="299"/>
      <c r="EGN483" s="299"/>
      <c r="EGO483" s="299"/>
      <c r="EGP483" s="299"/>
      <c r="EGQ483" s="299"/>
      <c r="EGR483" s="299"/>
      <c r="EGS483" s="299"/>
      <c r="EGT483" s="299"/>
      <c r="EGU483" s="299"/>
      <c r="EGV483" s="299"/>
      <c r="EGW483" s="299"/>
      <c r="EGX483" s="299"/>
      <c r="EGY483" s="299"/>
      <c r="EGZ483" s="299"/>
      <c r="EHA483" s="299"/>
      <c r="EHB483" s="299"/>
      <c r="EHC483" s="299"/>
      <c r="EHD483" s="299"/>
      <c r="EHE483" s="299"/>
      <c r="EHF483" s="299"/>
      <c r="EHG483" s="299"/>
      <c r="EHH483" s="299"/>
      <c r="EHI483" s="299"/>
      <c r="EHJ483" s="299"/>
      <c r="EHK483" s="299"/>
      <c r="EHL483" s="299"/>
      <c r="EHM483" s="299"/>
      <c r="EHN483" s="299"/>
      <c r="EHO483" s="299"/>
      <c r="EHP483" s="299"/>
      <c r="EHQ483" s="299"/>
      <c r="EHR483" s="299"/>
      <c r="EHS483" s="299"/>
      <c r="EHT483" s="299"/>
      <c r="EHU483" s="299"/>
      <c r="EHV483" s="299"/>
      <c r="EHW483" s="299"/>
      <c r="EHX483" s="299"/>
      <c r="EHY483" s="299"/>
      <c r="EHZ483" s="299"/>
      <c r="EIA483" s="299"/>
      <c r="EIB483" s="299"/>
      <c r="EIC483" s="299"/>
      <c r="EID483" s="299"/>
      <c r="EIE483" s="299"/>
      <c r="EIF483" s="299"/>
      <c r="EIG483" s="299"/>
      <c r="EIH483" s="299"/>
      <c r="EII483" s="299"/>
      <c r="EIJ483" s="299"/>
      <c r="EIK483" s="299"/>
      <c r="EIL483" s="299"/>
      <c r="EIM483" s="299"/>
      <c r="EIN483" s="299"/>
      <c r="EIO483" s="299"/>
      <c r="EIP483" s="299"/>
      <c r="EIQ483" s="299"/>
      <c r="EIR483" s="299"/>
      <c r="EIS483" s="299"/>
      <c r="EIT483" s="299"/>
      <c r="EIU483" s="299"/>
      <c r="EIV483" s="299"/>
      <c r="EIW483" s="299"/>
      <c r="EIX483" s="299"/>
      <c r="EIY483" s="299"/>
      <c r="EIZ483" s="299"/>
      <c r="EJA483" s="299"/>
      <c r="EJB483" s="299"/>
      <c r="EJC483" s="299"/>
      <c r="EJD483" s="299"/>
      <c r="EJE483" s="299"/>
      <c r="EJF483" s="299"/>
      <c r="EJG483" s="299"/>
      <c r="EJH483" s="299"/>
      <c r="EJI483" s="299"/>
      <c r="EJJ483" s="299"/>
      <c r="EJK483" s="299"/>
      <c r="EJL483" s="299"/>
      <c r="EJM483" s="299"/>
      <c r="EJN483" s="299"/>
      <c r="EJO483" s="299"/>
      <c r="EJP483" s="299"/>
      <c r="EJQ483" s="299"/>
      <c r="EJR483" s="299"/>
      <c r="EJS483" s="299"/>
      <c r="EJT483" s="299"/>
      <c r="EJU483" s="299"/>
      <c r="EJV483" s="299"/>
      <c r="EJW483" s="299"/>
      <c r="EJX483" s="299"/>
      <c r="EJY483" s="299"/>
      <c r="EJZ483" s="299"/>
      <c r="EKA483" s="299"/>
      <c r="EKB483" s="299"/>
      <c r="EKC483" s="299"/>
      <c r="EKD483" s="299"/>
      <c r="EKE483" s="299"/>
      <c r="EKF483" s="299"/>
      <c r="EKG483" s="299"/>
      <c r="EKH483" s="299"/>
      <c r="EKI483" s="299"/>
      <c r="EKJ483" s="299"/>
      <c r="EKK483" s="299"/>
      <c r="EKL483" s="299"/>
      <c r="EKM483" s="299"/>
      <c r="EKN483" s="299"/>
      <c r="EKO483" s="299"/>
      <c r="EKP483" s="299"/>
      <c r="EKQ483" s="299"/>
      <c r="EKR483" s="299"/>
      <c r="EKS483" s="299"/>
      <c r="EKT483" s="299"/>
      <c r="EKU483" s="299"/>
      <c r="EKV483" s="299"/>
      <c r="EKW483" s="299"/>
      <c r="EKX483" s="299"/>
      <c r="EKY483" s="299"/>
      <c r="EKZ483" s="299"/>
      <c r="ELA483" s="299"/>
      <c r="ELB483" s="299"/>
      <c r="ELC483" s="299"/>
      <c r="ELD483" s="299"/>
      <c r="ELE483" s="299"/>
      <c r="ELF483" s="299"/>
      <c r="ELG483" s="299"/>
      <c r="ELH483" s="299"/>
      <c r="ELI483" s="299"/>
      <c r="ELJ483" s="299"/>
      <c r="ELK483" s="299"/>
      <c r="ELL483" s="299"/>
      <c r="ELM483" s="299"/>
      <c r="ELN483" s="299"/>
      <c r="ELO483" s="299"/>
      <c r="ELP483" s="299"/>
      <c r="ELQ483" s="299"/>
      <c r="ELR483" s="299"/>
      <c r="ELS483" s="299"/>
      <c r="ELT483" s="299"/>
      <c r="ELU483" s="299"/>
      <c r="ELV483" s="299"/>
      <c r="ELW483" s="299"/>
      <c r="ELX483" s="299"/>
      <c r="ELY483" s="299"/>
      <c r="ELZ483" s="299"/>
      <c r="EMA483" s="299"/>
      <c r="EMB483" s="299"/>
      <c r="EMC483" s="299"/>
      <c r="EMD483" s="299"/>
      <c r="EME483" s="299"/>
      <c r="EMF483" s="299"/>
      <c r="EMG483" s="299"/>
      <c r="EMH483" s="299"/>
      <c r="EMI483" s="299"/>
      <c r="EMJ483" s="299"/>
      <c r="EMK483" s="299"/>
      <c r="EML483" s="299"/>
      <c r="EMM483" s="299"/>
      <c r="EMN483" s="299"/>
      <c r="EMO483" s="299"/>
      <c r="EMP483" s="299"/>
      <c r="EMQ483" s="299"/>
      <c r="EMR483" s="299"/>
      <c r="EMS483" s="299"/>
      <c r="EMT483" s="299"/>
      <c r="EMU483" s="299"/>
      <c r="EMV483" s="299"/>
      <c r="EMW483" s="299"/>
      <c r="EMX483" s="299"/>
      <c r="EMY483" s="299"/>
      <c r="EMZ483" s="299"/>
      <c r="ENA483" s="299"/>
      <c r="ENB483" s="299"/>
      <c r="ENC483" s="299"/>
      <c r="END483" s="299"/>
      <c r="ENE483" s="299"/>
      <c r="ENF483" s="299"/>
      <c r="ENG483" s="299"/>
      <c r="ENH483" s="299"/>
      <c r="ENI483" s="299"/>
      <c r="ENJ483" s="299"/>
      <c r="ENK483" s="299"/>
      <c r="ENL483" s="299"/>
      <c r="ENM483" s="299"/>
      <c r="ENN483" s="299"/>
      <c r="ENO483" s="299"/>
      <c r="ENP483" s="299"/>
      <c r="ENQ483" s="299"/>
      <c r="ENR483" s="299"/>
      <c r="ENS483" s="299"/>
      <c r="ENT483" s="299"/>
      <c r="ENU483" s="299"/>
      <c r="ENV483" s="299"/>
      <c r="ENW483" s="299"/>
      <c r="ENX483" s="299"/>
      <c r="ENY483" s="299"/>
      <c r="ENZ483" s="299"/>
      <c r="EOA483" s="299"/>
      <c r="EOB483" s="299"/>
      <c r="EOC483" s="299"/>
      <c r="EOD483" s="299"/>
      <c r="EOE483" s="299"/>
      <c r="EOF483" s="299"/>
      <c r="EOG483" s="299"/>
      <c r="EOH483" s="299"/>
      <c r="EOI483" s="299"/>
      <c r="EOJ483" s="299"/>
      <c r="EOK483" s="299"/>
      <c r="EOL483" s="299"/>
      <c r="EOM483" s="299"/>
      <c r="EON483" s="299"/>
      <c r="EOO483" s="299"/>
      <c r="EOP483" s="299"/>
      <c r="EOQ483" s="299"/>
      <c r="EOR483" s="299"/>
      <c r="EOS483" s="299"/>
      <c r="EOT483" s="299"/>
      <c r="EOU483" s="299"/>
      <c r="EOV483" s="299"/>
      <c r="EOW483" s="299"/>
      <c r="EOX483" s="299"/>
      <c r="EOY483" s="299"/>
      <c r="EOZ483" s="299"/>
      <c r="EPA483" s="299"/>
      <c r="EPB483" s="299"/>
      <c r="EPC483" s="299"/>
      <c r="EPD483" s="299"/>
      <c r="EPE483" s="299"/>
      <c r="EPF483" s="299"/>
      <c r="EPG483" s="299"/>
      <c r="EPH483" s="299"/>
      <c r="EPI483" s="299"/>
      <c r="EPJ483" s="299"/>
      <c r="EPK483" s="299"/>
      <c r="EPL483" s="299"/>
      <c r="EPM483" s="299"/>
      <c r="EPN483" s="299"/>
      <c r="EPO483" s="299"/>
      <c r="EPP483" s="299"/>
      <c r="EPQ483" s="299"/>
      <c r="EPR483" s="299"/>
      <c r="EPS483" s="299"/>
      <c r="EPT483" s="299"/>
      <c r="EPU483" s="299"/>
      <c r="EPV483" s="299"/>
      <c r="EPW483" s="299"/>
      <c r="EPX483" s="299"/>
      <c r="EPY483" s="299"/>
      <c r="EPZ483" s="299"/>
      <c r="EQA483" s="299"/>
      <c r="EQB483" s="299"/>
      <c r="EQC483" s="299"/>
      <c r="EQD483" s="299"/>
      <c r="EQE483" s="299"/>
      <c r="EQF483" s="299"/>
      <c r="EQG483" s="299"/>
      <c r="EQH483" s="299"/>
      <c r="EQI483" s="299"/>
      <c r="EQJ483" s="299"/>
      <c r="EQK483" s="299"/>
      <c r="EQL483" s="299"/>
      <c r="EQM483" s="299"/>
      <c r="EQN483" s="299"/>
      <c r="EQO483" s="299"/>
      <c r="EQP483" s="299"/>
      <c r="EQQ483" s="299"/>
      <c r="EQR483" s="299"/>
      <c r="EQS483" s="299"/>
      <c r="EQT483" s="299"/>
      <c r="EQU483" s="299"/>
      <c r="EQV483" s="299"/>
      <c r="EQW483" s="299"/>
      <c r="EQX483" s="299"/>
      <c r="EQY483" s="299"/>
      <c r="EQZ483" s="299"/>
      <c r="ERA483" s="299"/>
      <c r="ERB483" s="299"/>
      <c r="ERC483" s="299"/>
      <c r="ERD483" s="299"/>
      <c r="ERE483" s="299"/>
      <c r="ERF483" s="299"/>
      <c r="ERG483" s="299"/>
      <c r="ERH483" s="299"/>
      <c r="ERI483" s="299"/>
      <c r="ERJ483" s="299"/>
      <c r="ERK483" s="299"/>
      <c r="ERL483" s="299"/>
      <c r="ERM483" s="299"/>
      <c r="ERN483" s="299"/>
      <c r="ERO483" s="299"/>
      <c r="ERP483" s="299"/>
      <c r="ERQ483" s="299"/>
      <c r="ERR483" s="299"/>
      <c r="ERS483" s="299"/>
      <c r="ERT483" s="299"/>
      <c r="ERU483" s="299"/>
      <c r="ERV483" s="299"/>
      <c r="ERW483" s="299"/>
      <c r="ERX483" s="299"/>
      <c r="ERY483" s="299"/>
      <c r="ERZ483" s="299"/>
      <c r="ESA483" s="299"/>
      <c r="ESB483" s="299"/>
      <c r="ESC483" s="299"/>
      <c r="ESD483" s="299"/>
      <c r="ESE483" s="299"/>
      <c r="ESF483" s="299"/>
      <c r="ESG483" s="299"/>
      <c r="ESH483" s="299"/>
      <c r="ESI483" s="299"/>
      <c r="ESJ483" s="299"/>
      <c r="ESK483" s="299"/>
      <c r="ESL483" s="299"/>
      <c r="ESM483" s="299"/>
      <c r="ESN483" s="299"/>
      <c r="ESO483" s="299"/>
      <c r="ESP483" s="299"/>
      <c r="ESQ483" s="299"/>
      <c r="ESR483" s="299"/>
      <c r="ESS483" s="299"/>
      <c r="EST483" s="299"/>
      <c r="ESU483" s="299"/>
      <c r="ESV483" s="299"/>
      <c r="ESW483" s="299"/>
      <c r="ESX483" s="299"/>
      <c r="ESY483" s="299"/>
      <c r="ESZ483" s="299"/>
      <c r="ETA483" s="299"/>
      <c r="ETB483" s="299"/>
      <c r="ETC483" s="299"/>
      <c r="ETD483" s="299"/>
      <c r="ETE483" s="299"/>
      <c r="ETF483" s="299"/>
      <c r="ETG483" s="299"/>
      <c r="ETH483" s="299"/>
      <c r="ETI483" s="299"/>
      <c r="ETJ483" s="299"/>
      <c r="ETK483" s="299"/>
      <c r="ETL483" s="299"/>
      <c r="ETM483" s="299"/>
      <c r="ETN483" s="299"/>
      <c r="ETO483" s="299"/>
      <c r="ETP483" s="299"/>
      <c r="ETQ483" s="299"/>
      <c r="ETR483" s="299"/>
      <c r="ETS483" s="299"/>
      <c r="ETT483" s="299"/>
      <c r="ETU483" s="299"/>
      <c r="ETV483" s="299"/>
      <c r="ETW483" s="299"/>
      <c r="ETX483" s="299"/>
      <c r="ETY483" s="299"/>
      <c r="ETZ483" s="299"/>
      <c r="EUA483" s="299"/>
      <c r="EUB483" s="299"/>
      <c r="EUC483" s="299"/>
      <c r="EUD483" s="299"/>
      <c r="EUE483" s="299"/>
      <c r="EUF483" s="299"/>
      <c r="EUG483" s="299"/>
      <c r="EUH483" s="299"/>
      <c r="EUI483" s="299"/>
      <c r="EUJ483" s="299"/>
      <c r="EUK483" s="299"/>
      <c r="EUL483" s="299"/>
      <c r="EUM483" s="299"/>
      <c r="EUN483" s="299"/>
      <c r="EUO483" s="299"/>
      <c r="EUP483" s="299"/>
      <c r="EUQ483" s="299"/>
      <c r="EUR483" s="299"/>
      <c r="EUS483" s="299"/>
      <c r="EUT483" s="299"/>
      <c r="EUU483" s="299"/>
      <c r="EUV483" s="299"/>
      <c r="EUW483" s="299"/>
      <c r="EUX483" s="299"/>
      <c r="EUY483" s="299"/>
      <c r="EUZ483" s="299"/>
      <c r="EVA483" s="299"/>
      <c r="EVB483" s="299"/>
      <c r="EVC483" s="299"/>
      <c r="EVD483" s="299"/>
      <c r="EVE483" s="299"/>
      <c r="EVF483" s="299"/>
      <c r="EVG483" s="299"/>
      <c r="EVH483" s="299"/>
      <c r="EVI483" s="299"/>
      <c r="EVJ483" s="299"/>
      <c r="EVK483" s="299"/>
      <c r="EVL483" s="299"/>
      <c r="EVM483" s="299"/>
      <c r="EVN483" s="299"/>
      <c r="EVO483" s="299"/>
      <c r="EVP483" s="299"/>
      <c r="EVQ483" s="299"/>
      <c r="EVR483" s="299"/>
      <c r="EVS483" s="299"/>
      <c r="EVT483" s="299"/>
      <c r="EVU483" s="299"/>
      <c r="EVV483" s="299"/>
      <c r="EVW483" s="299"/>
      <c r="EVX483" s="299"/>
      <c r="EVY483" s="299"/>
      <c r="EVZ483" s="299"/>
      <c r="EWA483" s="299"/>
      <c r="EWB483" s="299"/>
      <c r="EWC483" s="299"/>
      <c r="EWD483" s="299"/>
      <c r="EWE483" s="299"/>
      <c r="EWF483" s="299"/>
      <c r="EWG483" s="299"/>
      <c r="EWH483" s="299"/>
      <c r="EWI483" s="299"/>
      <c r="EWJ483" s="299"/>
      <c r="EWK483" s="299"/>
      <c r="EWL483" s="299"/>
      <c r="EWM483" s="299"/>
      <c r="EWN483" s="299"/>
      <c r="EWO483" s="299"/>
      <c r="EWP483" s="299"/>
      <c r="EWQ483" s="299"/>
      <c r="EWR483" s="299"/>
      <c r="EWS483" s="299"/>
      <c r="EWT483" s="299"/>
      <c r="EWU483" s="299"/>
      <c r="EWV483" s="299"/>
      <c r="EWW483" s="299"/>
      <c r="EWX483" s="299"/>
      <c r="EWY483" s="299"/>
      <c r="EWZ483" s="299"/>
      <c r="EXA483" s="299"/>
      <c r="EXB483" s="299"/>
      <c r="EXC483" s="299"/>
      <c r="EXD483" s="299"/>
      <c r="EXE483" s="299"/>
      <c r="EXF483" s="299"/>
      <c r="EXG483" s="299"/>
      <c r="EXH483" s="299"/>
      <c r="EXI483" s="299"/>
      <c r="EXJ483" s="299"/>
      <c r="EXK483" s="299"/>
      <c r="EXL483" s="299"/>
      <c r="EXM483" s="299"/>
      <c r="EXN483" s="299"/>
      <c r="EXO483" s="299"/>
      <c r="EXP483" s="299"/>
      <c r="EXQ483" s="299"/>
      <c r="EXR483" s="299"/>
      <c r="EXS483" s="299"/>
      <c r="EXT483" s="299"/>
      <c r="EXU483" s="299"/>
      <c r="EXV483" s="299"/>
      <c r="EXW483" s="299"/>
      <c r="EXX483" s="299"/>
      <c r="EXY483" s="299"/>
      <c r="EXZ483" s="299"/>
      <c r="EYA483" s="299"/>
      <c r="EYB483" s="299"/>
      <c r="EYC483" s="299"/>
      <c r="EYD483" s="299"/>
      <c r="EYE483" s="299"/>
      <c r="EYF483" s="299"/>
      <c r="EYG483" s="299"/>
      <c r="EYH483" s="299"/>
      <c r="EYI483" s="299"/>
      <c r="EYJ483" s="299"/>
      <c r="EYK483" s="299"/>
      <c r="EYL483" s="299"/>
      <c r="EYM483" s="299"/>
      <c r="EYN483" s="299"/>
      <c r="EYO483" s="299"/>
      <c r="EYP483" s="299"/>
      <c r="EYQ483" s="299"/>
      <c r="EYR483" s="299"/>
      <c r="EYS483" s="299"/>
      <c r="EYT483" s="299"/>
      <c r="EYU483" s="299"/>
      <c r="EYV483" s="299"/>
      <c r="EYW483" s="299"/>
      <c r="EYX483" s="299"/>
      <c r="EYY483" s="299"/>
      <c r="EYZ483" s="299"/>
      <c r="EZA483" s="299"/>
      <c r="EZB483" s="299"/>
      <c r="EZC483" s="299"/>
      <c r="EZD483" s="299"/>
      <c r="EZE483" s="299"/>
      <c r="EZF483" s="299"/>
      <c r="EZG483" s="299"/>
      <c r="EZH483" s="299"/>
      <c r="EZI483" s="299"/>
      <c r="EZJ483" s="299"/>
      <c r="EZK483" s="299"/>
      <c r="EZL483" s="299"/>
      <c r="EZM483" s="299"/>
      <c r="EZN483" s="299"/>
      <c r="EZO483" s="299"/>
      <c r="EZP483" s="299"/>
      <c r="EZQ483" s="299"/>
      <c r="EZR483" s="299"/>
      <c r="EZS483" s="299"/>
      <c r="EZT483" s="299"/>
      <c r="EZU483" s="299"/>
      <c r="EZV483" s="299"/>
      <c r="EZW483" s="299"/>
      <c r="EZX483" s="299"/>
      <c r="EZY483" s="299"/>
      <c r="EZZ483" s="299"/>
      <c r="FAA483" s="299"/>
      <c r="FAB483" s="299"/>
      <c r="FAC483" s="299"/>
      <c r="FAD483" s="299"/>
      <c r="FAE483" s="299"/>
      <c r="FAF483" s="299"/>
      <c r="FAG483" s="299"/>
      <c r="FAH483" s="299"/>
      <c r="FAI483" s="299"/>
      <c r="FAJ483" s="299"/>
      <c r="FAK483" s="299"/>
      <c r="FAL483" s="299"/>
      <c r="FAM483" s="299"/>
      <c r="FAN483" s="299"/>
      <c r="FAO483" s="299"/>
      <c r="FAP483" s="299"/>
      <c r="FAQ483" s="299"/>
      <c r="FAR483" s="299"/>
      <c r="FAS483" s="299"/>
      <c r="FAT483" s="299"/>
      <c r="FAU483" s="299"/>
      <c r="FAV483" s="299"/>
      <c r="FAW483" s="299"/>
      <c r="FAX483" s="299"/>
      <c r="FAY483" s="299"/>
      <c r="FAZ483" s="299"/>
      <c r="FBA483" s="299"/>
      <c r="FBB483" s="299"/>
      <c r="FBC483" s="299"/>
      <c r="FBD483" s="299"/>
      <c r="FBE483" s="299"/>
      <c r="FBF483" s="299"/>
      <c r="FBG483" s="299"/>
      <c r="FBH483" s="299"/>
      <c r="FBI483" s="299"/>
      <c r="FBJ483" s="299"/>
      <c r="FBK483" s="299"/>
      <c r="FBL483" s="299"/>
      <c r="FBM483" s="299"/>
      <c r="FBN483" s="299"/>
      <c r="FBO483" s="299"/>
      <c r="FBP483" s="299"/>
      <c r="FBQ483" s="299"/>
      <c r="FBR483" s="299"/>
      <c r="FBS483" s="299"/>
      <c r="FBT483" s="299"/>
      <c r="FBU483" s="299"/>
      <c r="FBV483" s="299"/>
      <c r="FBW483" s="299"/>
      <c r="FBX483" s="299"/>
      <c r="FBY483" s="299"/>
      <c r="FBZ483" s="299"/>
      <c r="FCA483" s="299"/>
      <c r="FCB483" s="299"/>
      <c r="FCC483" s="299"/>
      <c r="FCD483" s="299"/>
      <c r="FCE483" s="299"/>
      <c r="FCF483" s="299"/>
      <c r="FCG483" s="299"/>
      <c r="FCH483" s="299"/>
      <c r="FCI483" s="299"/>
      <c r="FCJ483" s="299"/>
      <c r="FCK483" s="299"/>
      <c r="FCL483" s="299"/>
      <c r="FCM483" s="299"/>
      <c r="FCN483" s="299"/>
      <c r="FCO483" s="299"/>
      <c r="FCP483" s="299"/>
      <c r="FCQ483" s="299"/>
      <c r="FCR483" s="299"/>
      <c r="FCS483" s="299"/>
      <c r="FCT483" s="299"/>
      <c r="FCU483" s="299"/>
      <c r="FCV483" s="299"/>
      <c r="FCW483" s="299"/>
      <c r="FCX483" s="299"/>
      <c r="FCY483" s="299"/>
      <c r="FCZ483" s="299"/>
      <c r="FDA483" s="299"/>
      <c r="FDB483" s="299"/>
      <c r="FDC483" s="299"/>
      <c r="FDD483" s="299"/>
      <c r="FDE483" s="299"/>
      <c r="FDF483" s="299"/>
      <c r="FDG483" s="299"/>
      <c r="FDH483" s="299"/>
      <c r="FDI483" s="299"/>
      <c r="FDJ483" s="299"/>
      <c r="FDK483" s="299"/>
      <c r="FDL483" s="299"/>
      <c r="FDM483" s="299"/>
      <c r="FDN483" s="299"/>
      <c r="FDO483" s="299"/>
      <c r="FDP483" s="299"/>
      <c r="FDQ483" s="299"/>
      <c r="FDR483" s="299"/>
      <c r="FDS483" s="299"/>
      <c r="FDT483" s="299"/>
      <c r="FDU483" s="299"/>
      <c r="FDV483" s="299"/>
      <c r="FDW483" s="299"/>
      <c r="FDX483" s="299"/>
      <c r="FDY483" s="299"/>
      <c r="FDZ483" s="299"/>
      <c r="FEA483" s="299"/>
      <c r="FEB483" s="299"/>
      <c r="FEC483" s="299"/>
      <c r="FED483" s="299"/>
      <c r="FEE483" s="299"/>
      <c r="FEF483" s="299"/>
      <c r="FEG483" s="299"/>
      <c r="FEH483" s="299"/>
      <c r="FEI483" s="299"/>
      <c r="FEJ483" s="299"/>
      <c r="FEK483" s="299"/>
      <c r="FEL483" s="299"/>
      <c r="FEM483" s="299"/>
      <c r="FEN483" s="299"/>
      <c r="FEO483" s="299"/>
      <c r="FEP483" s="299"/>
      <c r="FEQ483" s="299"/>
      <c r="FER483" s="299"/>
      <c r="FES483" s="299"/>
      <c r="FET483" s="299"/>
      <c r="FEU483" s="299"/>
      <c r="FEV483" s="299"/>
      <c r="FEW483" s="299"/>
      <c r="FEX483" s="299"/>
      <c r="FEY483" s="299"/>
      <c r="FEZ483" s="299"/>
      <c r="FFA483" s="299"/>
      <c r="FFB483" s="299"/>
      <c r="FFC483" s="299"/>
      <c r="FFD483" s="299"/>
      <c r="FFE483" s="299"/>
      <c r="FFF483" s="299"/>
      <c r="FFG483" s="299"/>
      <c r="FFH483" s="299"/>
      <c r="FFI483" s="299"/>
      <c r="FFJ483" s="299"/>
      <c r="FFK483" s="299"/>
      <c r="FFL483" s="299"/>
      <c r="FFM483" s="299"/>
      <c r="FFN483" s="299"/>
      <c r="FFO483" s="299"/>
      <c r="FFP483" s="299"/>
      <c r="FFQ483" s="299"/>
      <c r="FFR483" s="299"/>
      <c r="FFS483" s="299"/>
      <c r="FFT483" s="299"/>
      <c r="FFU483" s="299"/>
      <c r="FFV483" s="299"/>
      <c r="FFW483" s="299"/>
      <c r="FFX483" s="299"/>
      <c r="FFY483" s="299"/>
      <c r="FFZ483" s="299"/>
      <c r="FGA483" s="299"/>
      <c r="FGB483" s="299"/>
      <c r="FGC483" s="299"/>
      <c r="FGD483" s="299"/>
      <c r="FGE483" s="299"/>
      <c r="FGF483" s="299"/>
      <c r="FGG483" s="299"/>
      <c r="FGH483" s="299"/>
      <c r="FGI483" s="299"/>
      <c r="FGJ483" s="299"/>
      <c r="FGK483" s="299"/>
      <c r="FGL483" s="299"/>
      <c r="FGM483" s="299"/>
      <c r="FGN483" s="299"/>
      <c r="FGO483" s="299"/>
      <c r="FGP483" s="299"/>
      <c r="FGQ483" s="299"/>
      <c r="FGR483" s="299"/>
      <c r="FGS483" s="299"/>
      <c r="FGT483" s="299"/>
      <c r="FGU483" s="299"/>
      <c r="FGV483" s="299"/>
      <c r="FGW483" s="299"/>
      <c r="FGX483" s="299"/>
      <c r="FGY483" s="299"/>
      <c r="FGZ483" s="299"/>
      <c r="FHA483" s="299"/>
      <c r="FHB483" s="299"/>
      <c r="FHC483" s="299"/>
      <c r="FHD483" s="299"/>
      <c r="FHE483" s="299"/>
      <c r="FHF483" s="299"/>
      <c r="FHG483" s="299"/>
      <c r="FHH483" s="299"/>
      <c r="FHI483" s="299"/>
      <c r="FHJ483" s="299"/>
      <c r="FHK483" s="299"/>
      <c r="FHL483" s="299"/>
      <c r="FHM483" s="299"/>
      <c r="FHN483" s="299"/>
      <c r="FHO483" s="299"/>
      <c r="FHP483" s="299"/>
      <c r="FHQ483" s="299"/>
      <c r="FHR483" s="299"/>
      <c r="FHS483" s="299"/>
      <c r="FHT483" s="299"/>
      <c r="FHU483" s="299"/>
      <c r="FHV483" s="299"/>
      <c r="FHW483" s="299"/>
      <c r="FHX483" s="299"/>
      <c r="FHY483" s="299"/>
      <c r="FHZ483" s="299"/>
      <c r="FIA483" s="299"/>
      <c r="FIB483" s="299"/>
      <c r="FIC483" s="299"/>
      <c r="FID483" s="299"/>
      <c r="FIE483" s="299"/>
      <c r="FIF483" s="299"/>
      <c r="FIG483" s="299"/>
      <c r="FIH483" s="299"/>
      <c r="FII483" s="299"/>
      <c r="FIJ483" s="299"/>
      <c r="FIK483" s="299"/>
      <c r="FIL483" s="299"/>
      <c r="FIM483" s="299"/>
      <c r="FIN483" s="299"/>
      <c r="FIO483" s="299"/>
      <c r="FIP483" s="299"/>
      <c r="FIQ483" s="299"/>
      <c r="FIR483" s="299"/>
      <c r="FIS483" s="299"/>
      <c r="FIT483" s="299"/>
      <c r="FIU483" s="299"/>
      <c r="FIV483" s="299"/>
      <c r="FIW483" s="299"/>
      <c r="FIX483" s="299"/>
      <c r="FIY483" s="299"/>
      <c r="FIZ483" s="299"/>
      <c r="FJA483" s="299"/>
      <c r="FJB483" s="299"/>
      <c r="FJC483" s="299"/>
      <c r="FJD483" s="299"/>
      <c r="FJE483" s="299"/>
      <c r="FJF483" s="299"/>
      <c r="FJG483" s="299"/>
      <c r="FJH483" s="299"/>
      <c r="FJI483" s="299"/>
      <c r="FJJ483" s="299"/>
      <c r="FJK483" s="299"/>
      <c r="FJL483" s="299"/>
      <c r="FJM483" s="299"/>
      <c r="FJN483" s="299"/>
      <c r="FJO483" s="299"/>
      <c r="FJP483" s="299"/>
      <c r="FJQ483" s="299"/>
      <c r="FJR483" s="299"/>
      <c r="FJS483" s="299"/>
      <c r="FJT483" s="299"/>
      <c r="FJU483" s="299"/>
      <c r="FJV483" s="299"/>
      <c r="FJW483" s="299"/>
      <c r="FJX483" s="299"/>
      <c r="FJY483" s="299"/>
      <c r="FJZ483" s="299"/>
      <c r="FKA483" s="299"/>
      <c r="FKB483" s="299"/>
      <c r="FKC483" s="299"/>
      <c r="FKD483" s="299"/>
      <c r="FKE483" s="299"/>
      <c r="FKF483" s="299"/>
      <c r="FKG483" s="299"/>
      <c r="FKH483" s="299"/>
      <c r="FKI483" s="299"/>
      <c r="FKJ483" s="299"/>
      <c r="FKK483" s="299"/>
      <c r="FKL483" s="299"/>
      <c r="FKM483" s="299"/>
      <c r="FKN483" s="299"/>
      <c r="FKO483" s="299"/>
      <c r="FKP483" s="299"/>
      <c r="FKQ483" s="299"/>
      <c r="FKR483" s="299"/>
      <c r="FKS483" s="299"/>
      <c r="FKT483" s="299"/>
      <c r="FKU483" s="299"/>
      <c r="FKV483" s="299"/>
      <c r="FKW483" s="299"/>
      <c r="FKX483" s="299"/>
      <c r="FKY483" s="299"/>
      <c r="FKZ483" s="299"/>
      <c r="FLA483" s="299"/>
      <c r="FLB483" s="299"/>
      <c r="FLC483" s="299"/>
      <c r="FLD483" s="299"/>
      <c r="FLE483" s="299"/>
      <c r="FLF483" s="299"/>
      <c r="FLG483" s="299"/>
      <c r="FLH483" s="299"/>
      <c r="FLI483" s="299"/>
      <c r="FLJ483" s="299"/>
      <c r="FLK483" s="299"/>
      <c r="FLL483" s="299"/>
      <c r="FLM483" s="299"/>
      <c r="FLN483" s="299"/>
      <c r="FLO483" s="299"/>
      <c r="FLP483" s="299"/>
      <c r="FLQ483" s="299"/>
      <c r="FLR483" s="299"/>
      <c r="FLS483" s="299"/>
      <c r="FLT483" s="299"/>
      <c r="FLU483" s="299"/>
      <c r="FLV483" s="299"/>
      <c r="FLW483" s="299"/>
      <c r="FLX483" s="299"/>
      <c r="FLY483" s="299"/>
      <c r="FLZ483" s="299"/>
      <c r="FMA483" s="299"/>
      <c r="FMB483" s="299"/>
      <c r="FMC483" s="299"/>
      <c r="FMD483" s="299"/>
      <c r="FME483" s="299"/>
      <c r="FMF483" s="299"/>
      <c r="FMG483" s="299"/>
      <c r="FMH483" s="299"/>
      <c r="FMI483" s="299"/>
      <c r="FMJ483" s="299"/>
      <c r="FMK483" s="299"/>
      <c r="FML483" s="299"/>
      <c r="FMM483" s="299"/>
      <c r="FMN483" s="299"/>
      <c r="FMO483" s="299"/>
      <c r="FMP483" s="299"/>
      <c r="FMQ483" s="299"/>
      <c r="FMR483" s="299"/>
      <c r="FMS483" s="299"/>
      <c r="FMT483" s="299"/>
      <c r="FMU483" s="299"/>
      <c r="FMV483" s="299"/>
      <c r="FMW483" s="299"/>
      <c r="FMX483" s="299"/>
      <c r="FMY483" s="299"/>
      <c r="FMZ483" s="299"/>
      <c r="FNA483" s="299"/>
      <c r="FNB483" s="299"/>
      <c r="FNC483" s="299"/>
      <c r="FND483" s="299"/>
      <c r="FNE483" s="299"/>
      <c r="FNF483" s="299"/>
      <c r="FNG483" s="299"/>
      <c r="FNH483" s="299"/>
      <c r="FNI483" s="299"/>
      <c r="FNJ483" s="299"/>
      <c r="FNK483" s="299"/>
      <c r="FNL483" s="299"/>
      <c r="FNM483" s="299"/>
      <c r="FNN483" s="299"/>
      <c r="FNO483" s="299"/>
      <c r="FNP483" s="299"/>
      <c r="FNQ483" s="299"/>
      <c r="FNR483" s="299"/>
      <c r="FNS483" s="299"/>
      <c r="FNT483" s="299"/>
      <c r="FNU483" s="299"/>
      <c r="FNV483" s="299"/>
      <c r="FNW483" s="299"/>
      <c r="FNX483" s="299"/>
      <c r="FNY483" s="299"/>
      <c r="FNZ483" s="299"/>
      <c r="FOA483" s="299"/>
      <c r="FOB483" s="299"/>
      <c r="FOC483" s="299"/>
      <c r="FOD483" s="299"/>
      <c r="FOE483" s="299"/>
      <c r="FOF483" s="299"/>
      <c r="FOG483" s="299"/>
      <c r="FOH483" s="299"/>
      <c r="FOI483" s="299"/>
      <c r="FOJ483" s="299"/>
      <c r="FOK483" s="299"/>
      <c r="FOL483" s="299"/>
      <c r="FOM483" s="299"/>
      <c r="FON483" s="299"/>
      <c r="FOO483" s="299"/>
      <c r="FOP483" s="299"/>
      <c r="FOQ483" s="299"/>
      <c r="FOR483" s="299"/>
      <c r="FOS483" s="299"/>
      <c r="FOT483" s="299"/>
      <c r="FOU483" s="299"/>
      <c r="FOV483" s="299"/>
      <c r="FOW483" s="299"/>
      <c r="FOX483" s="299"/>
      <c r="FOY483" s="299"/>
      <c r="FOZ483" s="299"/>
      <c r="FPA483" s="299"/>
      <c r="FPB483" s="299"/>
      <c r="FPC483" s="299"/>
      <c r="FPD483" s="299"/>
      <c r="FPE483" s="299"/>
      <c r="FPF483" s="299"/>
      <c r="FPG483" s="299"/>
      <c r="FPH483" s="299"/>
      <c r="FPI483" s="299"/>
      <c r="FPJ483" s="299"/>
      <c r="FPK483" s="299"/>
      <c r="FPL483" s="299"/>
      <c r="FPM483" s="299"/>
      <c r="FPN483" s="299"/>
      <c r="FPO483" s="299"/>
      <c r="FPP483" s="299"/>
      <c r="FPQ483" s="299"/>
      <c r="FPR483" s="299"/>
      <c r="FPS483" s="299"/>
      <c r="FPT483" s="299"/>
      <c r="FPU483" s="299"/>
      <c r="FPV483" s="299"/>
      <c r="FPW483" s="299"/>
      <c r="FPX483" s="299"/>
      <c r="FPY483" s="299"/>
      <c r="FPZ483" s="299"/>
      <c r="FQA483" s="299"/>
      <c r="FQB483" s="299"/>
      <c r="FQC483" s="299"/>
      <c r="FQD483" s="299"/>
      <c r="FQE483" s="299"/>
      <c r="FQF483" s="299"/>
      <c r="FQG483" s="299"/>
      <c r="FQH483" s="299"/>
      <c r="FQI483" s="299"/>
      <c r="FQJ483" s="299"/>
      <c r="FQK483" s="299"/>
      <c r="FQL483" s="299"/>
      <c r="FQM483" s="299"/>
      <c r="FQN483" s="299"/>
      <c r="FQO483" s="299"/>
      <c r="FQP483" s="299"/>
      <c r="FQQ483" s="299"/>
      <c r="FQR483" s="299"/>
      <c r="FQS483" s="299"/>
      <c r="FQT483" s="299"/>
      <c r="FQU483" s="299"/>
      <c r="FQV483" s="299"/>
      <c r="FQW483" s="299"/>
      <c r="FQX483" s="299"/>
      <c r="FQY483" s="299"/>
      <c r="FQZ483" s="299"/>
      <c r="FRA483" s="299"/>
      <c r="FRB483" s="299"/>
      <c r="FRC483" s="299"/>
      <c r="FRD483" s="299"/>
      <c r="FRE483" s="299"/>
      <c r="FRF483" s="299"/>
      <c r="FRG483" s="299"/>
      <c r="FRH483" s="299"/>
      <c r="FRI483" s="299"/>
      <c r="FRJ483" s="299"/>
      <c r="FRK483" s="299"/>
      <c r="FRL483" s="299"/>
      <c r="FRM483" s="299"/>
      <c r="FRN483" s="299"/>
      <c r="FRO483" s="299"/>
      <c r="FRP483" s="299"/>
      <c r="FRQ483" s="299"/>
      <c r="FRR483" s="299"/>
      <c r="FRS483" s="299"/>
      <c r="FRT483" s="299"/>
      <c r="FRU483" s="299"/>
      <c r="FRV483" s="299"/>
      <c r="FRW483" s="299"/>
      <c r="FRX483" s="299"/>
      <c r="FRY483" s="299"/>
      <c r="FRZ483" s="299"/>
      <c r="FSA483" s="299"/>
      <c r="FSB483" s="299"/>
      <c r="FSC483" s="299"/>
      <c r="FSD483" s="299"/>
      <c r="FSE483" s="299"/>
      <c r="FSF483" s="299"/>
      <c r="FSG483" s="299"/>
      <c r="FSH483" s="299"/>
      <c r="FSI483" s="299"/>
      <c r="FSJ483" s="299"/>
      <c r="FSK483" s="299"/>
      <c r="FSL483" s="299"/>
      <c r="FSM483" s="299"/>
      <c r="FSN483" s="299"/>
      <c r="FSO483" s="299"/>
      <c r="FSP483" s="299"/>
      <c r="FSQ483" s="299"/>
      <c r="FSR483" s="299"/>
      <c r="FSS483" s="299"/>
      <c r="FST483" s="299"/>
      <c r="FSU483" s="299"/>
      <c r="FSV483" s="299"/>
      <c r="FSW483" s="299"/>
      <c r="FSX483" s="299"/>
      <c r="FSY483" s="299"/>
      <c r="FSZ483" s="299"/>
      <c r="FTA483" s="299"/>
      <c r="FTB483" s="299"/>
      <c r="FTC483" s="299"/>
      <c r="FTD483" s="299"/>
      <c r="FTE483" s="299"/>
      <c r="FTF483" s="299"/>
      <c r="FTG483" s="299"/>
      <c r="FTH483" s="299"/>
      <c r="FTI483" s="299"/>
      <c r="FTJ483" s="299"/>
      <c r="FTK483" s="299"/>
      <c r="FTL483" s="299"/>
      <c r="FTM483" s="299"/>
      <c r="FTN483" s="299"/>
      <c r="FTO483" s="299"/>
      <c r="FTP483" s="299"/>
      <c r="FTQ483" s="299"/>
      <c r="FTR483" s="299"/>
      <c r="FTS483" s="299"/>
      <c r="FTT483" s="299"/>
      <c r="FTU483" s="299"/>
      <c r="FTV483" s="299"/>
      <c r="FTW483" s="299"/>
      <c r="FTX483" s="299"/>
      <c r="FTY483" s="299"/>
      <c r="FTZ483" s="299"/>
      <c r="FUA483" s="299"/>
      <c r="FUB483" s="299"/>
      <c r="FUC483" s="299"/>
      <c r="FUD483" s="299"/>
      <c r="FUE483" s="299"/>
      <c r="FUF483" s="299"/>
      <c r="FUG483" s="299"/>
      <c r="FUH483" s="299"/>
      <c r="FUI483" s="299"/>
      <c r="FUJ483" s="299"/>
      <c r="FUK483" s="299"/>
      <c r="FUL483" s="299"/>
      <c r="FUM483" s="299"/>
      <c r="FUN483" s="299"/>
      <c r="FUO483" s="299"/>
      <c r="FUP483" s="299"/>
      <c r="FUQ483" s="299"/>
      <c r="FUR483" s="299"/>
      <c r="FUS483" s="299"/>
      <c r="FUT483" s="299"/>
      <c r="FUU483" s="299"/>
      <c r="FUV483" s="299"/>
      <c r="FUW483" s="299"/>
      <c r="FUX483" s="299"/>
      <c r="FUY483" s="299"/>
      <c r="FUZ483" s="299"/>
      <c r="FVA483" s="299"/>
      <c r="FVB483" s="299"/>
      <c r="FVC483" s="299"/>
      <c r="FVD483" s="299"/>
      <c r="FVE483" s="299"/>
      <c r="FVF483" s="299"/>
      <c r="FVG483" s="299"/>
      <c r="FVH483" s="299"/>
      <c r="FVI483" s="299"/>
      <c r="FVJ483" s="299"/>
      <c r="FVK483" s="299"/>
      <c r="FVL483" s="299"/>
      <c r="FVM483" s="299"/>
      <c r="FVN483" s="299"/>
      <c r="FVO483" s="299"/>
      <c r="FVP483" s="299"/>
      <c r="FVQ483" s="299"/>
      <c r="FVR483" s="299"/>
      <c r="FVS483" s="299"/>
      <c r="FVT483" s="299"/>
      <c r="FVU483" s="299"/>
      <c r="FVV483" s="299"/>
      <c r="FVW483" s="299"/>
      <c r="FVX483" s="299"/>
      <c r="FVY483" s="299"/>
      <c r="FVZ483" s="299"/>
      <c r="FWA483" s="299"/>
      <c r="FWB483" s="299"/>
      <c r="FWC483" s="299"/>
      <c r="FWD483" s="299"/>
      <c r="FWE483" s="299"/>
      <c r="FWF483" s="299"/>
      <c r="FWG483" s="299"/>
      <c r="FWH483" s="299"/>
      <c r="FWI483" s="299"/>
      <c r="FWJ483" s="299"/>
      <c r="FWK483" s="299"/>
      <c r="FWL483" s="299"/>
      <c r="FWM483" s="299"/>
      <c r="FWN483" s="299"/>
      <c r="FWO483" s="299"/>
      <c r="FWP483" s="299"/>
      <c r="FWQ483" s="299"/>
      <c r="FWR483" s="299"/>
      <c r="FWS483" s="299"/>
      <c r="FWT483" s="299"/>
      <c r="FWU483" s="299"/>
      <c r="FWV483" s="299"/>
      <c r="FWW483" s="299"/>
      <c r="FWX483" s="299"/>
      <c r="FWY483" s="299"/>
      <c r="FWZ483" s="299"/>
      <c r="FXA483" s="299"/>
      <c r="FXB483" s="299"/>
      <c r="FXC483" s="299"/>
      <c r="FXD483" s="299"/>
      <c r="FXE483" s="299"/>
      <c r="FXF483" s="299"/>
      <c r="FXG483" s="299"/>
      <c r="FXH483" s="299"/>
      <c r="FXI483" s="299"/>
      <c r="FXJ483" s="299"/>
      <c r="FXK483" s="299"/>
      <c r="FXL483" s="299"/>
      <c r="FXM483" s="299"/>
      <c r="FXN483" s="299"/>
      <c r="FXO483" s="299"/>
      <c r="FXP483" s="299"/>
      <c r="FXQ483" s="299"/>
      <c r="FXR483" s="299"/>
      <c r="FXS483" s="299"/>
      <c r="FXT483" s="299"/>
      <c r="FXU483" s="299"/>
      <c r="FXV483" s="299"/>
      <c r="FXW483" s="299"/>
      <c r="FXX483" s="299"/>
      <c r="FXY483" s="299"/>
      <c r="FXZ483" s="299"/>
      <c r="FYA483" s="299"/>
      <c r="FYB483" s="299"/>
      <c r="FYC483" s="299"/>
      <c r="FYD483" s="299"/>
      <c r="FYE483" s="299"/>
      <c r="FYF483" s="299"/>
      <c r="FYG483" s="299"/>
      <c r="FYH483" s="299"/>
      <c r="FYI483" s="299"/>
      <c r="FYJ483" s="299"/>
      <c r="FYK483" s="299"/>
      <c r="FYL483" s="299"/>
      <c r="FYM483" s="299"/>
      <c r="FYN483" s="299"/>
      <c r="FYO483" s="299"/>
      <c r="FYP483" s="299"/>
      <c r="FYQ483" s="299"/>
      <c r="FYR483" s="299"/>
      <c r="FYS483" s="299"/>
      <c r="FYT483" s="299"/>
      <c r="FYU483" s="299"/>
      <c r="FYV483" s="299"/>
      <c r="FYW483" s="299"/>
      <c r="FYX483" s="299"/>
      <c r="FYY483" s="299"/>
      <c r="FYZ483" s="299"/>
      <c r="FZA483" s="299"/>
      <c r="FZB483" s="299"/>
      <c r="FZC483" s="299"/>
      <c r="FZD483" s="299"/>
      <c r="FZE483" s="299"/>
      <c r="FZF483" s="299"/>
      <c r="FZG483" s="299"/>
      <c r="FZH483" s="299"/>
      <c r="FZI483" s="299"/>
      <c r="FZJ483" s="299"/>
      <c r="FZK483" s="299"/>
      <c r="FZL483" s="299"/>
      <c r="FZM483" s="299"/>
      <c r="FZN483" s="299"/>
      <c r="FZO483" s="299"/>
      <c r="FZP483" s="299"/>
      <c r="FZQ483" s="299"/>
      <c r="FZR483" s="299"/>
      <c r="FZS483" s="299"/>
      <c r="FZT483" s="299"/>
      <c r="FZU483" s="299"/>
      <c r="FZV483" s="299"/>
      <c r="FZW483" s="299"/>
      <c r="FZX483" s="299"/>
      <c r="FZY483" s="299"/>
      <c r="FZZ483" s="299"/>
      <c r="GAA483" s="299"/>
      <c r="GAB483" s="299"/>
      <c r="GAC483" s="299"/>
      <c r="GAD483" s="299"/>
      <c r="GAE483" s="299"/>
      <c r="GAF483" s="299"/>
      <c r="GAG483" s="299"/>
      <c r="GAH483" s="299"/>
      <c r="GAI483" s="299"/>
      <c r="GAJ483" s="299"/>
      <c r="GAK483" s="299"/>
      <c r="GAL483" s="299"/>
      <c r="GAM483" s="299"/>
      <c r="GAN483" s="299"/>
      <c r="GAO483" s="299"/>
      <c r="GAP483" s="299"/>
      <c r="GAQ483" s="299"/>
      <c r="GAR483" s="299"/>
      <c r="GAS483" s="299"/>
      <c r="GAT483" s="299"/>
      <c r="GAU483" s="299"/>
      <c r="GAV483" s="299"/>
      <c r="GAW483" s="299"/>
      <c r="GAX483" s="299"/>
      <c r="GAY483" s="299"/>
      <c r="GAZ483" s="299"/>
      <c r="GBA483" s="299"/>
      <c r="GBB483" s="299"/>
      <c r="GBC483" s="299"/>
      <c r="GBD483" s="299"/>
      <c r="GBE483" s="299"/>
      <c r="GBF483" s="299"/>
      <c r="GBG483" s="299"/>
      <c r="GBH483" s="299"/>
      <c r="GBI483" s="299"/>
      <c r="GBJ483" s="299"/>
      <c r="GBK483" s="299"/>
      <c r="GBL483" s="299"/>
      <c r="GBM483" s="299"/>
      <c r="GBN483" s="299"/>
      <c r="GBO483" s="299"/>
      <c r="GBP483" s="299"/>
      <c r="GBQ483" s="299"/>
      <c r="GBR483" s="299"/>
      <c r="GBS483" s="299"/>
      <c r="GBT483" s="299"/>
      <c r="GBU483" s="299"/>
      <c r="GBV483" s="299"/>
      <c r="GBW483" s="299"/>
      <c r="GBX483" s="299"/>
      <c r="GBY483" s="299"/>
      <c r="GBZ483" s="299"/>
      <c r="GCA483" s="299"/>
      <c r="GCB483" s="299"/>
      <c r="GCC483" s="299"/>
      <c r="GCD483" s="299"/>
      <c r="GCE483" s="299"/>
      <c r="GCF483" s="299"/>
      <c r="GCG483" s="299"/>
      <c r="GCH483" s="299"/>
      <c r="GCI483" s="299"/>
      <c r="GCJ483" s="299"/>
      <c r="GCK483" s="299"/>
      <c r="GCL483" s="299"/>
      <c r="GCM483" s="299"/>
      <c r="GCN483" s="299"/>
      <c r="GCO483" s="299"/>
      <c r="GCP483" s="299"/>
      <c r="GCQ483" s="299"/>
      <c r="GCR483" s="299"/>
      <c r="GCS483" s="299"/>
      <c r="GCT483" s="299"/>
      <c r="GCU483" s="299"/>
      <c r="GCV483" s="299"/>
      <c r="GCW483" s="299"/>
      <c r="GCX483" s="299"/>
      <c r="GCY483" s="299"/>
      <c r="GCZ483" s="299"/>
      <c r="GDA483" s="299"/>
      <c r="GDB483" s="299"/>
      <c r="GDC483" s="299"/>
      <c r="GDD483" s="299"/>
      <c r="GDE483" s="299"/>
      <c r="GDF483" s="299"/>
      <c r="GDG483" s="299"/>
      <c r="GDH483" s="299"/>
      <c r="GDI483" s="299"/>
      <c r="GDJ483" s="299"/>
      <c r="GDK483" s="299"/>
      <c r="GDL483" s="299"/>
      <c r="GDM483" s="299"/>
      <c r="GDN483" s="299"/>
      <c r="GDO483" s="299"/>
      <c r="GDP483" s="299"/>
      <c r="GDQ483" s="299"/>
      <c r="GDR483" s="299"/>
      <c r="GDS483" s="299"/>
      <c r="GDT483" s="299"/>
      <c r="GDU483" s="299"/>
      <c r="GDV483" s="299"/>
      <c r="GDW483" s="299"/>
      <c r="GDX483" s="299"/>
      <c r="GDY483" s="299"/>
      <c r="GDZ483" s="299"/>
      <c r="GEA483" s="299"/>
      <c r="GEB483" s="299"/>
      <c r="GEC483" s="299"/>
      <c r="GED483" s="299"/>
      <c r="GEE483" s="299"/>
      <c r="GEF483" s="299"/>
      <c r="GEG483" s="299"/>
      <c r="GEH483" s="299"/>
      <c r="GEI483" s="299"/>
      <c r="GEJ483" s="299"/>
      <c r="GEK483" s="299"/>
      <c r="GEL483" s="299"/>
      <c r="GEM483" s="299"/>
      <c r="GEN483" s="299"/>
      <c r="GEO483" s="299"/>
      <c r="GEP483" s="299"/>
      <c r="GEQ483" s="299"/>
      <c r="GER483" s="299"/>
      <c r="GES483" s="299"/>
      <c r="GET483" s="299"/>
      <c r="GEU483" s="299"/>
      <c r="GEV483" s="299"/>
      <c r="GEW483" s="299"/>
      <c r="GEX483" s="299"/>
      <c r="GEY483" s="299"/>
      <c r="GEZ483" s="299"/>
      <c r="GFA483" s="299"/>
      <c r="GFB483" s="299"/>
      <c r="GFC483" s="299"/>
      <c r="GFD483" s="299"/>
      <c r="GFE483" s="299"/>
      <c r="GFF483" s="299"/>
      <c r="GFG483" s="299"/>
      <c r="GFH483" s="299"/>
      <c r="GFI483" s="299"/>
      <c r="GFJ483" s="299"/>
      <c r="GFK483" s="299"/>
      <c r="GFL483" s="299"/>
      <c r="GFM483" s="299"/>
      <c r="GFN483" s="299"/>
      <c r="GFO483" s="299"/>
      <c r="GFP483" s="299"/>
      <c r="GFQ483" s="299"/>
      <c r="GFR483" s="299"/>
      <c r="GFS483" s="299"/>
      <c r="GFT483" s="299"/>
      <c r="GFU483" s="299"/>
      <c r="GFV483" s="299"/>
      <c r="GFW483" s="299"/>
      <c r="GFX483" s="299"/>
      <c r="GFY483" s="299"/>
      <c r="GFZ483" s="299"/>
      <c r="GGA483" s="299"/>
      <c r="GGB483" s="299"/>
      <c r="GGC483" s="299"/>
      <c r="GGD483" s="299"/>
      <c r="GGE483" s="299"/>
      <c r="GGF483" s="299"/>
      <c r="GGG483" s="299"/>
      <c r="GGH483" s="299"/>
      <c r="GGI483" s="299"/>
      <c r="GGJ483" s="299"/>
      <c r="GGK483" s="299"/>
      <c r="GGL483" s="299"/>
      <c r="GGM483" s="299"/>
      <c r="GGN483" s="299"/>
      <c r="GGO483" s="299"/>
      <c r="GGP483" s="299"/>
      <c r="GGQ483" s="299"/>
      <c r="GGR483" s="299"/>
      <c r="GGS483" s="299"/>
      <c r="GGT483" s="299"/>
      <c r="GGU483" s="299"/>
      <c r="GGV483" s="299"/>
      <c r="GGW483" s="299"/>
      <c r="GGX483" s="299"/>
      <c r="GGY483" s="299"/>
      <c r="GGZ483" s="299"/>
      <c r="GHA483" s="299"/>
      <c r="GHB483" s="299"/>
      <c r="GHC483" s="299"/>
      <c r="GHD483" s="299"/>
      <c r="GHE483" s="299"/>
      <c r="GHF483" s="299"/>
      <c r="GHG483" s="299"/>
      <c r="GHH483" s="299"/>
      <c r="GHI483" s="299"/>
      <c r="GHJ483" s="299"/>
      <c r="GHK483" s="299"/>
      <c r="GHL483" s="299"/>
      <c r="GHM483" s="299"/>
      <c r="GHN483" s="299"/>
      <c r="GHO483" s="299"/>
      <c r="GHP483" s="299"/>
      <c r="GHQ483" s="299"/>
      <c r="GHR483" s="299"/>
      <c r="GHS483" s="299"/>
      <c r="GHT483" s="299"/>
      <c r="GHU483" s="299"/>
      <c r="GHV483" s="299"/>
      <c r="GHW483" s="299"/>
      <c r="GHX483" s="299"/>
      <c r="GHY483" s="299"/>
      <c r="GHZ483" s="299"/>
      <c r="GIA483" s="299"/>
      <c r="GIB483" s="299"/>
      <c r="GIC483" s="299"/>
      <c r="GID483" s="299"/>
      <c r="GIE483" s="299"/>
      <c r="GIF483" s="299"/>
      <c r="GIG483" s="299"/>
      <c r="GIH483" s="299"/>
      <c r="GII483" s="299"/>
      <c r="GIJ483" s="299"/>
      <c r="GIK483" s="299"/>
      <c r="GIL483" s="299"/>
      <c r="GIM483" s="299"/>
      <c r="GIN483" s="299"/>
      <c r="GIO483" s="299"/>
      <c r="GIP483" s="299"/>
      <c r="GIQ483" s="299"/>
      <c r="GIR483" s="299"/>
      <c r="GIS483" s="299"/>
      <c r="GIT483" s="299"/>
      <c r="GIU483" s="299"/>
      <c r="GIV483" s="299"/>
      <c r="GIW483" s="299"/>
      <c r="GIX483" s="299"/>
      <c r="GIY483" s="299"/>
      <c r="GIZ483" s="299"/>
      <c r="GJA483" s="299"/>
      <c r="GJB483" s="299"/>
      <c r="GJC483" s="299"/>
      <c r="GJD483" s="299"/>
      <c r="GJE483" s="299"/>
      <c r="GJF483" s="299"/>
      <c r="GJG483" s="299"/>
      <c r="GJH483" s="299"/>
      <c r="GJI483" s="299"/>
      <c r="GJJ483" s="299"/>
      <c r="GJK483" s="299"/>
      <c r="GJL483" s="299"/>
      <c r="GJM483" s="299"/>
      <c r="GJN483" s="299"/>
      <c r="GJO483" s="299"/>
      <c r="GJP483" s="299"/>
      <c r="GJQ483" s="299"/>
      <c r="GJR483" s="299"/>
      <c r="GJS483" s="299"/>
      <c r="GJT483" s="299"/>
      <c r="GJU483" s="299"/>
      <c r="GJV483" s="299"/>
      <c r="GJW483" s="299"/>
      <c r="GJX483" s="299"/>
      <c r="GJY483" s="299"/>
      <c r="GJZ483" s="299"/>
      <c r="GKA483" s="299"/>
      <c r="GKB483" s="299"/>
      <c r="GKC483" s="299"/>
      <c r="GKD483" s="299"/>
      <c r="GKE483" s="299"/>
      <c r="GKF483" s="299"/>
      <c r="GKG483" s="299"/>
      <c r="GKH483" s="299"/>
      <c r="GKI483" s="299"/>
      <c r="GKJ483" s="299"/>
      <c r="GKK483" s="299"/>
      <c r="GKL483" s="299"/>
      <c r="GKM483" s="299"/>
      <c r="GKN483" s="299"/>
      <c r="GKO483" s="299"/>
      <c r="GKP483" s="299"/>
      <c r="GKQ483" s="299"/>
      <c r="GKR483" s="299"/>
      <c r="GKS483" s="299"/>
      <c r="GKT483" s="299"/>
      <c r="GKU483" s="299"/>
      <c r="GKV483" s="299"/>
      <c r="GKW483" s="299"/>
      <c r="GKX483" s="299"/>
      <c r="GKY483" s="299"/>
      <c r="GKZ483" s="299"/>
      <c r="GLA483" s="299"/>
      <c r="GLB483" s="299"/>
      <c r="GLC483" s="299"/>
      <c r="GLD483" s="299"/>
      <c r="GLE483" s="299"/>
      <c r="GLF483" s="299"/>
      <c r="GLG483" s="299"/>
      <c r="GLH483" s="299"/>
      <c r="GLI483" s="299"/>
      <c r="GLJ483" s="299"/>
      <c r="GLK483" s="299"/>
      <c r="GLL483" s="299"/>
      <c r="GLM483" s="299"/>
      <c r="GLN483" s="299"/>
      <c r="GLO483" s="299"/>
      <c r="GLP483" s="299"/>
      <c r="GLQ483" s="299"/>
      <c r="GLR483" s="299"/>
      <c r="GLS483" s="299"/>
      <c r="GLT483" s="299"/>
      <c r="GLU483" s="299"/>
      <c r="GLV483" s="299"/>
      <c r="GLW483" s="299"/>
      <c r="GLX483" s="299"/>
      <c r="GLY483" s="299"/>
      <c r="GLZ483" s="299"/>
      <c r="GMA483" s="299"/>
      <c r="GMB483" s="299"/>
      <c r="GMC483" s="299"/>
      <c r="GMD483" s="299"/>
      <c r="GME483" s="299"/>
      <c r="GMF483" s="299"/>
      <c r="GMG483" s="299"/>
      <c r="GMH483" s="299"/>
      <c r="GMI483" s="299"/>
      <c r="GMJ483" s="299"/>
      <c r="GMK483" s="299"/>
      <c r="GML483" s="299"/>
      <c r="GMM483" s="299"/>
      <c r="GMN483" s="299"/>
      <c r="GMO483" s="299"/>
      <c r="GMP483" s="299"/>
      <c r="GMQ483" s="299"/>
      <c r="GMR483" s="299"/>
      <c r="GMS483" s="299"/>
      <c r="GMT483" s="299"/>
      <c r="GMU483" s="299"/>
      <c r="GMV483" s="299"/>
      <c r="GMW483" s="299"/>
      <c r="GMX483" s="299"/>
      <c r="GMY483" s="299"/>
      <c r="GMZ483" s="299"/>
      <c r="GNA483" s="299"/>
      <c r="GNB483" s="299"/>
      <c r="GNC483" s="299"/>
      <c r="GND483" s="299"/>
      <c r="GNE483" s="299"/>
      <c r="GNF483" s="299"/>
      <c r="GNG483" s="299"/>
      <c r="GNH483" s="299"/>
      <c r="GNI483" s="299"/>
      <c r="GNJ483" s="299"/>
      <c r="GNK483" s="299"/>
      <c r="GNL483" s="299"/>
      <c r="GNM483" s="299"/>
      <c r="GNN483" s="299"/>
      <c r="GNO483" s="299"/>
      <c r="GNP483" s="299"/>
      <c r="GNQ483" s="299"/>
      <c r="GNR483" s="299"/>
      <c r="GNS483" s="299"/>
      <c r="GNT483" s="299"/>
      <c r="GNU483" s="299"/>
      <c r="GNV483" s="299"/>
      <c r="GNW483" s="299"/>
      <c r="GNX483" s="299"/>
      <c r="GNY483" s="299"/>
      <c r="GNZ483" s="299"/>
      <c r="GOA483" s="299"/>
      <c r="GOB483" s="299"/>
      <c r="GOC483" s="299"/>
      <c r="GOD483" s="299"/>
      <c r="GOE483" s="299"/>
      <c r="GOF483" s="299"/>
      <c r="GOG483" s="299"/>
      <c r="GOH483" s="299"/>
      <c r="GOI483" s="299"/>
      <c r="GOJ483" s="299"/>
      <c r="GOK483" s="299"/>
      <c r="GOL483" s="299"/>
      <c r="GOM483" s="299"/>
      <c r="GON483" s="299"/>
      <c r="GOO483" s="299"/>
      <c r="GOP483" s="299"/>
      <c r="GOQ483" s="299"/>
      <c r="GOR483" s="299"/>
      <c r="GOS483" s="299"/>
      <c r="GOT483" s="299"/>
      <c r="GOU483" s="299"/>
      <c r="GOV483" s="299"/>
      <c r="GOW483" s="299"/>
      <c r="GOX483" s="299"/>
      <c r="GOY483" s="299"/>
      <c r="GOZ483" s="299"/>
      <c r="GPA483" s="299"/>
      <c r="GPB483" s="299"/>
      <c r="GPC483" s="299"/>
      <c r="GPD483" s="299"/>
      <c r="GPE483" s="299"/>
      <c r="GPF483" s="299"/>
      <c r="GPG483" s="299"/>
      <c r="GPH483" s="299"/>
      <c r="GPI483" s="299"/>
      <c r="GPJ483" s="299"/>
      <c r="GPK483" s="299"/>
      <c r="GPL483" s="299"/>
      <c r="GPM483" s="299"/>
      <c r="GPN483" s="299"/>
      <c r="GPO483" s="299"/>
      <c r="GPP483" s="299"/>
      <c r="GPQ483" s="299"/>
      <c r="GPR483" s="299"/>
      <c r="GPS483" s="299"/>
      <c r="GPT483" s="299"/>
      <c r="GPU483" s="299"/>
      <c r="GPV483" s="299"/>
      <c r="GPW483" s="299"/>
      <c r="GPX483" s="299"/>
      <c r="GPY483" s="299"/>
      <c r="GPZ483" s="299"/>
      <c r="GQA483" s="299"/>
      <c r="GQB483" s="299"/>
      <c r="GQC483" s="299"/>
      <c r="GQD483" s="299"/>
      <c r="GQE483" s="299"/>
      <c r="GQF483" s="299"/>
      <c r="GQG483" s="299"/>
      <c r="GQH483" s="299"/>
      <c r="GQI483" s="299"/>
      <c r="GQJ483" s="299"/>
      <c r="GQK483" s="299"/>
      <c r="GQL483" s="299"/>
      <c r="GQM483" s="299"/>
      <c r="GQN483" s="299"/>
      <c r="GQO483" s="299"/>
      <c r="GQP483" s="299"/>
      <c r="GQQ483" s="299"/>
      <c r="GQR483" s="299"/>
      <c r="GQS483" s="299"/>
      <c r="GQT483" s="299"/>
      <c r="GQU483" s="299"/>
      <c r="GQV483" s="299"/>
      <c r="GQW483" s="299"/>
      <c r="GQX483" s="299"/>
      <c r="GQY483" s="299"/>
      <c r="GQZ483" s="299"/>
      <c r="GRA483" s="299"/>
      <c r="GRB483" s="299"/>
      <c r="GRC483" s="299"/>
      <c r="GRD483" s="299"/>
      <c r="GRE483" s="299"/>
      <c r="GRF483" s="299"/>
      <c r="GRG483" s="299"/>
      <c r="GRH483" s="299"/>
      <c r="GRI483" s="299"/>
      <c r="GRJ483" s="299"/>
      <c r="GRK483" s="299"/>
      <c r="GRL483" s="299"/>
      <c r="GRM483" s="299"/>
      <c r="GRN483" s="299"/>
      <c r="GRO483" s="299"/>
      <c r="GRP483" s="299"/>
      <c r="GRQ483" s="299"/>
      <c r="GRR483" s="299"/>
      <c r="GRS483" s="299"/>
      <c r="GRT483" s="299"/>
      <c r="GRU483" s="299"/>
      <c r="GRV483" s="299"/>
      <c r="GRW483" s="299"/>
      <c r="GRX483" s="299"/>
      <c r="GRY483" s="299"/>
      <c r="GRZ483" s="299"/>
      <c r="GSA483" s="299"/>
      <c r="GSB483" s="299"/>
      <c r="GSC483" s="299"/>
      <c r="GSD483" s="299"/>
      <c r="GSE483" s="299"/>
      <c r="GSF483" s="299"/>
      <c r="GSG483" s="299"/>
      <c r="GSH483" s="299"/>
      <c r="GSI483" s="299"/>
      <c r="GSJ483" s="299"/>
      <c r="GSK483" s="299"/>
      <c r="GSL483" s="299"/>
      <c r="GSM483" s="299"/>
      <c r="GSN483" s="299"/>
      <c r="GSO483" s="299"/>
      <c r="GSP483" s="299"/>
      <c r="GSQ483" s="299"/>
      <c r="GSR483" s="299"/>
      <c r="GSS483" s="299"/>
      <c r="GST483" s="299"/>
      <c r="GSU483" s="299"/>
      <c r="GSV483" s="299"/>
      <c r="GSW483" s="299"/>
      <c r="GSX483" s="299"/>
      <c r="GSY483" s="299"/>
      <c r="GSZ483" s="299"/>
      <c r="GTA483" s="299"/>
      <c r="GTB483" s="299"/>
      <c r="GTC483" s="299"/>
      <c r="GTD483" s="299"/>
      <c r="GTE483" s="299"/>
      <c r="GTF483" s="299"/>
      <c r="GTG483" s="299"/>
      <c r="GTH483" s="299"/>
      <c r="GTI483" s="299"/>
      <c r="GTJ483" s="299"/>
      <c r="GTK483" s="299"/>
      <c r="GTL483" s="299"/>
      <c r="GTM483" s="299"/>
      <c r="GTN483" s="299"/>
      <c r="GTO483" s="299"/>
      <c r="GTP483" s="299"/>
      <c r="GTQ483" s="299"/>
      <c r="GTR483" s="299"/>
      <c r="GTS483" s="299"/>
      <c r="GTT483" s="299"/>
      <c r="GTU483" s="299"/>
      <c r="GTV483" s="299"/>
      <c r="GTW483" s="299"/>
      <c r="GTX483" s="299"/>
      <c r="GTY483" s="299"/>
      <c r="GTZ483" s="299"/>
      <c r="GUA483" s="299"/>
      <c r="GUB483" s="299"/>
      <c r="GUC483" s="299"/>
      <c r="GUD483" s="299"/>
      <c r="GUE483" s="299"/>
      <c r="GUF483" s="299"/>
      <c r="GUG483" s="299"/>
      <c r="GUH483" s="299"/>
      <c r="GUI483" s="299"/>
      <c r="GUJ483" s="299"/>
      <c r="GUK483" s="299"/>
      <c r="GUL483" s="299"/>
      <c r="GUM483" s="299"/>
      <c r="GUN483" s="299"/>
      <c r="GUO483" s="299"/>
      <c r="GUP483" s="299"/>
      <c r="GUQ483" s="299"/>
      <c r="GUR483" s="299"/>
      <c r="GUS483" s="299"/>
      <c r="GUT483" s="299"/>
      <c r="GUU483" s="299"/>
      <c r="GUV483" s="299"/>
      <c r="GUW483" s="299"/>
      <c r="GUX483" s="299"/>
      <c r="GUY483" s="299"/>
      <c r="GUZ483" s="299"/>
      <c r="GVA483" s="299"/>
      <c r="GVB483" s="299"/>
      <c r="GVC483" s="299"/>
      <c r="GVD483" s="299"/>
      <c r="GVE483" s="299"/>
      <c r="GVF483" s="299"/>
      <c r="GVG483" s="299"/>
      <c r="GVH483" s="299"/>
      <c r="GVI483" s="299"/>
      <c r="GVJ483" s="299"/>
      <c r="GVK483" s="299"/>
      <c r="GVL483" s="299"/>
      <c r="GVM483" s="299"/>
      <c r="GVN483" s="299"/>
      <c r="GVO483" s="299"/>
      <c r="GVP483" s="299"/>
      <c r="GVQ483" s="299"/>
      <c r="GVR483" s="299"/>
      <c r="GVS483" s="299"/>
      <c r="GVT483" s="299"/>
      <c r="GVU483" s="299"/>
      <c r="GVV483" s="299"/>
      <c r="GVW483" s="299"/>
      <c r="GVX483" s="299"/>
      <c r="GVY483" s="299"/>
      <c r="GVZ483" s="299"/>
      <c r="GWA483" s="299"/>
      <c r="GWB483" s="299"/>
      <c r="GWC483" s="299"/>
      <c r="GWD483" s="299"/>
      <c r="GWE483" s="299"/>
      <c r="GWF483" s="299"/>
      <c r="GWG483" s="299"/>
      <c r="GWH483" s="299"/>
      <c r="GWI483" s="299"/>
      <c r="GWJ483" s="299"/>
      <c r="GWK483" s="299"/>
      <c r="GWL483" s="299"/>
      <c r="GWM483" s="299"/>
      <c r="GWN483" s="299"/>
      <c r="GWO483" s="299"/>
      <c r="GWP483" s="299"/>
      <c r="GWQ483" s="299"/>
      <c r="GWR483" s="299"/>
      <c r="GWS483" s="299"/>
      <c r="GWT483" s="299"/>
      <c r="GWU483" s="299"/>
      <c r="GWV483" s="299"/>
      <c r="GWW483" s="299"/>
      <c r="GWX483" s="299"/>
      <c r="GWY483" s="299"/>
      <c r="GWZ483" s="299"/>
      <c r="GXA483" s="299"/>
      <c r="GXB483" s="299"/>
      <c r="GXC483" s="299"/>
      <c r="GXD483" s="299"/>
      <c r="GXE483" s="299"/>
      <c r="GXF483" s="299"/>
      <c r="GXG483" s="299"/>
      <c r="GXH483" s="299"/>
      <c r="GXI483" s="299"/>
      <c r="GXJ483" s="299"/>
      <c r="GXK483" s="299"/>
      <c r="GXL483" s="299"/>
      <c r="GXM483" s="299"/>
      <c r="GXN483" s="299"/>
      <c r="GXO483" s="299"/>
      <c r="GXP483" s="299"/>
      <c r="GXQ483" s="299"/>
      <c r="GXR483" s="299"/>
      <c r="GXS483" s="299"/>
      <c r="GXT483" s="299"/>
      <c r="GXU483" s="299"/>
      <c r="GXV483" s="299"/>
      <c r="GXW483" s="299"/>
      <c r="GXX483" s="299"/>
      <c r="GXY483" s="299"/>
      <c r="GXZ483" s="299"/>
      <c r="GYA483" s="299"/>
      <c r="GYB483" s="299"/>
      <c r="GYC483" s="299"/>
      <c r="GYD483" s="299"/>
      <c r="GYE483" s="299"/>
      <c r="GYF483" s="299"/>
      <c r="GYG483" s="299"/>
      <c r="GYH483" s="299"/>
      <c r="GYI483" s="299"/>
      <c r="GYJ483" s="299"/>
      <c r="GYK483" s="299"/>
      <c r="GYL483" s="299"/>
      <c r="GYM483" s="299"/>
      <c r="GYN483" s="299"/>
      <c r="GYO483" s="299"/>
      <c r="GYP483" s="299"/>
      <c r="GYQ483" s="299"/>
      <c r="GYR483" s="299"/>
      <c r="GYS483" s="299"/>
      <c r="GYT483" s="299"/>
      <c r="GYU483" s="299"/>
      <c r="GYV483" s="299"/>
      <c r="GYW483" s="299"/>
      <c r="GYX483" s="299"/>
      <c r="GYY483" s="299"/>
      <c r="GYZ483" s="299"/>
      <c r="GZA483" s="299"/>
      <c r="GZB483" s="299"/>
      <c r="GZC483" s="299"/>
      <c r="GZD483" s="299"/>
      <c r="GZE483" s="299"/>
      <c r="GZF483" s="299"/>
      <c r="GZG483" s="299"/>
      <c r="GZH483" s="299"/>
      <c r="GZI483" s="299"/>
      <c r="GZJ483" s="299"/>
      <c r="GZK483" s="299"/>
      <c r="GZL483" s="299"/>
      <c r="GZM483" s="299"/>
      <c r="GZN483" s="299"/>
      <c r="GZO483" s="299"/>
      <c r="GZP483" s="299"/>
      <c r="GZQ483" s="299"/>
      <c r="GZR483" s="299"/>
      <c r="GZS483" s="299"/>
      <c r="GZT483" s="299"/>
      <c r="GZU483" s="299"/>
      <c r="GZV483" s="299"/>
      <c r="GZW483" s="299"/>
      <c r="GZX483" s="299"/>
      <c r="GZY483" s="299"/>
      <c r="GZZ483" s="299"/>
      <c r="HAA483" s="299"/>
      <c r="HAB483" s="299"/>
      <c r="HAC483" s="299"/>
      <c r="HAD483" s="299"/>
      <c r="HAE483" s="299"/>
      <c r="HAF483" s="299"/>
      <c r="HAG483" s="299"/>
      <c r="HAH483" s="299"/>
      <c r="HAI483" s="299"/>
      <c r="HAJ483" s="299"/>
      <c r="HAK483" s="299"/>
      <c r="HAL483" s="299"/>
      <c r="HAM483" s="299"/>
      <c r="HAN483" s="299"/>
      <c r="HAO483" s="299"/>
      <c r="HAP483" s="299"/>
      <c r="HAQ483" s="299"/>
      <c r="HAR483" s="299"/>
      <c r="HAS483" s="299"/>
      <c r="HAT483" s="299"/>
      <c r="HAU483" s="299"/>
      <c r="HAV483" s="299"/>
      <c r="HAW483" s="299"/>
      <c r="HAX483" s="299"/>
      <c r="HAY483" s="299"/>
      <c r="HAZ483" s="299"/>
      <c r="HBA483" s="299"/>
      <c r="HBB483" s="299"/>
      <c r="HBC483" s="299"/>
      <c r="HBD483" s="299"/>
      <c r="HBE483" s="299"/>
      <c r="HBF483" s="299"/>
      <c r="HBG483" s="299"/>
      <c r="HBH483" s="299"/>
      <c r="HBI483" s="299"/>
      <c r="HBJ483" s="299"/>
      <c r="HBK483" s="299"/>
      <c r="HBL483" s="299"/>
      <c r="HBM483" s="299"/>
      <c r="HBN483" s="299"/>
      <c r="HBO483" s="299"/>
      <c r="HBP483" s="299"/>
      <c r="HBQ483" s="299"/>
      <c r="HBR483" s="299"/>
      <c r="HBS483" s="299"/>
      <c r="HBT483" s="299"/>
      <c r="HBU483" s="299"/>
      <c r="HBV483" s="299"/>
      <c r="HBW483" s="299"/>
      <c r="HBX483" s="299"/>
      <c r="HBY483" s="299"/>
      <c r="HBZ483" s="299"/>
      <c r="HCA483" s="299"/>
      <c r="HCB483" s="299"/>
      <c r="HCC483" s="299"/>
      <c r="HCD483" s="299"/>
      <c r="HCE483" s="299"/>
      <c r="HCF483" s="299"/>
      <c r="HCG483" s="299"/>
      <c r="HCH483" s="299"/>
      <c r="HCI483" s="299"/>
      <c r="HCJ483" s="299"/>
      <c r="HCK483" s="299"/>
      <c r="HCL483" s="299"/>
      <c r="HCM483" s="299"/>
      <c r="HCN483" s="299"/>
      <c r="HCO483" s="299"/>
      <c r="HCP483" s="299"/>
      <c r="HCQ483" s="299"/>
      <c r="HCR483" s="299"/>
      <c r="HCS483" s="299"/>
      <c r="HCT483" s="299"/>
      <c r="HCU483" s="299"/>
      <c r="HCV483" s="299"/>
      <c r="HCW483" s="299"/>
      <c r="HCX483" s="299"/>
      <c r="HCY483" s="299"/>
      <c r="HCZ483" s="299"/>
      <c r="HDA483" s="299"/>
      <c r="HDB483" s="299"/>
      <c r="HDC483" s="299"/>
      <c r="HDD483" s="299"/>
      <c r="HDE483" s="299"/>
      <c r="HDF483" s="299"/>
      <c r="HDG483" s="299"/>
      <c r="HDH483" s="299"/>
      <c r="HDI483" s="299"/>
      <c r="HDJ483" s="299"/>
      <c r="HDK483" s="299"/>
      <c r="HDL483" s="299"/>
      <c r="HDM483" s="299"/>
      <c r="HDN483" s="299"/>
      <c r="HDO483" s="299"/>
      <c r="HDP483" s="299"/>
      <c r="HDQ483" s="299"/>
      <c r="HDR483" s="299"/>
      <c r="HDS483" s="299"/>
      <c r="HDT483" s="299"/>
      <c r="HDU483" s="299"/>
      <c r="HDV483" s="299"/>
      <c r="HDW483" s="299"/>
      <c r="HDX483" s="299"/>
      <c r="HDY483" s="299"/>
      <c r="HDZ483" s="299"/>
      <c r="HEA483" s="299"/>
      <c r="HEB483" s="299"/>
      <c r="HEC483" s="299"/>
      <c r="HED483" s="299"/>
      <c r="HEE483" s="299"/>
      <c r="HEF483" s="299"/>
      <c r="HEG483" s="299"/>
      <c r="HEH483" s="299"/>
      <c r="HEI483" s="299"/>
      <c r="HEJ483" s="299"/>
      <c r="HEK483" s="299"/>
      <c r="HEL483" s="299"/>
      <c r="HEM483" s="299"/>
      <c r="HEN483" s="299"/>
      <c r="HEO483" s="299"/>
      <c r="HEP483" s="299"/>
      <c r="HEQ483" s="299"/>
      <c r="HER483" s="299"/>
      <c r="HES483" s="299"/>
      <c r="HET483" s="299"/>
      <c r="HEU483" s="299"/>
      <c r="HEV483" s="299"/>
      <c r="HEW483" s="299"/>
      <c r="HEX483" s="299"/>
      <c r="HEY483" s="299"/>
      <c r="HEZ483" s="299"/>
      <c r="HFA483" s="299"/>
      <c r="HFB483" s="299"/>
      <c r="HFC483" s="299"/>
      <c r="HFD483" s="299"/>
      <c r="HFE483" s="299"/>
      <c r="HFF483" s="299"/>
      <c r="HFG483" s="299"/>
      <c r="HFH483" s="299"/>
      <c r="HFI483" s="299"/>
      <c r="HFJ483" s="299"/>
      <c r="HFK483" s="299"/>
      <c r="HFL483" s="299"/>
      <c r="HFM483" s="299"/>
      <c r="HFN483" s="299"/>
      <c r="HFO483" s="299"/>
      <c r="HFP483" s="299"/>
      <c r="HFQ483" s="299"/>
      <c r="HFR483" s="299"/>
      <c r="HFS483" s="299"/>
      <c r="HFT483" s="299"/>
      <c r="HFU483" s="299"/>
      <c r="HFV483" s="299"/>
      <c r="HFW483" s="299"/>
      <c r="HFX483" s="299"/>
      <c r="HFY483" s="299"/>
      <c r="HFZ483" s="299"/>
      <c r="HGA483" s="299"/>
      <c r="HGB483" s="299"/>
      <c r="HGC483" s="299"/>
      <c r="HGD483" s="299"/>
      <c r="HGE483" s="299"/>
      <c r="HGF483" s="299"/>
      <c r="HGG483" s="299"/>
      <c r="HGH483" s="299"/>
      <c r="HGI483" s="299"/>
      <c r="HGJ483" s="299"/>
      <c r="HGK483" s="299"/>
      <c r="HGL483" s="299"/>
      <c r="HGM483" s="299"/>
      <c r="HGN483" s="299"/>
      <c r="HGO483" s="299"/>
      <c r="HGP483" s="299"/>
      <c r="HGQ483" s="299"/>
      <c r="HGR483" s="299"/>
      <c r="HGS483" s="299"/>
      <c r="HGT483" s="299"/>
      <c r="HGU483" s="299"/>
      <c r="HGV483" s="299"/>
      <c r="HGW483" s="299"/>
      <c r="HGX483" s="299"/>
      <c r="HGY483" s="299"/>
      <c r="HGZ483" s="299"/>
      <c r="HHA483" s="299"/>
      <c r="HHB483" s="299"/>
      <c r="HHC483" s="299"/>
      <c r="HHD483" s="299"/>
      <c r="HHE483" s="299"/>
      <c r="HHF483" s="299"/>
      <c r="HHG483" s="299"/>
      <c r="HHH483" s="299"/>
      <c r="HHI483" s="299"/>
      <c r="HHJ483" s="299"/>
      <c r="HHK483" s="299"/>
      <c r="HHL483" s="299"/>
      <c r="HHM483" s="299"/>
      <c r="HHN483" s="299"/>
      <c r="HHO483" s="299"/>
      <c r="HHP483" s="299"/>
      <c r="HHQ483" s="299"/>
      <c r="HHR483" s="299"/>
      <c r="HHS483" s="299"/>
      <c r="HHT483" s="299"/>
      <c r="HHU483" s="299"/>
      <c r="HHV483" s="299"/>
      <c r="HHW483" s="299"/>
      <c r="HHX483" s="299"/>
      <c r="HHY483" s="299"/>
      <c r="HHZ483" s="299"/>
      <c r="HIA483" s="299"/>
      <c r="HIB483" s="299"/>
      <c r="HIC483" s="299"/>
      <c r="HID483" s="299"/>
      <c r="HIE483" s="299"/>
      <c r="HIF483" s="299"/>
      <c r="HIG483" s="299"/>
      <c r="HIH483" s="299"/>
      <c r="HII483" s="299"/>
      <c r="HIJ483" s="299"/>
      <c r="HIK483" s="299"/>
      <c r="HIL483" s="299"/>
      <c r="HIM483" s="299"/>
      <c r="HIN483" s="299"/>
      <c r="HIO483" s="299"/>
      <c r="HIP483" s="299"/>
      <c r="HIQ483" s="299"/>
      <c r="HIR483" s="299"/>
      <c r="HIS483" s="299"/>
      <c r="HIT483" s="299"/>
      <c r="HIU483" s="299"/>
      <c r="HIV483" s="299"/>
      <c r="HIW483" s="299"/>
      <c r="HIX483" s="299"/>
      <c r="HIY483" s="299"/>
      <c r="HIZ483" s="299"/>
      <c r="HJA483" s="299"/>
      <c r="HJB483" s="299"/>
      <c r="HJC483" s="299"/>
      <c r="HJD483" s="299"/>
      <c r="HJE483" s="299"/>
      <c r="HJF483" s="299"/>
      <c r="HJG483" s="299"/>
      <c r="HJH483" s="299"/>
      <c r="HJI483" s="299"/>
      <c r="HJJ483" s="299"/>
      <c r="HJK483" s="299"/>
      <c r="HJL483" s="299"/>
      <c r="HJM483" s="299"/>
      <c r="HJN483" s="299"/>
      <c r="HJO483" s="299"/>
      <c r="HJP483" s="299"/>
      <c r="HJQ483" s="299"/>
      <c r="HJR483" s="299"/>
      <c r="HJS483" s="299"/>
      <c r="HJT483" s="299"/>
      <c r="HJU483" s="299"/>
      <c r="HJV483" s="299"/>
      <c r="HJW483" s="299"/>
      <c r="HJX483" s="299"/>
      <c r="HJY483" s="299"/>
      <c r="HJZ483" s="299"/>
      <c r="HKA483" s="299"/>
      <c r="HKB483" s="299"/>
      <c r="HKC483" s="299"/>
      <c r="HKD483" s="299"/>
      <c r="HKE483" s="299"/>
      <c r="HKF483" s="299"/>
      <c r="HKG483" s="299"/>
      <c r="HKH483" s="299"/>
      <c r="HKI483" s="299"/>
      <c r="HKJ483" s="299"/>
      <c r="HKK483" s="299"/>
      <c r="HKL483" s="299"/>
      <c r="HKM483" s="299"/>
      <c r="HKN483" s="299"/>
      <c r="HKO483" s="299"/>
      <c r="HKP483" s="299"/>
      <c r="HKQ483" s="299"/>
      <c r="HKR483" s="299"/>
      <c r="HKS483" s="299"/>
      <c r="HKT483" s="299"/>
      <c r="HKU483" s="299"/>
      <c r="HKV483" s="299"/>
      <c r="HKW483" s="299"/>
      <c r="HKX483" s="299"/>
      <c r="HKY483" s="299"/>
      <c r="HKZ483" s="299"/>
      <c r="HLA483" s="299"/>
      <c r="HLB483" s="299"/>
      <c r="HLC483" s="299"/>
      <c r="HLD483" s="299"/>
      <c r="HLE483" s="299"/>
      <c r="HLF483" s="299"/>
      <c r="HLG483" s="299"/>
      <c r="HLH483" s="299"/>
      <c r="HLI483" s="299"/>
      <c r="HLJ483" s="299"/>
      <c r="HLK483" s="299"/>
      <c r="HLL483" s="299"/>
      <c r="HLM483" s="299"/>
      <c r="HLN483" s="299"/>
      <c r="HLO483" s="299"/>
      <c r="HLP483" s="299"/>
      <c r="HLQ483" s="299"/>
      <c r="HLR483" s="299"/>
      <c r="HLS483" s="299"/>
      <c r="HLT483" s="299"/>
      <c r="HLU483" s="299"/>
      <c r="HLV483" s="299"/>
      <c r="HLW483" s="299"/>
      <c r="HLX483" s="299"/>
      <c r="HLY483" s="299"/>
      <c r="HLZ483" s="299"/>
      <c r="HMA483" s="299"/>
      <c r="HMB483" s="299"/>
      <c r="HMC483" s="299"/>
      <c r="HMD483" s="299"/>
      <c r="HME483" s="299"/>
      <c r="HMF483" s="299"/>
      <c r="HMG483" s="299"/>
      <c r="HMH483" s="299"/>
      <c r="HMI483" s="299"/>
      <c r="HMJ483" s="299"/>
      <c r="HMK483" s="299"/>
      <c r="HML483" s="299"/>
      <c r="HMM483" s="299"/>
      <c r="HMN483" s="299"/>
      <c r="HMO483" s="299"/>
      <c r="HMP483" s="299"/>
      <c r="HMQ483" s="299"/>
      <c r="HMR483" s="299"/>
      <c r="HMS483" s="299"/>
      <c r="HMT483" s="299"/>
      <c r="HMU483" s="299"/>
      <c r="HMV483" s="299"/>
      <c r="HMW483" s="299"/>
      <c r="HMX483" s="299"/>
      <c r="HMY483" s="299"/>
      <c r="HMZ483" s="299"/>
      <c r="HNA483" s="299"/>
      <c r="HNB483" s="299"/>
      <c r="HNC483" s="299"/>
      <c r="HND483" s="299"/>
      <c r="HNE483" s="299"/>
      <c r="HNF483" s="299"/>
      <c r="HNG483" s="299"/>
      <c r="HNH483" s="299"/>
      <c r="HNI483" s="299"/>
      <c r="HNJ483" s="299"/>
      <c r="HNK483" s="299"/>
      <c r="HNL483" s="299"/>
      <c r="HNM483" s="299"/>
      <c r="HNN483" s="299"/>
      <c r="HNO483" s="299"/>
      <c r="HNP483" s="299"/>
      <c r="HNQ483" s="299"/>
      <c r="HNR483" s="299"/>
      <c r="HNS483" s="299"/>
      <c r="HNT483" s="299"/>
      <c r="HNU483" s="299"/>
      <c r="HNV483" s="299"/>
      <c r="HNW483" s="299"/>
      <c r="HNX483" s="299"/>
      <c r="HNY483" s="299"/>
      <c r="HNZ483" s="299"/>
      <c r="HOA483" s="299"/>
      <c r="HOB483" s="299"/>
      <c r="HOC483" s="299"/>
      <c r="HOD483" s="299"/>
      <c r="HOE483" s="299"/>
      <c r="HOF483" s="299"/>
      <c r="HOG483" s="299"/>
      <c r="HOH483" s="299"/>
      <c r="HOI483" s="299"/>
      <c r="HOJ483" s="299"/>
      <c r="HOK483" s="299"/>
      <c r="HOL483" s="299"/>
      <c r="HOM483" s="299"/>
      <c r="HON483" s="299"/>
      <c r="HOO483" s="299"/>
      <c r="HOP483" s="299"/>
      <c r="HOQ483" s="299"/>
      <c r="HOR483" s="299"/>
      <c r="HOS483" s="299"/>
      <c r="HOT483" s="299"/>
      <c r="HOU483" s="299"/>
      <c r="HOV483" s="299"/>
      <c r="HOW483" s="299"/>
      <c r="HOX483" s="299"/>
      <c r="HOY483" s="299"/>
      <c r="HOZ483" s="299"/>
      <c r="HPA483" s="299"/>
      <c r="HPB483" s="299"/>
      <c r="HPC483" s="299"/>
      <c r="HPD483" s="299"/>
      <c r="HPE483" s="299"/>
      <c r="HPF483" s="299"/>
      <c r="HPG483" s="299"/>
      <c r="HPH483" s="299"/>
      <c r="HPI483" s="299"/>
      <c r="HPJ483" s="299"/>
      <c r="HPK483" s="299"/>
      <c r="HPL483" s="299"/>
      <c r="HPM483" s="299"/>
      <c r="HPN483" s="299"/>
      <c r="HPO483" s="299"/>
      <c r="HPP483" s="299"/>
      <c r="HPQ483" s="299"/>
      <c r="HPR483" s="299"/>
      <c r="HPS483" s="299"/>
      <c r="HPT483" s="299"/>
      <c r="HPU483" s="299"/>
      <c r="HPV483" s="299"/>
      <c r="HPW483" s="299"/>
      <c r="HPX483" s="299"/>
      <c r="HPY483" s="299"/>
      <c r="HPZ483" s="299"/>
      <c r="HQA483" s="299"/>
      <c r="HQB483" s="299"/>
      <c r="HQC483" s="299"/>
      <c r="HQD483" s="299"/>
      <c r="HQE483" s="299"/>
      <c r="HQF483" s="299"/>
      <c r="HQG483" s="299"/>
      <c r="HQH483" s="299"/>
      <c r="HQI483" s="299"/>
      <c r="HQJ483" s="299"/>
      <c r="HQK483" s="299"/>
      <c r="HQL483" s="299"/>
      <c r="HQM483" s="299"/>
      <c r="HQN483" s="299"/>
      <c r="HQO483" s="299"/>
      <c r="HQP483" s="299"/>
      <c r="HQQ483" s="299"/>
      <c r="HQR483" s="299"/>
      <c r="HQS483" s="299"/>
      <c r="HQT483" s="299"/>
      <c r="HQU483" s="299"/>
      <c r="HQV483" s="299"/>
      <c r="HQW483" s="299"/>
      <c r="HQX483" s="299"/>
      <c r="HQY483" s="299"/>
      <c r="HQZ483" s="299"/>
      <c r="HRA483" s="299"/>
      <c r="HRB483" s="299"/>
      <c r="HRC483" s="299"/>
      <c r="HRD483" s="299"/>
      <c r="HRE483" s="299"/>
      <c r="HRF483" s="299"/>
      <c r="HRG483" s="299"/>
      <c r="HRH483" s="299"/>
      <c r="HRI483" s="299"/>
      <c r="HRJ483" s="299"/>
      <c r="HRK483" s="299"/>
      <c r="HRL483" s="299"/>
      <c r="HRM483" s="299"/>
      <c r="HRN483" s="299"/>
      <c r="HRO483" s="299"/>
      <c r="HRP483" s="299"/>
      <c r="HRQ483" s="299"/>
      <c r="HRR483" s="299"/>
      <c r="HRS483" s="299"/>
      <c r="HRT483" s="299"/>
      <c r="HRU483" s="299"/>
      <c r="HRV483" s="299"/>
      <c r="HRW483" s="299"/>
      <c r="HRX483" s="299"/>
      <c r="HRY483" s="299"/>
      <c r="HRZ483" s="299"/>
      <c r="HSA483" s="299"/>
      <c r="HSB483" s="299"/>
      <c r="HSC483" s="299"/>
      <c r="HSD483" s="299"/>
      <c r="HSE483" s="299"/>
      <c r="HSF483" s="299"/>
      <c r="HSG483" s="299"/>
      <c r="HSH483" s="299"/>
      <c r="HSI483" s="299"/>
      <c r="HSJ483" s="299"/>
      <c r="HSK483" s="299"/>
      <c r="HSL483" s="299"/>
      <c r="HSM483" s="299"/>
      <c r="HSN483" s="299"/>
      <c r="HSO483" s="299"/>
      <c r="HSP483" s="299"/>
      <c r="HSQ483" s="299"/>
      <c r="HSR483" s="299"/>
      <c r="HSS483" s="299"/>
      <c r="HST483" s="299"/>
      <c r="HSU483" s="299"/>
      <c r="HSV483" s="299"/>
      <c r="HSW483" s="299"/>
      <c r="HSX483" s="299"/>
      <c r="HSY483" s="299"/>
      <c r="HSZ483" s="299"/>
      <c r="HTA483" s="299"/>
      <c r="HTB483" s="299"/>
      <c r="HTC483" s="299"/>
      <c r="HTD483" s="299"/>
      <c r="HTE483" s="299"/>
      <c r="HTF483" s="299"/>
      <c r="HTG483" s="299"/>
      <c r="HTH483" s="299"/>
      <c r="HTI483" s="299"/>
      <c r="HTJ483" s="299"/>
      <c r="HTK483" s="299"/>
      <c r="HTL483" s="299"/>
      <c r="HTM483" s="299"/>
      <c r="HTN483" s="299"/>
      <c r="HTO483" s="299"/>
      <c r="HTP483" s="299"/>
      <c r="HTQ483" s="299"/>
      <c r="HTR483" s="299"/>
      <c r="HTS483" s="299"/>
      <c r="HTT483" s="299"/>
      <c r="HTU483" s="299"/>
      <c r="HTV483" s="299"/>
      <c r="HTW483" s="299"/>
      <c r="HTX483" s="299"/>
      <c r="HTY483" s="299"/>
      <c r="HTZ483" s="299"/>
      <c r="HUA483" s="299"/>
      <c r="HUB483" s="299"/>
      <c r="HUC483" s="299"/>
      <c r="HUD483" s="299"/>
      <c r="HUE483" s="299"/>
      <c r="HUF483" s="299"/>
      <c r="HUG483" s="299"/>
      <c r="HUH483" s="299"/>
      <c r="HUI483" s="299"/>
      <c r="HUJ483" s="299"/>
      <c r="HUK483" s="299"/>
      <c r="HUL483" s="299"/>
      <c r="HUM483" s="299"/>
      <c r="HUN483" s="299"/>
      <c r="HUO483" s="299"/>
      <c r="HUP483" s="299"/>
      <c r="HUQ483" s="299"/>
      <c r="HUR483" s="299"/>
      <c r="HUS483" s="299"/>
      <c r="HUT483" s="299"/>
      <c r="HUU483" s="299"/>
      <c r="HUV483" s="299"/>
      <c r="HUW483" s="299"/>
      <c r="HUX483" s="299"/>
      <c r="HUY483" s="299"/>
      <c r="HUZ483" s="299"/>
      <c r="HVA483" s="299"/>
      <c r="HVB483" s="299"/>
      <c r="HVC483" s="299"/>
      <c r="HVD483" s="299"/>
      <c r="HVE483" s="299"/>
      <c r="HVF483" s="299"/>
      <c r="HVG483" s="299"/>
      <c r="HVH483" s="299"/>
      <c r="HVI483" s="299"/>
      <c r="HVJ483" s="299"/>
      <c r="HVK483" s="299"/>
      <c r="HVL483" s="299"/>
      <c r="HVM483" s="299"/>
      <c r="HVN483" s="299"/>
      <c r="HVO483" s="299"/>
      <c r="HVP483" s="299"/>
      <c r="HVQ483" s="299"/>
      <c r="HVR483" s="299"/>
      <c r="HVS483" s="299"/>
      <c r="HVT483" s="299"/>
      <c r="HVU483" s="299"/>
      <c r="HVV483" s="299"/>
      <c r="HVW483" s="299"/>
      <c r="HVX483" s="299"/>
      <c r="HVY483" s="299"/>
      <c r="HVZ483" s="299"/>
      <c r="HWA483" s="299"/>
      <c r="HWB483" s="299"/>
      <c r="HWC483" s="299"/>
      <c r="HWD483" s="299"/>
      <c r="HWE483" s="299"/>
      <c r="HWF483" s="299"/>
      <c r="HWG483" s="299"/>
      <c r="HWH483" s="299"/>
      <c r="HWI483" s="299"/>
      <c r="HWJ483" s="299"/>
      <c r="HWK483" s="299"/>
      <c r="HWL483" s="299"/>
      <c r="HWM483" s="299"/>
      <c r="HWN483" s="299"/>
      <c r="HWO483" s="299"/>
      <c r="HWP483" s="299"/>
      <c r="HWQ483" s="299"/>
      <c r="HWR483" s="299"/>
      <c r="HWS483" s="299"/>
      <c r="HWT483" s="299"/>
      <c r="HWU483" s="299"/>
      <c r="HWV483" s="299"/>
      <c r="HWW483" s="299"/>
      <c r="HWX483" s="299"/>
      <c r="HWY483" s="299"/>
      <c r="HWZ483" s="299"/>
      <c r="HXA483" s="299"/>
      <c r="HXB483" s="299"/>
      <c r="HXC483" s="299"/>
      <c r="HXD483" s="299"/>
      <c r="HXE483" s="299"/>
      <c r="HXF483" s="299"/>
      <c r="HXG483" s="299"/>
      <c r="HXH483" s="299"/>
      <c r="HXI483" s="299"/>
      <c r="HXJ483" s="299"/>
      <c r="HXK483" s="299"/>
      <c r="HXL483" s="299"/>
      <c r="HXM483" s="299"/>
      <c r="HXN483" s="299"/>
      <c r="HXO483" s="299"/>
      <c r="HXP483" s="299"/>
      <c r="HXQ483" s="299"/>
      <c r="HXR483" s="299"/>
      <c r="HXS483" s="299"/>
      <c r="HXT483" s="299"/>
      <c r="HXU483" s="299"/>
      <c r="HXV483" s="299"/>
      <c r="HXW483" s="299"/>
      <c r="HXX483" s="299"/>
      <c r="HXY483" s="299"/>
      <c r="HXZ483" s="299"/>
      <c r="HYA483" s="299"/>
      <c r="HYB483" s="299"/>
      <c r="HYC483" s="299"/>
      <c r="HYD483" s="299"/>
      <c r="HYE483" s="299"/>
      <c r="HYF483" s="299"/>
      <c r="HYG483" s="299"/>
      <c r="HYH483" s="299"/>
      <c r="HYI483" s="299"/>
      <c r="HYJ483" s="299"/>
      <c r="HYK483" s="299"/>
      <c r="HYL483" s="299"/>
      <c r="HYM483" s="299"/>
      <c r="HYN483" s="299"/>
      <c r="HYO483" s="299"/>
      <c r="HYP483" s="299"/>
      <c r="HYQ483" s="299"/>
      <c r="HYR483" s="299"/>
      <c r="HYS483" s="299"/>
      <c r="HYT483" s="299"/>
      <c r="HYU483" s="299"/>
      <c r="HYV483" s="299"/>
      <c r="HYW483" s="299"/>
      <c r="HYX483" s="299"/>
      <c r="HYY483" s="299"/>
      <c r="HYZ483" s="299"/>
      <c r="HZA483" s="299"/>
      <c r="HZB483" s="299"/>
      <c r="HZC483" s="299"/>
      <c r="HZD483" s="299"/>
      <c r="HZE483" s="299"/>
      <c r="HZF483" s="299"/>
      <c r="HZG483" s="299"/>
      <c r="HZH483" s="299"/>
      <c r="HZI483" s="299"/>
      <c r="HZJ483" s="299"/>
      <c r="HZK483" s="299"/>
      <c r="HZL483" s="299"/>
      <c r="HZM483" s="299"/>
      <c r="HZN483" s="299"/>
      <c r="HZO483" s="299"/>
      <c r="HZP483" s="299"/>
      <c r="HZQ483" s="299"/>
      <c r="HZR483" s="299"/>
      <c r="HZS483" s="299"/>
      <c r="HZT483" s="299"/>
      <c r="HZU483" s="299"/>
      <c r="HZV483" s="299"/>
      <c r="HZW483" s="299"/>
      <c r="HZX483" s="299"/>
      <c r="HZY483" s="299"/>
      <c r="HZZ483" s="299"/>
      <c r="IAA483" s="299"/>
      <c r="IAB483" s="299"/>
      <c r="IAC483" s="299"/>
      <c r="IAD483" s="299"/>
      <c r="IAE483" s="299"/>
      <c r="IAF483" s="299"/>
      <c r="IAG483" s="299"/>
      <c r="IAH483" s="299"/>
      <c r="IAI483" s="299"/>
      <c r="IAJ483" s="299"/>
      <c r="IAK483" s="299"/>
      <c r="IAL483" s="299"/>
      <c r="IAM483" s="299"/>
      <c r="IAN483" s="299"/>
      <c r="IAO483" s="299"/>
      <c r="IAP483" s="299"/>
      <c r="IAQ483" s="299"/>
      <c r="IAR483" s="299"/>
      <c r="IAS483" s="299"/>
      <c r="IAT483" s="299"/>
      <c r="IAU483" s="299"/>
      <c r="IAV483" s="299"/>
      <c r="IAW483" s="299"/>
      <c r="IAX483" s="299"/>
      <c r="IAY483" s="299"/>
      <c r="IAZ483" s="299"/>
      <c r="IBA483" s="299"/>
      <c r="IBB483" s="299"/>
      <c r="IBC483" s="299"/>
      <c r="IBD483" s="299"/>
      <c r="IBE483" s="299"/>
      <c r="IBF483" s="299"/>
      <c r="IBG483" s="299"/>
      <c r="IBH483" s="299"/>
      <c r="IBI483" s="299"/>
      <c r="IBJ483" s="299"/>
      <c r="IBK483" s="299"/>
      <c r="IBL483" s="299"/>
      <c r="IBM483" s="299"/>
      <c r="IBN483" s="299"/>
      <c r="IBO483" s="299"/>
      <c r="IBP483" s="299"/>
      <c r="IBQ483" s="299"/>
      <c r="IBR483" s="299"/>
      <c r="IBS483" s="299"/>
      <c r="IBT483" s="299"/>
      <c r="IBU483" s="299"/>
      <c r="IBV483" s="299"/>
      <c r="IBW483" s="299"/>
      <c r="IBX483" s="299"/>
      <c r="IBY483" s="299"/>
      <c r="IBZ483" s="299"/>
      <c r="ICA483" s="299"/>
      <c r="ICB483" s="299"/>
      <c r="ICC483" s="299"/>
      <c r="ICD483" s="299"/>
      <c r="ICE483" s="299"/>
      <c r="ICF483" s="299"/>
      <c r="ICG483" s="299"/>
      <c r="ICH483" s="299"/>
      <c r="ICI483" s="299"/>
      <c r="ICJ483" s="299"/>
      <c r="ICK483" s="299"/>
      <c r="ICL483" s="299"/>
      <c r="ICM483" s="299"/>
      <c r="ICN483" s="299"/>
      <c r="ICO483" s="299"/>
      <c r="ICP483" s="299"/>
      <c r="ICQ483" s="299"/>
      <c r="ICR483" s="299"/>
      <c r="ICS483" s="299"/>
      <c r="ICT483" s="299"/>
      <c r="ICU483" s="299"/>
      <c r="ICV483" s="299"/>
      <c r="ICW483" s="299"/>
      <c r="ICX483" s="299"/>
      <c r="ICY483" s="299"/>
      <c r="ICZ483" s="299"/>
      <c r="IDA483" s="299"/>
      <c r="IDB483" s="299"/>
      <c r="IDC483" s="299"/>
      <c r="IDD483" s="299"/>
      <c r="IDE483" s="299"/>
      <c r="IDF483" s="299"/>
      <c r="IDG483" s="299"/>
      <c r="IDH483" s="299"/>
      <c r="IDI483" s="299"/>
      <c r="IDJ483" s="299"/>
      <c r="IDK483" s="299"/>
      <c r="IDL483" s="299"/>
      <c r="IDM483" s="299"/>
      <c r="IDN483" s="299"/>
      <c r="IDO483" s="299"/>
      <c r="IDP483" s="299"/>
      <c r="IDQ483" s="299"/>
      <c r="IDR483" s="299"/>
      <c r="IDS483" s="299"/>
      <c r="IDT483" s="299"/>
      <c r="IDU483" s="299"/>
      <c r="IDV483" s="299"/>
      <c r="IDW483" s="299"/>
      <c r="IDX483" s="299"/>
      <c r="IDY483" s="299"/>
      <c r="IDZ483" s="299"/>
      <c r="IEA483" s="299"/>
      <c r="IEB483" s="299"/>
      <c r="IEC483" s="299"/>
      <c r="IED483" s="299"/>
      <c r="IEE483" s="299"/>
      <c r="IEF483" s="299"/>
      <c r="IEG483" s="299"/>
      <c r="IEH483" s="299"/>
      <c r="IEI483" s="299"/>
      <c r="IEJ483" s="299"/>
      <c r="IEK483" s="299"/>
      <c r="IEL483" s="299"/>
      <c r="IEM483" s="299"/>
      <c r="IEN483" s="299"/>
      <c r="IEO483" s="299"/>
      <c r="IEP483" s="299"/>
      <c r="IEQ483" s="299"/>
      <c r="IER483" s="299"/>
      <c r="IES483" s="299"/>
      <c r="IET483" s="299"/>
      <c r="IEU483" s="299"/>
      <c r="IEV483" s="299"/>
      <c r="IEW483" s="299"/>
      <c r="IEX483" s="299"/>
      <c r="IEY483" s="299"/>
      <c r="IEZ483" s="299"/>
      <c r="IFA483" s="299"/>
      <c r="IFB483" s="299"/>
      <c r="IFC483" s="299"/>
      <c r="IFD483" s="299"/>
      <c r="IFE483" s="299"/>
      <c r="IFF483" s="299"/>
      <c r="IFG483" s="299"/>
      <c r="IFH483" s="299"/>
      <c r="IFI483" s="299"/>
      <c r="IFJ483" s="299"/>
      <c r="IFK483" s="299"/>
      <c r="IFL483" s="299"/>
      <c r="IFM483" s="299"/>
      <c r="IFN483" s="299"/>
      <c r="IFO483" s="299"/>
      <c r="IFP483" s="299"/>
      <c r="IFQ483" s="299"/>
      <c r="IFR483" s="299"/>
      <c r="IFS483" s="299"/>
      <c r="IFT483" s="299"/>
      <c r="IFU483" s="299"/>
      <c r="IFV483" s="299"/>
      <c r="IFW483" s="299"/>
      <c r="IFX483" s="299"/>
      <c r="IFY483" s="299"/>
      <c r="IFZ483" s="299"/>
      <c r="IGA483" s="299"/>
      <c r="IGB483" s="299"/>
      <c r="IGC483" s="299"/>
      <c r="IGD483" s="299"/>
      <c r="IGE483" s="299"/>
      <c r="IGF483" s="299"/>
      <c r="IGG483" s="299"/>
      <c r="IGH483" s="299"/>
      <c r="IGI483" s="299"/>
      <c r="IGJ483" s="299"/>
      <c r="IGK483" s="299"/>
      <c r="IGL483" s="299"/>
      <c r="IGM483" s="299"/>
      <c r="IGN483" s="299"/>
      <c r="IGO483" s="299"/>
      <c r="IGP483" s="299"/>
      <c r="IGQ483" s="299"/>
      <c r="IGR483" s="299"/>
      <c r="IGS483" s="299"/>
      <c r="IGT483" s="299"/>
      <c r="IGU483" s="299"/>
      <c r="IGV483" s="299"/>
      <c r="IGW483" s="299"/>
      <c r="IGX483" s="299"/>
      <c r="IGY483" s="299"/>
      <c r="IGZ483" s="299"/>
      <c r="IHA483" s="299"/>
      <c r="IHB483" s="299"/>
      <c r="IHC483" s="299"/>
      <c r="IHD483" s="299"/>
      <c r="IHE483" s="299"/>
      <c r="IHF483" s="299"/>
      <c r="IHG483" s="299"/>
      <c r="IHH483" s="299"/>
      <c r="IHI483" s="299"/>
      <c r="IHJ483" s="299"/>
      <c r="IHK483" s="299"/>
      <c r="IHL483" s="299"/>
      <c r="IHM483" s="299"/>
      <c r="IHN483" s="299"/>
      <c r="IHO483" s="299"/>
      <c r="IHP483" s="299"/>
      <c r="IHQ483" s="299"/>
      <c r="IHR483" s="299"/>
      <c r="IHS483" s="299"/>
      <c r="IHT483" s="299"/>
      <c r="IHU483" s="299"/>
      <c r="IHV483" s="299"/>
      <c r="IHW483" s="299"/>
      <c r="IHX483" s="299"/>
      <c r="IHY483" s="299"/>
      <c r="IHZ483" s="299"/>
      <c r="IIA483" s="299"/>
      <c r="IIB483" s="299"/>
      <c r="IIC483" s="299"/>
      <c r="IID483" s="299"/>
      <c r="IIE483" s="299"/>
      <c r="IIF483" s="299"/>
      <c r="IIG483" s="299"/>
      <c r="IIH483" s="299"/>
      <c r="III483" s="299"/>
      <c r="IIJ483" s="299"/>
      <c r="IIK483" s="299"/>
      <c r="IIL483" s="299"/>
      <c r="IIM483" s="299"/>
      <c r="IIN483" s="299"/>
      <c r="IIO483" s="299"/>
      <c r="IIP483" s="299"/>
      <c r="IIQ483" s="299"/>
      <c r="IIR483" s="299"/>
      <c r="IIS483" s="299"/>
      <c r="IIT483" s="299"/>
      <c r="IIU483" s="299"/>
      <c r="IIV483" s="299"/>
      <c r="IIW483" s="299"/>
      <c r="IIX483" s="299"/>
      <c r="IIY483" s="299"/>
      <c r="IIZ483" s="299"/>
      <c r="IJA483" s="299"/>
      <c r="IJB483" s="299"/>
      <c r="IJC483" s="299"/>
      <c r="IJD483" s="299"/>
      <c r="IJE483" s="299"/>
      <c r="IJF483" s="299"/>
      <c r="IJG483" s="299"/>
      <c r="IJH483" s="299"/>
      <c r="IJI483" s="299"/>
      <c r="IJJ483" s="299"/>
      <c r="IJK483" s="299"/>
      <c r="IJL483" s="299"/>
      <c r="IJM483" s="299"/>
      <c r="IJN483" s="299"/>
      <c r="IJO483" s="299"/>
      <c r="IJP483" s="299"/>
      <c r="IJQ483" s="299"/>
      <c r="IJR483" s="299"/>
      <c r="IJS483" s="299"/>
      <c r="IJT483" s="299"/>
      <c r="IJU483" s="299"/>
      <c r="IJV483" s="299"/>
      <c r="IJW483" s="299"/>
      <c r="IJX483" s="299"/>
      <c r="IJY483" s="299"/>
      <c r="IJZ483" s="299"/>
      <c r="IKA483" s="299"/>
      <c r="IKB483" s="299"/>
      <c r="IKC483" s="299"/>
      <c r="IKD483" s="299"/>
      <c r="IKE483" s="299"/>
      <c r="IKF483" s="299"/>
      <c r="IKG483" s="299"/>
      <c r="IKH483" s="299"/>
      <c r="IKI483" s="299"/>
      <c r="IKJ483" s="299"/>
      <c r="IKK483" s="299"/>
      <c r="IKL483" s="299"/>
      <c r="IKM483" s="299"/>
      <c r="IKN483" s="299"/>
      <c r="IKO483" s="299"/>
      <c r="IKP483" s="299"/>
      <c r="IKQ483" s="299"/>
      <c r="IKR483" s="299"/>
      <c r="IKS483" s="299"/>
      <c r="IKT483" s="299"/>
      <c r="IKU483" s="299"/>
      <c r="IKV483" s="299"/>
      <c r="IKW483" s="299"/>
      <c r="IKX483" s="299"/>
      <c r="IKY483" s="299"/>
      <c r="IKZ483" s="299"/>
      <c r="ILA483" s="299"/>
      <c r="ILB483" s="299"/>
      <c r="ILC483" s="299"/>
      <c r="ILD483" s="299"/>
      <c r="ILE483" s="299"/>
      <c r="ILF483" s="299"/>
      <c r="ILG483" s="299"/>
      <c r="ILH483" s="299"/>
      <c r="ILI483" s="299"/>
      <c r="ILJ483" s="299"/>
      <c r="ILK483" s="299"/>
      <c r="ILL483" s="299"/>
      <c r="ILM483" s="299"/>
      <c r="ILN483" s="299"/>
      <c r="ILO483" s="299"/>
      <c r="ILP483" s="299"/>
      <c r="ILQ483" s="299"/>
      <c r="ILR483" s="299"/>
      <c r="ILS483" s="299"/>
      <c r="ILT483" s="299"/>
      <c r="ILU483" s="299"/>
      <c r="ILV483" s="299"/>
      <c r="ILW483" s="299"/>
      <c r="ILX483" s="299"/>
      <c r="ILY483" s="299"/>
      <c r="ILZ483" s="299"/>
      <c r="IMA483" s="299"/>
      <c r="IMB483" s="299"/>
      <c r="IMC483" s="299"/>
      <c r="IMD483" s="299"/>
      <c r="IME483" s="299"/>
      <c r="IMF483" s="299"/>
      <c r="IMG483" s="299"/>
      <c r="IMH483" s="299"/>
      <c r="IMI483" s="299"/>
      <c r="IMJ483" s="299"/>
      <c r="IMK483" s="299"/>
      <c r="IML483" s="299"/>
      <c r="IMM483" s="299"/>
      <c r="IMN483" s="299"/>
      <c r="IMO483" s="299"/>
      <c r="IMP483" s="299"/>
      <c r="IMQ483" s="299"/>
      <c r="IMR483" s="299"/>
      <c r="IMS483" s="299"/>
      <c r="IMT483" s="299"/>
      <c r="IMU483" s="299"/>
      <c r="IMV483" s="299"/>
      <c r="IMW483" s="299"/>
      <c r="IMX483" s="299"/>
      <c r="IMY483" s="299"/>
      <c r="IMZ483" s="299"/>
      <c r="INA483" s="299"/>
      <c r="INB483" s="299"/>
      <c r="INC483" s="299"/>
      <c r="IND483" s="299"/>
      <c r="INE483" s="299"/>
      <c r="INF483" s="299"/>
      <c r="ING483" s="299"/>
      <c r="INH483" s="299"/>
      <c r="INI483" s="299"/>
      <c r="INJ483" s="299"/>
      <c r="INK483" s="299"/>
      <c r="INL483" s="299"/>
      <c r="INM483" s="299"/>
      <c r="INN483" s="299"/>
      <c r="INO483" s="299"/>
      <c r="INP483" s="299"/>
      <c r="INQ483" s="299"/>
      <c r="INR483" s="299"/>
      <c r="INS483" s="299"/>
      <c r="INT483" s="299"/>
      <c r="INU483" s="299"/>
      <c r="INV483" s="299"/>
      <c r="INW483" s="299"/>
      <c r="INX483" s="299"/>
      <c r="INY483" s="299"/>
      <c r="INZ483" s="299"/>
      <c r="IOA483" s="299"/>
      <c r="IOB483" s="299"/>
      <c r="IOC483" s="299"/>
      <c r="IOD483" s="299"/>
      <c r="IOE483" s="299"/>
      <c r="IOF483" s="299"/>
      <c r="IOG483" s="299"/>
      <c r="IOH483" s="299"/>
      <c r="IOI483" s="299"/>
      <c r="IOJ483" s="299"/>
      <c r="IOK483" s="299"/>
      <c r="IOL483" s="299"/>
      <c r="IOM483" s="299"/>
      <c r="ION483" s="299"/>
      <c r="IOO483" s="299"/>
      <c r="IOP483" s="299"/>
      <c r="IOQ483" s="299"/>
      <c r="IOR483" s="299"/>
      <c r="IOS483" s="299"/>
      <c r="IOT483" s="299"/>
      <c r="IOU483" s="299"/>
      <c r="IOV483" s="299"/>
      <c r="IOW483" s="299"/>
      <c r="IOX483" s="299"/>
      <c r="IOY483" s="299"/>
      <c r="IOZ483" s="299"/>
      <c r="IPA483" s="299"/>
      <c r="IPB483" s="299"/>
      <c r="IPC483" s="299"/>
      <c r="IPD483" s="299"/>
      <c r="IPE483" s="299"/>
      <c r="IPF483" s="299"/>
      <c r="IPG483" s="299"/>
      <c r="IPH483" s="299"/>
      <c r="IPI483" s="299"/>
      <c r="IPJ483" s="299"/>
      <c r="IPK483" s="299"/>
      <c r="IPL483" s="299"/>
      <c r="IPM483" s="299"/>
      <c r="IPN483" s="299"/>
      <c r="IPO483" s="299"/>
      <c r="IPP483" s="299"/>
      <c r="IPQ483" s="299"/>
      <c r="IPR483" s="299"/>
      <c r="IPS483" s="299"/>
      <c r="IPT483" s="299"/>
      <c r="IPU483" s="299"/>
      <c r="IPV483" s="299"/>
      <c r="IPW483" s="299"/>
      <c r="IPX483" s="299"/>
      <c r="IPY483" s="299"/>
      <c r="IPZ483" s="299"/>
      <c r="IQA483" s="299"/>
      <c r="IQB483" s="299"/>
      <c r="IQC483" s="299"/>
      <c r="IQD483" s="299"/>
      <c r="IQE483" s="299"/>
      <c r="IQF483" s="299"/>
      <c r="IQG483" s="299"/>
      <c r="IQH483" s="299"/>
      <c r="IQI483" s="299"/>
      <c r="IQJ483" s="299"/>
      <c r="IQK483" s="299"/>
      <c r="IQL483" s="299"/>
      <c r="IQM483" s="299"/>
      <c r="IQN483" s="299"/>
      <c r="IQO483" s="299"/>
      <c r="IQP483" s="299"/>
      <c r="IQQ483" s="299"/>
      <c r="IQR483" s="299"/>
      <c r="IQS483" s="299"/>
      <c r="IQT483" s="299"/>
      <c r="IQU483" s="299"/>
      <c r="IQV483" s="299"/>
      <c r="IQW483" s="299"/>
      <c r="IQX483" s="299"/>
      <c r="IQY483" s="299"/>
      <c r="IQZ483" s="299"/>
      <c r="IRA483" s="299"/>
      <c r="IRB483" s="299"/>
      <c r="IRC483" s="299"/>
      <c r="IRD483" s="299"/>
      <c r="IRE483" s="299"/>
      <c r="IRF483" s="299"/>
      <c r="IRG483" s="299"/>
      <c r="IRH483" s="299"/>
      <c r="IRI483" s="299"/>
      <c r="IRJ483" s="299"/>
      <c r="IRK483" s="299"/>
      <c r="IRL483" s="299"/>
      <c r="IRM483" s="299"/>
      <c r="IRN483" s="299"/>
      <c r="IRO483" s="299"/>
      <c r="IRP483" s="299"/>
      <c r="IRQ483" s="299"/>
      <c r="IRR483" s="299"/>
      <c r="IRS483" s="299"/>
      <c r="IRT483" s="299"/>
      <c r="IRU483" s="299"/>
      <c r="IRV483" s="299"/>
      <c r="IRW483" s="299"/>
      <c r="IRX483" s="299"/>
      <c r="IRY483" s="299"/>
      <c r="IRZ483" s="299"/>
      <c r="ISA483" s="299"/>
      <c r="ISB483" s="299"/>
      <c r="ISC483" s="299"/>
      <c r="ISD483" s="299"/>
      <c r="ISE483" s="299"/>
      <c r="ISF483" s="299"/>
      <c r="ISG483" s="299"/>
      <c r="ISH483" s="299"/>
      <c r="ISI483" s="299"/>
      <c r="ISJ483" s="299"/>
      <c r="ISK483" s="299"/>
      <c r="ISL483" s="299"/>
      <c r="ISM483" s="299"/>
      <c r="ISN483" s="299"/>
      <c r="ISO483" s="299"/>
      <c r="ISP483" s="299"/>
      <c r="ISQ483" s="299"/>
      <c r="ISR483" s="299"/>
      <c r="ISS483" s="299"/>
      <c r="IST483" s="299"/>
      <c r="ISU483" s="299"/>
      <c r="ISV483" s="299"/>
      <c r="ISW483" s="299"/>
      <c r="ISX483" s="299"/>
      <c r="ISY483" s="299"/>
      <c r="ISZ483" s="299"/>
      <c r="ITA483" s="299"/>
      <c r="ITB483" s="299"/>
      <c r="ITC483" s="299"/>
      <c r="ITD483" s="299"/>
      <c r="ITE483" s="299"/>
      <c r="ITF483" s="299"/>
      <c r="ITG483" s="299"/>
      <c r="ITH483" s="299"/>
      <c r="ITI483" s="299"/>
      <c r="ITJ483" s="299"/>
      <c r="ITK483" s="299"/>
      <c r="ITL483" s="299"/>
      <c r="ITM483" s="299"/>
      <c r="ITN483" s="299"/>
      <c r="ITO483" s="299"/>
      <c r="ITP483" s="299"/>
      <c r="ITQ483" s="299"/>
      <c r="ITR483" s="299"/>
      <c r="ITS483" s="299"/>
      <c r="ITT483" s="299"/>
      <c r="ITU483" s="299"/>
      <c r="ITV483" s="299"/>
      <c r="ITW483" s="299"/>
      <c r="ITX483" s="299"/>
      <c r="ITY483" s="299"/>
      <c r="ITZ483" s="299"/>
      <c r="IUA483" s="299"/>
      <c r="IUB483" s="299"/>
      <c r="IUC483" s="299"/>
      <c r="IUD483" s="299"/>
      <c r="IUE483" s="299"/>
      <c r="IUF483" s="299"/>
      <c r="IUG483" s="299"/>
      <c r="IUH483" s="299"/>
      <c r="IUI483" s="299"/>
      <c r="IUJ483" s="299"/>
      <c r="IUK483" s="299"/>
      <c r="IUL483" s="299"/>
      <c r="IUM483" s="299"/>
      <c r="IUN483" s="299"/>
      <c r="IUO483" s="299"/>
      <c r="IUP483" s="299"/>
      <c r="IUQ483" s="299"/>
      <c r="IUR483" s="299"/>
      <c r="IUS483" s="299"/>
      <c r="IUT483" s="299"/>
      <c r="IUU483" s="299"/>
      <c r="IUV483" s="299"/>
      <c r="IUW483" s="299"/>
      <c r="IUX483" s="299"/>
      <c r="IUY483" s="299"/>
      <c r="IUZ483" s="299"/>
      <c r="IVA483" s="299"/>
      <c r="IVB483" s="299"/>
      <c r="IVC483" s="299"/>
      <c r="IVD483" s="299"/>
      <c r="IVE483" s="299"/>
      <c r="IVF483" s="299"/>
      <c r="IVG483" s="299"/>
      <c r="IVH483" s="299"/>
      <c r="IVI483" s="299"/>
      <c r="IVJ483" s="299"/>
      <c r="IVK483" s="299"/>
      <c r="IVL483" s="299"/>
      <c r="IVM483" s="299"/>
      <c r="IVN483" s="299"/>
      <c r="IVO483" s="299"/>
      <c r="IVP483" s="299"/>
      <c r="IVQ483" s="299"/>
      <c r="IVR483" s="299"/>
      <c r="IVS483" s="299"/>
      <c r="IVT483" s="299"/>
      <c r="IVU483" s="299"/>
      <c r="IVV483" s="299"/>
      <c r="IVW483" s="299"/>
      <c r="IVX483" s="299"/>
      <c r="IVY483" s="299"/>
      <c r="IVZ483" s="299"/>
      <c r="IWA483" s="299"/>
      <c r="IWB483" s="299"/>
      <c r="IWC483" s="299"/>
      <c r="IWD483" s="299"/>
      <c r="IWE483" s="299"/>
      <c r="IWF483" s="299"/>
      <c r="IWG483" s="299"/>
      <c r="IWH483" s="299"/>
      <c r="IWI483" s="299"/>
      <c r="IWJ483" s="299"/>
      <c r="IWK483" s="299"/>
      <c r="IWL483" s="299"/>
      <c r="IWM483" s="299"/>
      <c r="IWN483" s="299"/>
      <c r="IWO483" s="299"/>
      <c r="IWP483" s="299"/>
      <c r="IWQ483" s="299"/>
      <c r="IWR483" s="299"/>
      <c r="IWS483" s="299"/>
      <c r="IWT483" s="299"/>
      <c r="IWU483" s="299"/>
      <c r="IWV483" s="299"/>
      <c r="IWW483" s="299"/>
      <c r="IWX483" s="299"/>
      <c r="IWY483" s="299"/>
      <c r="IWZ483" s="299"/>
      <c r="IXA483" s="299"/>
      <c r="IXB483" s="299"/>
      <c r="IXC483" s="299"/>
      <c r="IXD483" s="299"/>
      <c r="IXE483" s="299"/>
      <c r="IXF483" s="299"/>
      <c r="IXG483" s="299"/>
      <c r="IXH483" s="299"/>
      <c r="IXI483" s="299"/>
      <c r="IXJ483" s="299"/>
      <c r="IXK483" s="299"/>
      <c r="IXL483" s="299"/>
      <c r="IXM483" s="299"/>
      <c r="IXN483" s="299"/>
      <c r="IXO483" s="299"/>
      <c r="IXP483" s="299"/>
      <c r="IXQ483" s="299"/>
      <c r="IXR483" s="299"/>
      <c r="IXS483" s="299"/>
      <c r="IXT483" s="299"/>
      <c r="IXU483" s="299"/>
      <c r="IXV483" s="299"/>
      <c r="IXW483" s="299"/>
      <c r="IXX483" s="299"/>
      <c r="IXY483" s="299"/>
      <c r="IXZ483" s="299"/>
      <c r="IYA483" s="299"/>
      <c r="IYB483" s="299"/>
      <c r="IYC483" s="299"/>
      <c r="IYD483" s="299"/>
      <c r="IYE483" s="299"/>
      <c r="IYF483" s="299"/>
      <c r="IYG483" s="299"/>
      <c r="IYH483" s="299"/>
      <c r="IYI483" s="299"/>
      <c r="IYJ483" s="299"/>
      <c r="IYK483" s="299"/>
      <c r="IYL483" s="299"/>
      <c r="IYM483" s="299"/>
      <c r="IYN483" s="299"/>
      <c r="IYO483" s="299"/>
      <c r="IYP483" s="299"/>
      <c r="IYQ483" s="299"/>
      <c r="IYR483" s="299"/>
      <c r="IYS483" s="299"/>
      <c r="IYT483" s="299"/>
      <c r="IYU483" s="299"/>
      <c r="IYV483" s="299"/>
      <c r="IYW483" s="299"/>
      <c r="IYX483" s="299"/>
      <c r="IYY483" s="299"/>
      <c r="IYZ483" s="299"/>
      <c r="IZA483" s="299"/>
      <c r="IZB483" s="299"/>
      <c r="IZC483" s="299"/>
      <c r="IZD483" s="299"/>
      <c r="IZE483" s="299"/>
      <c r="IZF483" s="299"/>
      <c r="IZG483" s="299"/>
      <c r="IZH483" s="299"/>
      <c r="IZI483" s="299"/>
      <c r="IZJ483" s="299"/>
      <c r="IZK483" s="299"/>
      <c r="IZL483" s="299"/>
      <c r="IZM483" s="299"/>
      <c r="IZN483" s="299"/>
      <c r="IZO483" s="299"/>
      <c r="IZP483" s="299"/>
      <c r="IZQ483" s="299"/>
      <c r="IZR483" s="299"/>
      <c r="IZS483" s="299"/>
      <c r="IZT483" s="299"/>
      <c r="IZU483" s="299"/>
      <c r="IZV483" s="299"/>
      <c r="IZW483" s="299"/>
      <c r="IZX483" s="299"/>
      <c r="IZY483" s="299"/>
      <c r="IZZ483" s="299"/>
      <c r="JAA483" s="299"/>
      <c r="JAB483" s="299"/>
      <c r="JAC483" s="299"/>
      <c r="JAD483" s="299"/>
      <c r="JAE483" s="299"/>
      <c r="JAF483" s="299"/>
      <c r="JAG483" s="299"/>
      <c r="JAH483" s="299"/>
      <c r="JAI483" s="299"/>
      <c r="JAJ483" s="299"/>
      <c r="JAK483" s="299"/>
      <c r="JAL483" s="299"/>
      <c r="JAM483" s="299"/>
      <c r="JAN483" s="299"/>
      <c r="JAO483" s="299"/>
      <c r="JAP483" s="299"/>
      <c r="JAQ483" s="299"/>
      <c r="JAR483" s="299"/>
      <c r="JAS483" s="299"/>
      <c r="JAT483" s="299"/>
      <c r="JAU483" s="299"/>
      <c r="JAV483" s="299"/>
      <c r="JAW483" s="299"/>
      <c r="JAX483" s="299"/>
      <c r="JAY483" s="299"/>
      <c r="JAZ483" s="299"/>
      <c r="JBA483" s="299"/>
      <c r="JBB483" s="299"/>
      <c r="JBC483" s="299"/>
      <c r="JBD483" s="299"/>
      <c r="JBE483" s="299"/>
      <c r="JBF483" s="299"/>
      <c r="JBG483" s="299"/>
      <c r="JBH483" s="299"/>
      <c r="JBI483" s="299"/>
      <c r="JBJ483" s="299"/>
      <c r="JBK483" s="299"/>
      <c r="JBL483" s="299"/>
      <c r="JBM483" s="299"/>
      <c r="JBN483" s="299"/>
      <c r="JBO483" s="299"/>
      <c r="JBP483" s="299"/>
      <c r="JBQ483" s="299"/>
      <c r="JBR483" s="299"/>
      <c r="JBS483" s="299"/>
      <c r="JBT483" s="299"/>
      <c r="JBU483" s="299"/>
      <c r="JBV483" s="299"/>
      <c r="JBW483" s="299"/>
      <c r="JBX483" s="299"/>
      <c r="JBY483" s="299"/>
      <c r="JBZ483" s="299"/>
      <c r="JCA483" s="299"/>
      <c r="JCB483" s="299"/>
      <c r="JCC483" s="299"/>
      <c r="JCD483" s="299"/>
      <c r="JCE483" s="299"/>
      <c r="JCF483" s="299"/>
      <c r="JCG483" s="299"/>
      <c r="JCH483" s="299"/>
      <c r="JCI483" s="299"/>
      <c r="JCJ483" s="299"/>
      <c r="JCK483" s="299"/>
      <c r="JCL483" s="299"/>
      <c r="JCM483" s="299"/>
      <c r="JCN483" s="299"/>
      <c r="JCO483" s="299"/>
      <c r="JCP483" s="299"/>
      <c r="JCQ483" s="299"/>
      <c r="JCR483" s="299"/>
      <c r="JCS483" s="299"/>
      <c r="JCT483" s="299"/>
      <c r="JCU483" s="299"/>
      <c r="JCV483" s="299"/>
      <c r="JCW483" s="299"/>
      <c r="JCX483" s="299"/>
      <c r="JCY483" s="299"/>
      <c r="JCZ483" s="299"/>
      <c r="JDA483" s="299"/>
      <c r="JDB483" s="299"/>
      <c r="JDC483" s="299"/>
      <c r="JDD483" s="299"/>
      <c r="JDE483" s="299"/>
      <c r="JDF483" s="299"/>
      <c r="JDG483" s="299"/>
      <c r="JDH483" s="299"/>
      <c r="JDI483" s="299"/>
      <c r="JDJ483" s="299"/>
      <c r="JDK483" s="299"/>
      <c r="JDL483" s="299"/>
      <c r="JDM483" s="299"/>
      <c r="JDN483" s="299"/>
      <c r="JDO483" s="299"/>
      <c r="JDP483" s="299"/>
      <c r="JDQ483" s="299"/>
      <c r="JDR483" s="299"/>
      <c r="JDS483" s="299"/>
      <c r="JDT483" s="299"/>
      <c r="JDU483" s="299"/>
      <c r="JDV483" s="299"/>
      <c r="JDW483" s="299"/>
      <c r="JDX483" s="299"/>
      <c r="JDY483" s="299"/>
      <c r="JDZ483" s="299"/>
      <c r="JEA483" s="299"/>
      <c r="JEB483" s="299"/>
      <c r="JEC483" s="299"/>
      <c r="JED483" s="299"/>
      <c r="JEE483" s="299"/>
      <c r="JEF483" s="299"/>
      <c r="JEG483" s="299"/>
      <c r="JEH483" s="299"/>
      <c r="JEI483" s="299"/>
      <c r="JEJ483" s="299"/>
      <c r="JEK483" s="299"/>
      <c r="JEL483" s="299"/>
      <c r="JEM483" s="299"/>
      <c r="JEN483" s="299"/>
      <c r="JEO483" s="299"/>
      <c r="JEP483" s="299"/>
      <c r="JEQ483" s="299"/>
      <c r="JER483" s="299"/>
      <c r="JES483" s="299"/>
      <c r="JET483" s="299"/>
      <c r="JEU483" s="299"/>
      <c r="JEV483" s="299"/>
      <c r="JEW483" s="299"/>
      <c r="JEX483" s="299"/>
      <c r="JEY483" s="299"/>
      <c r="JEZ483" s="299"/>
      <c r="JFA483" s="299"/>
      <c r="JFB483" s="299"/>
      <c r="JFC483" s="299"/>
      <c r="JFD483" s="299"/>
      <c r="JFE483" s="299"/>
      <c r="JFF483" s="299"/>
      <c r="JFG483" s="299"/>
      <c r="JFH483" s="299"/>
      <c r="JFI483" s="299"/>
      <c r="JFJ483" s="299"/>
      <c r="JFK483" s="299"/>
      <c r="JFL483" s="299"/>
      <c r="JFM483" s="299"/>
      <c r="JFN483" s="299"/>
      <c r="JFO483" s="299"/>
      <c r="JFP483" s="299"/>
      <c r="JFQ483" s="299"/>
      <c r="JFR483" s="299"/>
      <c r="JFS483" s="299"/>
      <c r="JFT483" s="299"/>
      <c r="JFU483" s="299"/>
      <c r="JFV483" s="299"/>
      <c r="JFW483" s="299"/>
      <c r="JFX483" s="299"/>
      <c r="JFY483" s="299"/>
      <c r="JFZ483" s="299"/>
      <c r="JGA483" s="299"/>
      <c r="JGB483" s="299"/>
      <c r="JGC483" s="299"/>
      <c r="JGD483" s="299"/>
      <c r="JGE483" s="299"/>
      <c r="JGF483" s="299"/>
      <c r="JGG483" s="299"/>
      <c r="JGH483" s="299"/>
      <c r="JGI483" s="299"/>
      <c r="JGJ483" s="299"/>
      <c r="JGK483" s="299"/>
      <c r="JGL483" s="299"/>
      <c r="JGM483" s="299"/>
      <c r="JGN483" s="299"/>
      <c r="JGO483" s="299"/>
      <c r="JGP483" s="299"/>
      <c r="JGQ483" s="299"/>
      <c r="JGR483" s="299"/>
      <c r="JGS483" s="299"/>
      <c r="JGT483" s="299"/>
      <c r="JGU483" s="299"/>
      <c r="JGV483" s="299"/>
      <c r="JGW483" s="299"/>
      <c r="JGX483" s="299"/>
      <c r="JGY483" s="299"/>
      <c r="JGZ483" s="299"/>
      <c r="JHA483" s="299"/>
      <c r="JHB483" s="299"/>
      <c r="JHC483" s="299"/>
      <c r="JHD483" s="299"/>
      <c r="JHE483" s="299"/>
      <c r="JHF483" s="299"/>
      <c r="JHG483" s="299"/>
      <c r="JHH483" s="299"/>
      <c r="JHI483" s="299"/>
      <c r="JHJ483" s="299"/>
      <c r="JHK483" s="299"/>
      <c r="JHL483" s="299"/>
      <c r="JHM483" s="299"/>
      <c r="JHN483" s="299"/>
      <c r="JHO483" s="299"/>
      <c r="JHP483" s="299"/>
      <c r="JHQ483" s="299"/>
      <c r="JHR483" s="299"/>
      <c r="JHS483" s="299"/>
      <c r="JHT483" s="299"/>
      <c r="JHU483" s="299"/>
      <c r="JHV483" s="299"/>
      <c r="JHW483" s="299"/>
      <c r="JHX483" s="299"/>
      <c r="JHY483" s="299"/>
      <c r="JHZ483" s="299"/>
      <c r="JIA483" s="299"/>
      <c r="JIB483" s="299"/>
      <c r="JIC483" s="299"/>
      <c r="JID483" s="299"/>
      <c r="JIE483" s="299"/>
      <c r="JIF483" s="299"/>
      <c r="JIG483" s="299"/>
      <c r="JIH483" s="299"/>
      <c r="JII483" s="299"/>
      <c r="JIJ483" s="299"/>
      <c r="JIK483" s="299"/>
      <c r="JIL483" s="299"/>
      <c r="JIM483" s="299"/>
      <c r="JIN483" s="299"/>
      <c r="JIO483" s="299"/>
      <c r="JIP483" s="299"/>
      <c r="JIQ483" s="299"/>
      <c r="JIR483" s="299"/>
      <c r="JIS483" s="299"/>
      <c r="JIT483" s="299"/>
      <c r="JIU483" s="299"/>
      <c r="JIV483" s="299"/>
      <c r="JIW483" s="299"/>
      <c r="JIX483" s="299"/>
      <c r="JIY483" s="299"/>
      <c r="JIZ483" s="299"/>
      <c r="JJA483" s="299"/>
      <c r="JJB483" s="299"/>
      <c r="JJC483" s="299"/>
      <c r="JJD483" s="299"/>
      <c r="JJE483" s="299"/>
      <c r="JJF483" s="299"/>
      <c r="JJG483" s="299"/>
      <c r="JJH483" s="299"/>
      <c r="JJI483" s="299"/>
      <c r="JJJ483" s="299"/>
      <c r="JJK483" s="299"/>
      <c r="JJL483" s="299"/>
      <c r="JJM483" s="299"/>
      <c r="JJN483" s="299"/>
      <c r="JJO483" s="299"/>
      <c r="JJP483" s="299"/>
      <c r="JJQ483" s="299"/>
      <c r="JJR483" s="299"/>
      <c r="JJS483" s="299"/>
      <c r="JJT483" s="299"/>
      <c r="JJU483" s="299"/>
      <c r="JJV483" s="299"/>
      <c r="JJW483" s="299"/>
      <c r="JJX483" s="299"/>
      <c r="JJY483" s="299"/>
      <c r="JJZ483" s="299"/>
      <c r="JKA483" s="299"/>
      <c r="JKB483" s="299"/>
      <c r="JKC483" s="299"/>
      <c r="JKD483" s="299"/>
      <c r="JKE483" s="299"/>
      <c r="JKF483" s="299"/>
      <c r="JKG483" s="299"/>
      <c r="JKH483" s="299"/>
      <c r="JKI483" s="299"/>
      <c r="JKJ483" s="299"/>
      <c r="JKK483" s="299"/>
      <c r="JKL483" s="299"/>
      <c r="JKM483" s="299"/>
      <c r="JKN483" s="299"/>
      <c r="JKO483" s="299"/>
      <c r="JKP483" s="299"/>
      <c r="JKQ483" s="299"/>
      <c r="JKR483" s="299"/>
      <c r="JKS483" s="299"/>
      <c r="JKT483" s="299"/>
      <c r="JKU483" s="299"/>
      <c r="JKV483" s="299"/>
      <c r="JKW483" s="299"/>
      <c r="JKX483" s="299"/>
      <c r="JKY483" s="299"/>
      <c r="JKZ483" s="299"/>
      <c r="JLA483" s="299"/>
      <c r="JLB483" s="299"/>
      <c r="JLC483" s="299"/>
      <c r="JLD483" s="299"/>
      <c r="JLE483" s="299"/>
      <c r="JLF483" s="299"/>
      <c r="JLG483" s="299"/>
      <c r="JLH483" s="299"/>
      <c r="JLI483" s="299"/>
      <c r="JLJ483" s="299"/>
      <c r="JLK483" s="299"/>
      <c r="JLL483" s="299"/>
      <c r="JLM483" s="299"/>
      <c r="JLN483" s="299"/>
      <c r="JLO483" s="299"/>
      <c r="JLP483" s="299"/>
      <c r="JLQ483" s="299"/>
      <c r="JLR483" s="299"/>
      <c r="JLS483" s="299"/>
      <c r="JLT483" s="299"/>
      <c r="JLU483" s="299"/>
      <c r="JLV483" s="299"/>
      <c r="JLW483" s="299"/>
      <c r="JLX483" s="299"/>
      <c r="JLY483" s="299"/>
      <c r="JLZ483" s="299"/>
      <c r="JMA483" s="299"/>
      <c r="JMB483" s="299"/>
      <c r="JMC483" s="299"/>
      <c r="JMD483" s="299"/>
      <c r="JME483" s="299"/>
      <c r="JMF483" s="299"/>
      <c r="JMG483" s="299"/>
      <c r="JMH483" s="299"/>
      <c r="JMI483" s="299"/>
      <c r="JMJ483" s="299"/>
      <c r="JMK483" s="299"/>
      <c r="JML483" s="299"/>
      <c r="JMM483" s="299"/>
      <c r="JMN483" s="299"/>
      <c r="JMO483" s="299"/>
      <c r="JMP483" s="299"/>
      <c r="JMQ483" s="299"/>
      <c r="JMR483" s="299"/>
      <c r="JMS483" s="299"/>
      <c r="JMT483" s="299"/>
      <c r="JMU483" s="299"/>
      <c r="JMV483" s="299"/>
      <c r="JMW483" s="299"/>
      <c r="JMX483" s="299"/>
      <c r="JMY483" s="299"/>
      <c r="JMZ483" s="299"/>
      <c r="JNA483" s="299"/>
      <c r="JNB483" s="299"/>
      <c r="JNC483" s="299"/>
      <c r="JND483" s="299"/>
      <c r="JNE483" s="299"/>
      <c r="JNF483" s="299"/>
      <c r="JNG483" s="299"/>
      <c r="JNH483" s="299"/>
      <c r="JNI483" s="299"/>
      <c r="JNJ483" s="299"/>
      <c r="JNK483" s="299"/>
      <c r="JNL483" s="299"/>
      <c r="JNM483" s="299"/>
      <c r="JNN483" s="299"/>
      <c r="JNO483" s="299"/>
      <c r="JNP483" s="299"/>
      <c r="JNQ483" s="299"/>
      <c r="JNR483" s="299"/>
      <c r="JNS483" s="299"/>
      <c r="JNT483" s="299"/>
      <c r="JNU483" s="299"/>
      <c r="JNV483" s="299"/>
      <c r="JNW483" s="299"/>
      <c r="JNX483" s="299"/>
      <c r="JNY483" s="299"/>
      <c r="JNZ483" s="299"/>
      <c r="JOA483" s="299"/>
      <c r="JOB483" s="299"/>
      <c r="JOC483" s="299"/>
      <c r="JOD483" s="299"/>
      <c r="JOE483" s="299"/>
      <c r="JOF483" s="299"/>
      <c r="JOG483" s="299"/>
      <c r="JOH483" s="299"/>
      <c r="JOI483" s="299"/>
      <c r="JOJ483" s="299"/>
      <c r="JOK483" s="299"/>
      <c r="JOL483" s="299"/>
      <c r="JOM483" s="299"/>
      <c r="JON483" s="299"/>
      <c r="JOO483" s="299"/>
      <c r="JOP483" s="299"/>
      <c r="JOQ483" s="299"/>
      <c r="JOR483" s="299"/>
      <c r="JOS483" s="299"/>
      <c r="JOT483" s="299"/>
      <c r="JOU483" s="299"/>
      <c r="JOV483" s="299"/>
      <c r="JOW483" s="299"/>
      <c r="JOX483" s="299"/>
      <c r="JOY483" s="299"/>
      <c r="JOZ483" s="299"/>
      <c r="JPA483" s="299"/>
      <c r="JPB483" s="299"/>
      <c r="JPC483" s="299"/>
      <c r="JPD483" s="299"/>
      <c r="JPE483" s="299"/>
      <c r="JPF483" s="299"/>
      <c r="JPG483" s="299"/>
      <c r="JPH483" s="299"/>
      <c r="JPI483" s="299"/>
      <c r="JPJ483" s="299"/>
      <c r="JPK483" s="299"/>
      <c r="JPL483" s="299"/>
      <c r="JPM483" s="299"/>
      <c r="JPN483" s="299"/>
      <c r="JPO483" s="299"/>
      <c r="JPP483" s="299"/>
      <c r="JPQ483" s="299"/>
      <c r="JPR483" s="299"/>
      <c r="JPS483" s="299"/>
      <c r="JPT483" s="299"/>
      <c r="JPU483" s="299"/>
      <c r="JPV483" s="299"/>
      <c r="JPW483" s="299"/>
      <c r="JPX483" s="299"/>
      <c r="JPY483" s="299"/>
      <c r="JPZ483" s="299"/>
      <c r="JQA483" s="299"/>
      <c r="JQB483" s="299"/>
      <c r="JQC483" s="299"/>
      <c r="JQD483" s="299"/>
      <c r="JQE483" s="299"/>
      <c r="JQF483" s="299"/>
      <c r="JQG483" s="299"/>
      <c r="JQH483" s="299"/>
      <c r="JQI483" s="299"/>
      <c r="JQJ483" s="299"/>
      <c r="JQK483" s="299"/>
      <c r="JQL483" s="299"/>
      <c r="JQM483" s="299"/>
      <c r="JQN483" s="299"/>
      <c r="JQO483" s="299"/>
      <c r="JQP483" s="299"/>
      <c r="JQQ483" s="299"/>
      <c r="JQR483" s="299"/>
      <c r="JQS483" s="299"/>
      <c r="JQT483" s="299"/>
      <c r="JQU483" s="299"/>
      <c r="JQV483" s="299"/>
      <c r="JQW483" s="299"/>
      <c r="JQX483" s="299"/>
      <c r="JQY483" s="299"/>
      <c r="JQZ483" s="299"/>
      <c r="JRA483" s="299"/>
      <c r="JRB483" s="299"/>
      <c r="JRC483" s="299"/>
      <c r="JRD483" s="299"/>
      <c r="JRE483" s="299"/>
      <c r="JRF483" s="299"/>
      <c r="JRG483" s="299"/>
      <c r="JRH483" s="299"/>
      <c r="JRI483" s="299"/>
      <c r="JRJ483" s="299"/>
      <c r="JRK483" s="299"/>
      <c r="JRL483" s="299"/>
      <c r="JRM483" s="299"/>
      <c r="JRN483" s="299"/>
      <c r="JRO483" s="299"/>
      <c r="JRP483" s="299"/>
      <c r="JRQ483" s="299"/>
      <c r="JRR483" s="299"/>
      <c r="JRS483" s="299"/>
      <c r="JRT483" s="299"/>
      <c r="JRU483" s="299"/>
      <c r="JRV483" s="299"/>
      <c r="JRW483" s="299"/>
      <c r="JRX483" s="299"/>
      <c r="JRY483" s="299"/>
      <c r="JRZ483" s="299"/>
      <c r="JSA483" s="299"/>
      <c r="JSB483" s="299"/>
      <c r="JSC483" s="299"/>
      <c r="JSD483" s="299"/>
      <c r="JSE483" s="299"/>
      <c r="JSF483" s="299"/>
      <c r="JSG483" s="299"/>
      <c r="JSH483" s="299"/>
      <c r="JSI483" s="299"/>
      <c r="JSJ483" s="299"/>
      <c r="JSK483" s="299"/>
      <c r="JSL483" s="299"/>
      <c r="JSM483" s="299"/>
      <c r="JSN483" s="299"/>
      <c r="JSO483" s="299"/>
      <c r="JSP483" s="299"/>
      <c r="JSQ483" s="299"/>
      <c r="JSR483" s="299"/>
      <c r="JSS483" s="299"/>
      <c r="JST483" s="299"/>
      <c r="JSU483" s="299"/>
      <c r="JSV483" s="299"/>
      <c r="JSW483" s="299"/>
      <c r="JSX483" s="299"/>
      <c r="JSY483" s="299"/>
      <c r="JSZ483" s="299"/>
      <c r="JTA483" s="299"/>
      <c r="JTB483" s="299"/>
      <c r="JTC483" s="299"/>
      <c r="JTD483" s="299"/>
      <c r="JTE483" s="299"/>
      <c r="JTF483" s="299"/>
      <c r="JTG483" s="299"/>
      <c r="JTH483" s="299"/>
      <c r="JTI483" s="299"/>
      <c r="JTJ483" s="299"/>
      <c r="JTK483" s="299"/>
      <c r="JTL483" s="299"/>
      <c r="JTM483" s="299"/>
      <c r="JTN483" s="299"/>
      <c r="JTO483" s="299"/>
      <c r="JTP483" s="299"/>
      <c r="JTQ483" s="299"/>
      <c r="JTR483" s="299"/>
      <c r="JTS483" s="299"/>
      <c r="JTT483" s="299"/>
      <c r="JTU483" s="299"/>
      <c r="JTV483" s="299"/>
      <c r="JTW483" s="299"/>
      <c r="JTX483" s="299"/>
      <c r="JTY483" s="299"/>
      <c r="JTZ483" s="299"/>
      <c r="JUA483" s="299"/>
      <c r="JUB483" s="299"/>
      <c r="JUC483" s="299"/>
      <c r="JUD483" s="299"/>
      <c r="JUE483" s="299"/>
      <c r="JUF483" s="299"/>
      <c r="JUG483" s="299"/>
      <c r="JUH483" s="299"/>
      <c r="JUI483" s="299"/>
      <c r="JUJ483" s="299"/>
      <c r="JUK483" s="299"/>
      <c r="JUL483" s="299"/>
      <c r="JUM483" s="299"/>
      <c r="JUN483" s="299"/>
      <c r="JUO483" s="299"/>
      <c r="JUP483" s="299"/>
      <c r="JUQ483" s="299"/>
      <c r="JUR483" s="299"/>
      <c r="JUS483" s="299"/>
      <c r="JUT483" s="299"/>
      <c r="JUU483" s="299"/>
      <c r="JUV483" s="299"/>
      <c r="JUW483" s="299"/>
      <c r="JUX483" s="299"/>
      <c r="JUY483" s="299"/>
      <c r="JUZ483" s="299"/>
      <c r="JVA483" s="299"/>
      <c r="JVB483" s="299"/>
      <c r="JVC483" s="299"/>
      <c r="JVD483" s="299"/>
      <c r="JVE483" s="299"/>
      <c r="JVF483" s="299"/>
      <c r="JVG483" s="299"/>
      <c r="JVH483" s="299"/>
      <c r="JVI483" s="299"/>
      <c r="JVJ483" s="299"/>
      <c r="JVK483" s="299"/>
      <c r="JVL483" s="299"/>
      <c r="JVM483" s="299"/>
      <c r="JVN483" s="299"/>
      <c r="JVO483" s="299"/>
      <c r="JVP483" s="299"/>
      <c r="JVQ483" s="299"/>
      <c r="JVR483" s="299"/>
      <c r="JVS483" s="299"/>
      <c r="JVT483" s="299"/>
      <c r="JVU483" s="299"/>
      <c r="JVV483" s="299"/>
      <c r="JVW483" s="299"/>
      <c r="JVX483" s="299"/>
      <c r="JVY483" s="299"/>
      <c r="JVZ483" s="299"/>
      <c r="JWA483" s="299"/>
      <c r="JWB483" s="299"/>
      <c r="JWC483" s="299"/>
      <c r="JWD483" s="299"/>
      <c r="JWE483" s="299"/>
      <c r="JWF483" s="299"/>
      <c r="JWG483" s="299"/>
      <c r="JWH483" s="299"/>
      <c r="JWI483" s="299"/>
      <c r="JWJ483" s="299"/>
      <c r="JWK483" s="299"/>
      <c r="JWL483" s="299"/>
      <c r="JWM483" s="299"/>
      <c r="JWN483" s="299"/>
      <c r="JWO483" s="299"/>
      <c r="JWP483" s="299"/>
      <c r="JWQ483" s="299"/>
      <c r="JWR483" s="299"/>
      <c r="JWS483" s="299"/>
      <c r="JWT483" s="299"/>
      <c r="JWU483" s="299"/>
      <c r="JWV483" s="299"/>
      <c r="JWW483" s="299"/>
      <c r="JWX483" s="299"/>
      <c r="JWY483" s="299"/>
      <c r="JWZ483" s="299"/>
      <c r="JXA483" s="299"/>
      <c r="JXB483" s="299"/>
      <c r="JXC483" s="299"/>
      <c r="JXD483" s="299"/>
      <c r="JXE483" s="299"/>
      <c r="JXF483" s="299"/>
      <c r="JXG483" s="299"/>
      <c r="JXH483" s="299"/>
      <c r="JXI483" s="299"/>
      <c r="JXJ483" s="299"/>
      <c r="JXK483" s="299"/>
      <c r="JXL483" s="299"/>
      <c r="JXM483" s="299"/>
      <c r="JXN483" s="299"/>
      <c r="JXO483" s="299"/>
      <c r="JXP483" s="299"/>
      <c r="JXQ483" s="299"/>
      <c r="JXR483" s="299"/>
      <c r="JXS483" s="299"/>
      <c r="JXT483" s="299"/>
      <c r="JXU483" s="299"/>
      <c r="JXV483" s="299"/>
      <c r="JXW483" s="299"/>
      <c r="JXX483" s="299"/>
      <c r="JXY483" s="299"/>
      <c r="JXZ483" s="299"/>
      <c r="JYA483" s="299"/>
      <c r="JYB483" s="299"/>
      <c r="JYC483" s="299"/>
      <c r="JYD483" s="299"/>
      <c r="JYE483" s="299"/>
      <c r="JYF483" s="299"/>
      <c r="JYG483" s="299"/>
      <c r="JYH483" s="299"/>
      <c r="JYI483" s="299"/>
      <c r="JYJ483" s="299"/>
      <c r="JYK483" s="299"/>
      <c r="JYL483" s="299"/>
      <c r="JYM483" s="299"/>
      <c r="JYN483" s="299"/>
      <c r="JYO483" s="299"/>
      <c r="JYP483" s="299"/>
      <c r="JYQ483" s="299"/>
      <c r="JYR483" s="299"/>
      <c r="JYS483" s="299"/>
      <c r="JYT483" s="299"/>
      <c r="JYU483" s="299"/>
      <c r="JYV483" s="299"/>
      <c r="JYW483" s="299"/>
      <c r="JYX483" s="299"/>
      <c r="JYY483" s="299"/>
      <c r="JYZ483" s="299"/>
      <c r="JZA483" s="299"/>
      <c r="JZB483" s="299"/>
      <c r="JZC483" s="299"/>
      <c r="JZD483" s="299"/>
      <c r="JZE483" s="299"/>
      <c r="JZF483" s="299"/>
      <c r="JZG483" s="299"/>
      <c r="JZH483" s="299"/>
      <c r="JZI483" s="299"/>
      <c r="JZJ483" s="299"/>
      <c r="JZK483" s="299"/>
      <c r="JZL483" s="299"/>
      <c r="JZM483" s="299"/>
      <c r="JZN483" s="299"/>
      <c r="JZO483" s="299"/>
      <c r="JZP483" s="299"/>
      <c r="JZQ483" s="299"/>
      <c r="JZR483" s="299"/>
      <c r="JZS483" s="299"/>
      <c r="JZT483" s="299"/>
      <c r="JZU483" s="299"/>
      <c r="JZV483" s="299"/>
      <c r="JZW483" s="299"/>
      <c r="JZX483" s="299"/>
      <c r="JZY483" s="299"/>
      <c r="JZZ483" s="299"/>
      <c r="KAA483" s="299"/>
      <c r="KAB483" s="299"/>
      <c r="KAC483" s="299"/>
      <c r="KAD483" s="299"/>
      <c r="KAE483" s="299"/>
      <c r="KAF483" s="299"/>
      <c r="KAG483" s="299"/>
      <c r="KAH483" s="299"/>
      <c r="KAI483" s="299"/>
      <c r="KAJ483" s="299"/>
      <c r="KAK483" s="299"/>
      <c r="KAL483" s="299"/>
      <c r="KAM483" s="299"/>
      <c r="KAN483" s="299"/>
      <c r="KAO483" s="299"/>
      <c r="KAP483" s="299"/>
      <c r="KAQ483" s="299"/>
      <c r="KAR483" s="299"/>
      <c r="KAS483" s="299"/>
      <c r="KAT483" s="299"/>
      <c r="KAU483" s="299"/>
      <c r="KAV483" s="299"/>
      <c r="KAW483" s="299"/>
      <c r="KAX483" s="299"/>
      <c r="KAY483" s="299"/>
      <c r="KAZ483" s="299"/>
      <c r="KBA483" s="299"/>
      <c r="KBB483" s="299"/>
      <c r="KBC483" s="299"/>
      <c r="KBD483" s="299"/>
      <c r="KBE483" s="299"/>
      <c r="KBF483" s="299"/>
      <c r="KBG483" s="299"/>
      <c r="KBH483" s="299"/>
      <c r="KBI483" s="299"/>
      <c r="KBJ483" s="299"/>
      <c r="KBK483" s="299"/>
      <c r="KBL483" s="299"/>
      <c r="KBM483" s="299"/>
      <c r="KBN483" s="299"/>
      <c r="KBO483" s="299"/>
      <c r="KBP483" s="299"/>
      <c r="KBQ483" s="299"/>
      <c r="KBR483" s="299"/>
      <c r="KBS483" s="299"/>
      <c r="KBT483" s="299"/>
      <c r="KBU483" s="299"/>
      <c r="KBV483" s="299"/>
      <c r="KBW483" s="299"/>
      <c r="KBX483" s="299"/>
      <c r="KBY483" s="299"/>
      <c r="KBZ483" s="299"/>
      <c r="KCA483" s="299"/>
      <c r="KCB483" s="299"/>
      <c r="KCC483" s="299"/>
      <c r="KCD483" s="299"/>
      <c r="KCE483" s="299"/>
      <c r="KCF483" s="299"/>
      <c r="KCG483" s="299"/>
      <c r="KCH483" s="299"/>
      <c r="KCI483" s="299"/>
      <c r="KCJ483" s="299"/>
      <c r="KCK483" s="299"/>
      <c r="KCL483" s="299"/>
      <c r="KCM483" s="299"/>
      <c r="KCN483" s="299"/>
      <c r="KCO483" s="299"/>
      <c r="KCP483" s="299"/>
      <c r="KCQ483" s="299"/>
      <c r="KCR483" s="299"/>
      <c r="KCS483" s="299"/>
      <c r="KCT483" s="299"/>
      <c r="KCU483" s="299"/>
      <c r="KCV483" s="299"/>
      <c r="KCW483" s="299"/>
      <c r="KCX483" s="299"/>
      <c r="KCY483" s="299"/>
      <c r="KCZ483" s="299"/>
      <c r="KDA483" s="299"/>
      <c r="KDB483" s="299"/>
      <c r="KDC483" s="299"/>
      <c r="KDD483" s="299"/>
      <c r="KDE483" s="299"/>
      <c r="KDF483" s="299"/>
      <c r="KDG483" s="299"/>
      <c r="KDH483" s="299"/>
      <c r="KDI483" s="299"/>
      <c r="KDJ483" s="299"/>
      <c r="KDK483" s="299"/>
      <c r="KDL483" s="299"/>
      <c r="KDM483" s="299"/>
      <c r="KDN483" s="299"/>
      <c r="KDO483" s="299"/>
      <c r="KDP483" s="299"/>
      <c r="KDQ483" s="299"/>
      <c r="KDR483" s="299"/>
      <c r="KDS483" s="299"/>
      <c r="KDT483" s="299"/>
      <c r="KDU483" s="299"/>
      <c r="KDV483" s="299"/>
      <c r="KDW483" s="299"/>
      <c r="KDX483" s="299"/>
      <c r="KDY483" s="299"/>
      <c r="KDZ483" s="299"/>
      <c r="KEA483" s="299"/>
      <c r="KEB483" s="299"/>
      <c r="KEC483" s="299"/>
      <c r="KED483" s="299"/>
      <c r="KEE483" s="299"/>
      <c r="KEF483" s="299"/>
      <c r="KEG483" s="299"/>
      <c r="KEH483" s="299"/>
      <c r="KEI483" s="299"/>
      <c r="KEJ483" s="299"/>
      <c r="KEK483" s="299"/>
      <c r="KEL483" s="299"/>
      <c r="KEM483" s="299"/>
      <c r="KEN483" s="299"/>
      <c r="KEO483" s="299"/>
      <c r="KEP483" s="299"/>
      <c r="KEQ483" s="299"/>
      <c r="KER483" s="299"/>
      <c r="KES483" s="299"/>
      <c r="KET483" s="299"/>
      <c r="KEU483" s="299"/>
      <c r="KEV483" s="299"/>
      <c r="KEW483" s="299"/>
      <c r="KEX483" s="299"/>
      <c r="KEY483" s="299"/>
      <c r="KEZ483" s="299"/>
      <c r="KFA483" s="299"/>
      <c r="KFB483" s="299"/>
      <c r="KFC483" s="299"/>
      <c r="KFD483" s="299"/>
      <c r="KFE483" s="299"/>
      <c r="KFF483" s="299"/>
      <c r="KFG483" s="299"/>
      <c r="KFH483" s="299"/>
      <c r="KFI483" s="299"/>
      <c r="KFJ483" s="299"/>
      <c r="KFK483" s="299"/>
      <c r="KFL483" s="299"/>
      <c r="KFM483" s="299"/>
      <c r="KFN483" s="299"/>
      <c r="KFO483" s="299"/>
      <c r="KFP483" s="299"/>
      <c r="KFQ483" s="299"/>
      <c r="KFR483" s="299"/>
      <c r="KFS483" s="299"/>
      <c r="KFT483" s="299"/>
      <c r="KFU483" s="299"/>
      <c r="KFV483" s="299"/>
      <c r="KFW483" s="299"/>
      <c r="KFX483" s="299"/>
      <c r="KFY483" s="299"/>
      <c r="KFZ483" s="299"/>
      <c r="KGA483" s="299"/>
      <c r="KGB483" s="299"/>
      <c r="KGC483" s="299"/>
      <c r="KGD483" s="299"/>
      <c r="KGE483" s="299"/>
      <c r="KGF483" s="299"/>
      <c r="KGG483" s="299"/>
      <c r="KGH483" s="299"/>
      <c r="KGI483" s="299"/>
      <c r="KGJ483" s="299"/>
      <c r="KGK483" s="299"/>
      <c r="KGL483" s="299"/>
      <c r="KGM483" s="299"/>
      <c r="KGN483" s="299"/>
      <c r="KGO483" s="299"/>
      <c r="KGP483" s="299"/>
      <c r="KGQ483" s="299"/>
      <c r="KGR483" s="299"/>
      <c r="KGS483" s="299"/>
      <c r="KGT483" s="299"/>
      <c r="KGU483" s="299"/>
      <c r="KGV483" s="299"/>
      <c r="KGW483" s="299"/>
      <c r="KGX483" s="299"/>
      <c r="KGY483" s="299"/>
      <c r="KGZ483" s="299"/>
      <c r="KHA483" s="299"/>
      <c r="KHB483" s="299"/>
      <c r="KHC483" s="299"/>
      <c r="KHD483" s="299"/>
      <c r="KHE483" s="299"/>
      <c r="KHF483" s="299"/>
      <c r="KHG483" s="299"/>
      <c r="KHH483" s="299"/>
      <c r="KHI483" s="299"/>
      <c r="KHJ483" s="299"/>
      <c r="KHK483" s="299"/>
      <c r="KHL483" s="299"/>
      <c r="KHM483" s="299"/>
      <c r="KHN483" s="299"/>
      <c r="KHO483" s="299"/>
      <c r="KHP483" s="299"/>
      <c r="KHQ483" s="299"/>
      <c r="KHR483" s="299"/>
      <c r="KHS483" s="299"/>
      <c r="KHT483" s="299"/>
      <c r="KHU483" s="299"/>
      <c r="KHV483" s="299"/>
      <c r="KHW483" s="299"/>
      <c r="KHX483" s="299"/>
      <c r="KHY483" s="299"/>
      <c r="KHZ483" s="299"/>
      <c r="KIA483" s="299"/>
      <c r="KIB483" s="299"/>
      <c r="KIC483" s="299"/>
      <c r="KID483" s="299"/>
      <c r="KIE483" s="299"/>
      <c r="KIF483" s="299"/>
      <c r="KIG483" s="299"/>
      <c r="KIH483" s="299"/>
      <c r="KII483" s="299"/>
      <c r="KIJ483" s="299"/>
      <c r="KIK483" s="299"/>
      <c r="KIL483" s="299"/>
      <c r="KIM483" s="299"/>
      <c r="KIN483" s="299"/>
      <c r="KIO483" s="299"/>
      <c r="KIP483" s="299"/>
      <c r="KIQ483" s="299"/>
      <c r="KIR483" s="299"/>
      <c r="KIS483" s="299"/>
      <c r="KIT483" s="299"/>
      <c r="KIU483" s="299"/>
      <c r="KIV483" s="299"/>
      <c r="KIW483" s="299"/>
      <c r="KIX483" s="299"/>
      <c r="KIY483" s="299"/>
      <c r="KIZ483" s="299"/>
      <c r="KJA483" s="299"/>
      <c r="KJB483" s="299"/>
      <c r="KJC483" s="299"/>
      <c r="KJD483" s="299"/>
      <c r="KJE483" s="299"/>
      <c r="KJF483" s="299"/>
      <c r="KJG483" s="299"/>
      <c r="KJH483" s="299"/>
      <c r="KJI483" s="299"/>
      <c r="KJJ483" s="299"/>
      <c r="KJK483" s="299"/>
      <c r="KJL483" s="299"/>
      <c r="KJM483" s="299"/>
      <c r="KJN483" s="299"/>
      <c r="KJO483" s="299"/>
      <c r="KJP483" s="299"/>
      <c r="KJQ483" s="299"/>
      <c r="KJR483" s="299"/>
      <c r="KJS483" s="299"/>
      <c r="KJT483" s="299"/>
      <c r="KJU483" s="299"/>
      <c r="KJV483" s="299"/>
      <c r="KJW483" s="299"/>
      <c r="KJX483" s="299"/>
      <c r="KJY483" s="299"/>
      <c r="KJZ483" s="299"/>
      <c r="KKA483" s="299"/>
      <c r="KKB483" s="299"/>
      <c r="KKC483" s="299"/>
      <c r="KKD483" s="299"/>
      <c r="KKE483" s="299"/>
      <c r="KKF483" s="299"/>
      <c r="KKG483" s="299"/>
      <c r="KKH483" s="299"/>
      <c r="KKI483" s="299"/>
      <c r="KKJ483" s="299"/>
      <c r="KKK483" s="299"/>
      <c r="KKL483" s="299"/>
      <c r="KKM483" s="299"/>
      <c r="KKN483" s="299"/>
      <c r="KKO483" s="299"/>
      <c r="KKP483" s="299"/>
      <c r="KKQ483" s="299"/>
      <c r="KKR483" s="299"/>
      <c r="KKS483" s="299"/>
      <c r="KKT483" s="299"/>
      <c r="KKU483" s="299"/>
      <c r="KKV483" s="299"/>
      <c r="KKW483" s="299"/>
      <c r="KKX483" s="299"/>
      <c r="KKY483" s="299"/>
      <c r="KKZ483" s="299"/>
      <c r="KLA483" s="299"/>
      <c r="KLB483" s="299"/>
      <c r="KLC483" s="299"/>
      <c r="KLD483" s="299"/>
      <c r="KLE483" s="299"/>
      <c r="KLF483" s="299"/>
      <c r="KLG483" s="299"/>
      <c r="KLH483" s="299"/>
      <c r="KLI483" s="299"/>
      <c r="KLJ483" s="299"/>
      <c r="KLK483" s="299"/>
      <c r="KLL483" s="299"/>
      <c r="KLM483" s="299"/>
      <c r="KLN483" s="299"/>
      <c r="KLO483" s="299"/>
      <c r="KLP483" s="299"/>
      <c r="KLQ483" s="299"/>
      <c r="KLR483" s="299"/>
      <c r="KLS483" s="299"/>
      <c r="KLT483" s="299"/>
      <c r="KLU483" s="299"/>
      <c r="KLV483" s="299"/>
      <c r="KLW483" s="299"/>
      <c r="KLX483" s="299"/>
      <c r="KLY483" s="299"/>
      <c r="KLZ483" s="299"/>
      <c r="KMA483" s="299"/>
      <c r="KMB483" s="299"/>
      <c r="KMC483" s="299"/>
      <c r="KMD483" s="299"/>
      <c r="KME483" s="299"/>
      <c r="KMF483" s="299"/>
      <c r="KMG483" s="299"/>
      <c r="KMH483" s="299"/>
      <c r="KMI483" s="299"/>
      <c r="KMJ483" s="299"/>
      <c r="KMK483" s="299"/>
      <c r="KML483" s="299"/>
      <c r="KMM483" s="299"/>
      <c r="KMN483" s="299"/>
      <c r="KMO483" s="299"/>
      <c r="KMP483" s="299"/>
      <c r="KMQ483" s="299"/>
      <c r="KMR483" s="299"/>
      <c r="KMS483" s="299"/>
      <c r="KMT483" s="299"/>
      <c r="KMU483" s="299"/>
      <c r="KMV483" s="299"/>
      <c r="KMW483" s="299"/>
      <c r="KMX483" s="299"/>
      <c r="KMY483" s="299"/>
      <c r="KMZ483" s="299"/>
      <c r="KNA483" s="299"/>
      <c r="KNB483" s="299"/>
      <c r="KNC483" s="299"/>
      <c r="KND483" s="299"/>
      <c r="KNE483" s="299"/>
      <c r="KNF483" s="299"/>
      <c r="KNG483" s="299"/>
      <c r="KNH483" s="299"/>
      <c r="KNI483" s="299"/>
      <c r="KNJ483" s="299"/>
      <c r="KNK483" s="299"/>
      <c r="KNL483" s="299"/>
      <c r="KNM483" s="299"/>
      <c r="KNN483" s="299"/>
      <c r="KNO483" s="299"/>
      <c r="KNP483" s="299"/>
      <c r="KNQ483" s="299"/>
      <c r="KNR483" s="299"/>
      <c r="KNS483" s="299"/>
      <c r="KNT483" s="299"/>
      <c r="KNU483" s="299"/>
      <c r="KNV483" s="299"/>
      <c r="KNW483" s="299"/>
      <c r="KNX483" s="299"/>
      <c r="KNY483" s="299"/>
      <c r="KNZ483" s="299"/>
      <c r="KOA483" s="299"/>
      <c r="KOB483" s="299"/>
      <c r="KOC483" s="299"/>
      <c r="KOD483" s="299"/>
      <c r="KOE483" s="299"/>
      <c r="KOF483" s="299"/>
      <c r="KOG483" s="299"/>
      <c r="KOH483" s="299"/>
      <c r="KOI483" s="299"/>
      <c r="KOJ483" s="299"/>
      <c r="KOK483" s="299"/>
      <c r="KOL483" s="299"/>
      <c r="KOM483" s="299"/>
      <c r="KON483" s="299"/>
      <c r="KOO483" s="299"/>
      <c r="KOP483" s="299"/>
      <c r="KOQ483" s="299"/>
      <c r="KOR483" s="299"/>
      <c r="KOS483" s="299"/>
      <c r="KOT483" s="299"/>
      <c r="KOU483" s="299"/>
      <c r="KOV483" s="299"/>
      <c r="KOW483" s="299"/>
      <c r="KOX483" s="299"/>
      <c r="KOY483" s="299"/>
      <c r="KOZ483" s="299"/>
      <c r="KPA483" s="299"/>
      <c r="KPB483" s="299"/>
      <c r="KPC483" s="299"/>
      <c r="KPD483" s="299"/>
      <c r="KPE483" s="299"/>
      <c r="KPF483" s="299"/>
      <c r="KPG483" s="299"/>
      <c r="KPH483" s="299"/>
      <c r="KPI483" s="299"/>
      <c r="KPJ483" s="299"/>
      <c r="KPK483" s="299"/>
      <c r="KPL483" s="299"/>
      <c r="KPM483" s="299"/>
      <c r="KPN483" s="299"/>
      <c r="KPO483" s="299"/>
      <c r="KPP483" s="299"/>
      <c r="KPQ483" s="299"/>
      <c r="KPR483" s="299"/>
      <c r="KPS483" s="299"/>
      <c r="KPT483" s="299"/>
      <c r="KPU483" s="299"/>
      <c r="KPV483" s="299"/>
      <c r="KPW483" s="299"/>
      <c r="KPX483" s="299"/>
      <c r="KPY483" s="299"/>
      <c r="KPZ483" s="299"/>
      <c r="KQA483" s="299"/>
      <c r="KQB483" s="299"/>
      <c r="KQC483" s="299"/>
      <c r="KQD483" s="299"/>
      <c r="KQE483" s="299"/>
      <c r="KQF483" s="299"/>
      <c r="KQG483" s="299"/>
      <c r="KQH483" s="299"/>
      <c r="KQI483" s="299"/>
      <c r="KQJ483" s="299"/>
      <c r="KQK483" s="299"/>
      <c r="KQL483" s="299"/>
      <c r="KQM483" s="299"/>
      <c r="KQN483" s="299"/>
      <c r="KQO483" s="299"/>
      <c r="KQP483" s="299"/>
      <c r="KQQ483" s="299"/>
      <c r="KQR483" s="299"/>
      <c r="KQS483" s="299"/>
      <c r="KQT483" s="299"/>
      <c r="KQU483" s="299"/>
      <c r="KQV483" s="299"/>
      <c r="KQW483" s="299"/>
      <c r="KQX483" s="299"/>
      <c r="KQY483" s="299"/>
      <c r="KQZ483" s="299"/>
      <c r="KRA483" s="299"/>
      <c r="KRB483" s="299"/>
      <c r="KRC483" s="299"/>
      <c r="KRD483" s="299"/>
      <c r="KRE483" s="299"/>
      <c r="KRF483" s="299"/>
      <c r="KRG483" s="299"/>
      <c r="KRH483" s="299"/>
      <c r="KRI483" s="299"/>
      <c r="KRJ483" s="299"/>
      <c r="KRK483" s="299"/>
      <c r="KRL483" s="299"/>
      <c r="KRM483" s="299"/>
      <c r="KRN483" s="299"/>
      <c r="KRO483" s="299"/>
      <c r="KRP483" s="299"/>
      <c r="KRQ483" s="299"/>
      <c r="KRR483" s="299"/>
      <c r="KRS483" s="299"/>
      <c r="KRT483" s="299"/>
      <c r="KRU483" s="299"/>
      <c r="KRV483" s="299"/>
      <c r="KRW483" s="299"/>
      <c r="KRX483" s="299"/>
      <c r="KRY483" s="299"/>
      <c r="KRZ483" s="299"/>
      <c r="KSA483" s="299"/>
      <c r="KSB483" s="299"/>
      <c r="KSC483" s="299"/>
      <c r="KSD483" s="299"/>
      <c r="KSE483" s="299"/>
      <c r="KSF483" s="299"/>
      <c r="KSG483" s="299"/>
      <c r="KSH483" s="299"/>
      <c r="KSI483" s="299"/>
      <c r="KSJ483" s="299"/>
      <c r="KSK483" s="299"/>
      <c r="KSL483" s="299"/>
      <c r="KSM483" s="299"/>
      <c r="KSN483" s="299"/>
      <c r="KSO483" s="299"/>
      <c r="KSP483" s="299"/>
      <c r="KSQ483" s="299"/>
      <c r="KSR483" s="299"/>
      <c r="KSS483" s="299"/>
      <c r="KST483" s="299"/>
      <c r="KSU483" s="299"/>
      <c r="KSV483" s="299"/>
      <c r="KSW483" s="299"/>
      <c r="KSX483" s="299"/>
      <c r="KSY483" s="299"/>
      <c r="KSZ483" s="299"/>
      <c r="KTA483" s="299"/>
      <c r="KTB483" s="299"/>
      <c r="KTC483" s="299"/>
      <c r="KTD483" s="299"/>
      <c r="KTE483" s="299"/>
      <c r="KTF483" s="299"/>
      <c r="KTG483" s="299"/>
      <c r="KTH483" s="299"/>
      <c r="KTI483" s="299"/>
      <c r="KTJ483" s="299"/>
      <c r="KTK483" s="299"/>
      <c r="KTL483" s="299"/>
      <c r="KTM483" s="299"/>
      <c r="KTN483" s="299"/>
      <c r="KTO483" s="299"/>
      <c r="KTP483" s="299"/>
      <c r="KTQ483" s="299"/>
      <c r="KTR483" s="299"/>
      <c r="KTS483" s="299"/>
      <c r="KTT483" s="299"/>
      <c r="KTU483" s="299"/>
      <c r="KTV483" s="299"/>
      <c r="KTW483" s="299"/>
      <c r="KTX483" s="299"/>
      <c r="KTY483" s="299"/>
      <c r="KTZ483" s="299"/>
      <c r="KUA483" s="299"/>
      <c r="KUB483" s="299"/>
      <c r="KUC483" s="299"/>
      <c r="KUD483" s="299"/>
      <c r="KUE483" s="299"/>
      <c r="KUF483" s="299"/>
      <c r="KUG483" s="299"/>
      <c r="KUH483" s="299"/>
      <c r="KUI483" s="299"/>
      <c r="KUJ483" s="299"/>
      <c r="KUK483" s="299"/>
      <c r="KUL483" s="299"/>
      <c r="KUM483" s="299"/>
      <c r="KUN483" s="299"/>
      <c r="KUO483" s="299"/>
      <c r="KUP483" s="299"/>
      <c r="KUQ483" s="299"/>
      <c r="KUR483" s="299"/>
      <c r="KUS483" s="299"/>
      <c r="KUT483" s="299"/>
      <c r="KUU483" s="299"/>
      <c r="KUV483" s="299"/>
      <c r="KUW483" s="299"/>
      <c r="KUX483" s="299"/>
      <c r="KUY483" s="299"/>
      <c r="KUZ483" s="299"/>
      <c r="KVA483" s="299"/>
      <c r="KVB483" s="299"/>
      <c r="KVC483" s="299"/>
      <c r="KVD483" s="299"/>
      <c r="KVE483" s="299"/>
      <c r="KVF483" s="299"/>
      <c r="KVG483" s="299"/>
      <c r="KVH483" s="299"/>
      <c r="KVI483" s="299"/>
      <c r="KVJ483" s="299"/>
      <c r="KVK483" s="299"/>
      <c r="KVL483" s="299"/>
      <c r="KVM483" s="299"/>
      <c r="KVN483" s="299"/>
      <c r="KVO483" s="299"/>
      <c r="KVP483" s="299"/>
      <c r="KVQ483" s="299"/>
      <c r="KVR483" s="299"/>
      <c r="KVS483" s="299"/>
      <c r="KVT483" s="299"/>
      <c r="KVU483" s="299"/>
      <c r="KVV483" s="299"/>
      <c r="KVW483" s="299"/>
      <c r="KVX483" s="299"/>
      <c r="KVY483" s="299"/>
      <c r="KVZ483" s="299"/>
      <c r="KWA483" s="299"/>
      <c r="KWB483" s="299"/>
      <c r="KWC483" s="299"/>
      <c r="KWD483" s="299"/>
      <c r="KWE483" s="299"/>
      <c r="KWF483" s="299"/>
      <c r="KWG483" s="299"/>
      <c r="KWH483" s="299"/>
      <c r="KWI483" s="299"/>
      <c r="KWJ483" s="299"/>
      <c r="KWK483" s="299"/>
      <c r="KWL483" s="299"/>
      <c r="KWM483" s="299"/>
      <c r="KWN483" s="299"/>
      <c r="KWO483" s="299"/>
      <c r="KWP483" s="299"/>
      <c r="KWQ483" s="299"/>
      <c r="KWR483" s="299"/>
      <c r="KWS483" s="299"/>
      <c r="KWT483" s="299"/>
      <c r="KWU483" s="299"/>
      <c r="KWV483" s="299"/>
      <c r="KWW483" s="299"/>
      <c r="KWX483" s="299"/>
      <c r="KWY483" s="299"/>
      <c r="KWZ483" s="299"/>
      <c r="KXA483" s="299"/>
      <c r="KXB483" s="299"/>
      <c r="KXC483" s="299"/>
      <c r="KXD483" s="299"/>
      <c r="KXE483" s="299"/>
      <c r="KXF483" s="299"/>
      <c r="KXG483" s="299"/>
      <c r="KXH483" s="299"/>
      <c r="KXI483" s="299"/>
      <c r="KXJ483" s="299"/>
      <c r="KXK483" s="299"/>
      <c r="KXL483" s="299"/>
      <c r="KXM483" s="299"/>
      <c r="KXN483" s="299"/>
      <c r="KXO483" s="299"/>
      <c r="KXP483" s="299"/>
      <c r="KXQ483" s="299"/>
      <c r="KXR483" s="299"/>
      <c r="KXS483" s="299"/>
      <c r="KXT483" s="299"/>
      <c r="KXU483" s="299"/>
      <c r="KXV483" s="299"/>
      <c r="KXW483" s="299"/>
      <c r="KXX483" s="299"/>
      <c r="KXY483" s="299"/>
      <c r="KXZ483" s="299"/>
      <c r="KYA483" s="299"/>
      <c r="KYB483" s="299"/>
      <c r="KYC483" s="299"/>
      <c r="KYD483" s="299"/>
      <c r="KYE483" s="299"/>
      <c r="KYF483" s="299"/>
      <c r="KYG483" s="299"/>
      <c r="KYH483" s="299"/>
      <c r="KYI483" s="299"/>
      <c r="KYJ483" s="299"/>
      <c r="KYK483" s="299"/>
      <c r="KYL483" s="299"/>
      <c r="KYM483" s="299"/>
      <c r="KYN483" s="299"/>
      <c r="KYO483" s="299"/>
      <c r="KYP483" s="299"/>
      <c r="KYQ483" s="299"/>
      <c r="KYR483" s="299"/>
      <c r="KYS483" s="299"/>
      <c r="KYT483" s="299"/>
      <c r="KYU483" s="299"/>
      <c r="KYV483" s="299"/>
      <c r="KYW483" s="299"/>
      <c r="KYX483" s="299"/>
      <c r="KYY483" s="299"/>
      <c r="KYZ483" s="299"/>
      <c r="KZA483" s="299"/>
      <c r="KZB483" s="299"/>
      <c r="KZC483" s="299"/>
      <c r="KZD483" s="299"/>
      <c r="KZE483" s="299"/>
      <c r="KZF483" s="299"/>
      <c r="KZG483" s="299"/>
      <c r="KZH483" s="299"/>
      <c r="KZI483" s="299"/>
      <c r="KZJ483" s="299"/>
      <c r="KZK483" s="299"/>
      <c r="KZL483" s="299"/>
      <c r="KZM483" s="299"/>
      <c r="KZN483" s="299"/>
      <c r="KZO483" s="299"/>
      <c r="KZP483" s="299"/>
      <c r="KZQ483" s="299"/>
      <c r="KZR483" s="299"/>
      <c r="KZS483" s="299"/>
      <c r="KZT483" s="299"/>
      <c r="KZU483" s="299"/>
      <c r="KZV483" s="299"/>
      <c r="KZW483" s="299"/>
      <c r="KZX483" s="299"/>
      <c r="KZY483" s="299"/>
      <c r="KZZ483" s="299"/>
      <c r="LAA483" s="299"/>
      <c r="LAB483" s="299"/>
      <c r="LAC483" s="299"/>
      <c r="LAD483" s="299"/>
      <c r="LAE483" s="299"/>
      <c r="LAF483" s="299"/>
      <c r="LAG483" s="299"/>
      <c r="LAH483" s="299"/>
      <c r="LAI483" s="299"/>
      <c r="LAJ483" s="299"/>
      <c r="LAK483" s="299"/>
      <c r="LAL483" s="299"/>
      <c r="LAM483" s="299"/>
      <c r="LAN483" s="299"/>
      <c r="LAO483" s="299"/>
      <c r="LAP483" s="299"/>
      <c r="LAQ483" s="299"/>
      <c r="LAR483" s="299"/>
      <c r="LAS483" s="299"/>
      <c r="LAT483" s="299"/>
      <c r="LAU483" s="299"/>
      <c r="LAV483" s="299"/>
      <c r="LAW483" s="299"/>
      <c r="LAX483" s="299"/>
      <c r="LAY483" s="299"/>
      <c r="LAZ483" s="299"/>
      <c r="LBA483" s="299"/>
      <c r="LBB483" s="299"/>
      <c r="LBC483" s="299"/>
      <c r="LBD483" s="299"/>
      <c r="LBE483" s="299"/>
      <c r="LBF483" s="299"/>
      <c r="LBG483" s="299"/>
      <c r="LBH483" s="299"/>
      <c r="LBI483" s="299"/>
      <c r="LBJ483" s="299"/>
      <c r="LBK483" s="299"/>
      <c r="LBL483" s="299"/>
      <c r="LBM483" s="299"/>
      <c r="LBN483" s="299"/>
      <c r="LBO483" s="299"/>
      <c r="LBP483" s="299"/>
      <c r="LBQ483" s="299"/>
      <c r="LBR483" s="299"/>
      <c r="LBS483" s="299"/>
      <c r="LBT483" s="299"/>
      <c r="LBU483" s="299"/>
      <c r="LBV483" s="299"/>
      <c r="LBW483" s="299"/>
      <c r="LBX483" s="299"/>
      <c r="LBY483" s="299"/>
      <c r="LBZ483" s="299"/>
      <c r="LCA483" s="299"/>
      <c r="LCB483" s="299"/>
      <c r="LCC483" s="299"/>
      <c r="LCD483" s="299"/>
      <c r="LCE483" s="299"/>
      <c r="LCF483" s="299"/>
      <c r="LCG483" s="299"/>
      <c r="LCH483" s="299"/>
      <c r="LCI483" s="299"/>
      <c r="LCJ483" s="299"/>
      <c r="LCK483" s="299"/>
      <c r="LCL483" s="299"/>
      <c r="LCM483" s="299"/>
      <c r="LCN483" s="299"/>
      <c r="LCO483" s="299"/>
      <c r="LCP483" s="299"/>
      <c r="LCQ483" s="299"/>
      <c r="LCR483" s="299"/>
      <c r="LCS483" s="299"/>
      <c r="LCT483" s="299"/>
      <c r="LCU483" s="299"/>
      <c r="LCV483" s="299"/>
      <c r="LCW483" s="299"/>
      <c r="LCX483" s="299"/>
      <c r="LCY483" s="299"/>
      <c r="LCZ483" s="299"/>
      <c r="LDA483" s="299"/>
      <c r="LDB483" s="299"/>
      <c r="LDC483" s="299"/>
      <c r="LDD483" s="299"/>
      <c r="LDE483" s="299"/>
      <c r="LDF483" s="299"/>
      <c r="LDG483" s="299"/>
      <c r="LDH483" s="299"/>
      <c r="LDI483" s="299"/>
      <c r="LDJ483" s="299"/>
      <c r="LDK483" s="299"/>
      <c r="LDL483" s="299"/>
      <c r="LDM483" s="299"/>
      <c r="LDN483" s="299"/>
      <c r="LDO483" s="299"/>
      <c r="LDP483" s="299"/>
      <c r="LDQ483" s="299"/>
      <c r="LDR483" s="299"/>
      <c r="LDS483" s="299"/>
      <c r="LDT483" s="299"/>
      <c r="LDU483" s="299"/>
      <c r="LDV483" s="299"/>
      <c r="LDW483" s="299"/>
      <c r="LDX483" s="299"/>
      <c r="LDY483" s="299"/>
      <c r="LDZ483" s="299"/>
      <c r="LEA483" s="299"/>
      <c r="LEB483" s="299"/>
      <c r="LEC483" s="299"/>
      <c r="LED483" s="299"/>
      <c r="LEE483" s="299"/>
      <c r="LEF483" s="299"/>
      <c r="LEG483" s="299"/>
      <c r="LEH483" s="299"/>
      <c r="LEI483" s="299"/>
      <c r="LEJ483" s="299"/>
      <c r="LEK483" s="299"/>
      <c r="LEL483" s="299"/>
      <c r="LEM483" s="299"/>
      <c r="LEN483" s="299"/>
      <c r="LEO483" s="299"/>
      <c r="LEP483" s="299"/>
      <c r="LEQ483" s="299"/>
      <c r="LER483" s="299"/>
      <c r="LES483" s="299"/>
      <c r="LET483" s="299"/>
      <c r="LEU483" s="299"/>
      <c r="LEV483" s="299"/>
      <c r="LEW483" s="299"/>
      <c r="LEX483" s="299"/>
      <c r="LEY483" s="299"/>
      <c r="LEZ483" s="299"/>
      <c r="LFA483" s="299"/>
      <c r="LFB483" s="299"/>
      <c r="LFC483" s="299"/>
      <c r="LFD483" s="299"/>
      <c r="LFE483" s="299"/>
      <c r="LFF483" s="299"/>
      <c r="LFG483" s="299"/>
      <c r="LFH483" s="299"/>
      <c r="LFI483" s="299"/>
      <c r="LFJ483" s="299"/>
      <c r="LFK483" s="299"/>
      <c r="LFL483" s="299"/>
      <c r="LFM483" s="299"/>
      <c r="LFN483" s="299"/>
      <c r="LFO483" s="299"/>
      <c r="LFP483" s="299"/>
      <c r="LFQ483" s="299"/>
      <c r="LFR483" s="299"/>
      <c r="LFS483" s="299"/>
      <c r="LFT483" s="299"/>
      <c r="LFU483" s="299"/>
      <c r="LFV483" s="299"/>
      <c r="LFW483" s="299"/>
      <c r="LFX483" s="299"/>
      <c r="LFY483" s="299"/>
      <c r="LFZ483" s="299"/>
      <c r="LGA483" s="299"/>
      <c r="LGB483" s="299"/>
      <c r="LGC483" s="299"/>
      <c r="LGD483" s="299"/>
      <c r="LGE483" s="299"/>
      <c r="LGF483" s="299"/>
      <c r="LGG483" s="299"/>
      <c r="LGH483" s="299"/>
      <c r="LGI483" s="299"/>
      <c r="LGJ483" s="299"/>
      <c r="LGK483" s="299"/>
      <c r="LGL483" s="299"/>
      <c r="LGM483" s="299"/>
      <c r="LGN483" s="299"/>
      <c r="LGO483" s="299"/>
      <c r="LGP483" s="299"/>
      <c r="LGQ483" s="299"/>
      <c r="LGR483" s="299"/>
      <c r="LGS483" s="299"/>
      <c r="LGT483" s="299"/>
      <c r="LGU483" s="299"/>
      <c r="LGV483" s="299"/>
      <c r="LGW483" s="299"/>
      <c r="LGX483" s="299"/>
      <c r="LGY483" s="299"/>
      <c r="LGZ483" s="299"/>
      <c r="LHA483" s="299"/>
      <c r="LHB483" s="299"/>
      <c r="LHC483" s="299"/>
      <c r="LHD483" s="299"/>
      <c r="LHE483" s="299"/>
      <c r="LHF483" s="299"/>
      <c r="LHG483" s="299"/>
      <c r="LHH483" s="299"/>
      <c r="LHI483" s="299"/>
      <c r="LHJ483" s="299"/>
      <c r="LHK483" s="299"/>
      <c r="LHL483" s="299"/>
      <c r="LHM483" s="299"/>
      <c r="LHN483" s="299"/>
      <c r="LHO483" s="299"/>
      <c r="LHP483" s="299"/>
      <c r="LHQ483" s="299"/>
      <c r="LHR483" s="299"/>
      <c r="LHS483" s="299"/>
      <c r="LHT483" s="299"/>
      <c r="LHU483" s="299"/>
      <c r="LHV483" s="299"/>
      <c r="LHW483" s="299"/>
      <c r="LHX483" s="299"/>
      <c r="LHY483" s="299"/>
      <c r="LHZ483" s="299"/>
      <c r="LIA483" s="299"/>
      <c r="LIB483" s="299"/>
      <c r="LIC483" s="299"/>
      <c r="LID483" s="299"/>
      <c r="LIE483" s="299"/>
      <c r="LIF483" s="299"/>
      <c r="LIG483" s="299"/>
      <c r="LIH483" s="299"/>
      <c r="LII483" s="299"/>
      <c r="LIJ483" s="299"/>
      <c r="LIK483" s="299"/>
      <c r="LIL483" s="299"/>
      <c r="LIM483" s="299"/>
      <c r="LIN483" s="299"/>
      <c r="LIO483" s="299"/>
      <c r="LIP483" s="299"/>
      <c r="LIQ483" s="299"/>
      <c r="LIR483" s="299"/>
      <c r="LIS483" s="299"/>
      <c r="LIT483" s="299"/>
      <c r="LIU483" s="299"/>
      <c r="LIV483" s="299"/>
      <c r="LIW483" s="299"/>
      <c r="LIX483" s="299"/>
      <c r="LIY483" s="299"/>
      <c r="LIZ483" s="299"/>
      <c r="LJA483" s="299"/>
      <c r="LJB483" s="299"/>
      <c r="LJC483" s="299"/>
      <c r="LJD483" s="299"/>
      <c r="LJE483" s="299"/>
      <c r="LJF483" s="299"/>
      <c r="LJG483" s="299"/>
      <c r="LJH483" s="299"/>
      <c r="LJI483" s="299"/>
      <c r="LJJ483" s="299"/>
      <c r="LJK483" s="299"/>
      <c r="LJL483" s="299"/>
      <c r="LJM483" s="299"/>
      <c r="LJN483" s="299"/>
      <c r="LJO483" s="299"/>
      <c r="LJP483" s="299"/>
      <c r="LJQ483" s="299"/>
      <c r="LJR483" s="299"/>
      <c r="LJS483" s="299"/>
      <c r="LJT483" s="299"/>
      <c r="LJU483" s="299"/>
      <c r="LJV483" s="299"/>
      <c r="LJW483" s="299"/>
      <c r="LJX483" s="299"/>
      <c r="LJY483" s="299"/>
      <c r="LJZ483" s="299"/>
      <c r="LKA483" s="299"/>
      <c r="LKB483" s="299"/>
      <c r="LKC483" s="299"/>
      <c r="LKD483" s="299"/>
      <c r="LKE483" s="299"/>
      <c r="LKF483" s="299"/>
      <c r="LKG483" s="299"/>
      <c r="LKH483" s="299"/>
      <c r="LKI483" s="299"/>
      <c r="LKJ483" s="299"/>
      <c r="LKK483" s="299"/>
      <c r="LKL483" s="299"/>
      <c r="LKM483" s="299"/>
      <c r="LKN483" s="299"/>
      <c r="LKO483" s="299"/>
      <c r="LKP483" s="299"/>
      <c r="LKQ483" s="299"/>
      <c r="LKR483" s="299"/>
      <c r="LKS483" s="299"/>
      <c r="LKT483" s="299"/>
      <c r="LKU483" s="299"/>
      <c r="LKV483" s="299"/>
      <c r="LKW483" s="299"/>
      <c r="LKX483" s="299"/>
      <c r="LKY483" s="299"/>
      <c r="LKZ483" s="299"/>
      <c r="LLA483" s="299"/>
      <c r="LLB483" s="299"/>
      <c r="LLC483" s="299"/>
      <c r="LLD483" s="299"/>
      <c r="LLE483" s="299"/>
      <c r="LLF483" s="299"/>
      <c r="LLG483" s="299"/>
      <c r="LLH483" s="299"/>
      <c r="LLI483" s="299"/>
      <c r="LLJ483" s="299"/>
      <c r="LLK483" s="299"/>
      <c r="LLL483" s="299"/>
      <c r="LLM483" s="299"/>
      <c r="LLN483" s="299"/>
      <c r="LLO483" s="299"/>
      <c r="LLP483" s="299"/>
      <c r="LLQ483" s="299"/>
      <c r="LLR483" s="299"/>
      <c r="LLS483" s="299"/>
      <c r="LLT483" s="299"/>
      <c r="LLU483" s="299"/>
      <c r="LLV483" s="299"/>
      <c r="LLW483" s="299"/>
      <c r="LLX483" s="299"/>
      <c r="LLY483" s="299"/>
      <c r="LLZ483" s="299"/>
      <c r="LMA483" s="299"/>
      <c r="LMB483" s="299"/>
      <c r="LMC483" s="299"/>
      <c r="LMD483" s="299"/>
      <c r="LME483" s="299"/>
      <c r="LMF483" s="299"/>
      <c r="LMG483" s="299"/>
      <c r="LMH483" s="299"/>
      <c r="LMI483" s="299"/>
      <c r="LMJ483" s="299"/>
      <c r="LMK483" s="299"/>
      <c r="LML483" s="299"/>
      <c r="LMM483" s="299"/>
      <c r="LMN483" s="299"/>
      <c r="LMO483" s="299"/>
      <c r="LMP483" s="299"/>
      <c r="LMQ483" s="299"/>
      <c r="LMR483" s="299"/>
      <c r="LMS483" s="299"/>
      <c r="LMT483" s="299"/>
      <c r="LMU483" s="299"/>
      <c r="LMV483" s="299"/>
      <c r="LMW483" s="299"/>
      <c r="LMX483" s="299"/>
      <c r="LMY483" s="299"/>
      <c r="LMZ483" s="299"/>
      <c r="LNA483" s="299"/>
      <c r="LNB483" s="299"/>
      <c r="LNC483" s="299"/>
      <c r="LND483" s="299"/>
      <c r="LNE483" s="299"/>
      <c r="LNF483" s="299"/>
      <c r="LNG483" s="299"/>
      <c r="LNH483" s="299"/>
      <c r="LNI483" s="299"/>
      <c r="LNJ483" s="299"/>
      <c r="LNK483" s="299"/>
      <c r="LNL483" s="299"/>
      <c r="LNM483" s="299"/>
      <c r="LNN483" s="299"/>
      <c r="LNO483" s="299"/>
      <c r="LNP483" s="299"/>
      <c r="LNQ483" s="299"/>
      <c r="LNR483" s="299"/>
      <c r="LNS483" s="299"/>
      <c r="LNT483" s="299"/>
      <c r="LNU483" s="299"/>
      <c r="LNV483" s="299"/>
      <c r="LNW483" s="299"/>
      <c r="LNX483" s="299"/>
      <c r="LNY483" s="299"/>
      <c r="LNZ483" s="299"/>
      <c r="LOA483" s="299"/>
      <c r="LOB483" s="299"/>
      <c r="LOC483" s="299"/>
      <c r="LOD483" s="299"/>
      <c r="LOE483" s="299"/>
      <c r="LOF483" s="299"/>
      <c r="LOG483" s="299"/>
      <c r="LOH483" s="299"/>
      <c r="LOI483" s="299"/>
      <c r="LOJ483" s="299"/>
      <c r="LOK483" s="299"/>
      <c r="LOL483" s="299"/>
      <c r="LOM483" s="299"/>
      <c r="LON483" s="299"/>
      <c r="LOO483" s="299"/>
      <c r="LOP483" s="299"/>
      <c r="LOQ483" s="299"/>
      <c r="LOR483" s="299"/>
      <c r="LOS483" s="299"/>
      <c r="LOT483" s="299"/>
      <c r="LOU483" s="299"/>
      <c r="LOV483" s="299"/>
      <c r="LOW483" s="299"/>
      <c r="LOX483" s="299"/>
      <c r="LOY483" s="299"/>
      <c r="LOZ483" s="299"/>
      <c r="LPA483" s="299"/>
      <c r="LPB483" s="299"/>
      <c r="LPC483" s="299"/>
      <c r="LPD483" s="299"/>
      <c r="LPE483" s="299"/>
      <c r="LPF483" s="299"/>
      <c r="LPG483" s="299"/>
      <c r="LPH483" s="299"/>
      <c r="LPI483" s="299"/>
      <c r="LPJ483" s="299"/>
      <c r="LPK483" s="299"/>
      <c r="LPL483" s="299"/>
      <c r="LPM483" s="299"/>
      <c r="LPN483" s="299"/>
      <c r="LPO483" s="299"/>
      <c r="LPP483" s="299"/>
      <c r="LPQ483" s="299"/>
      <c r="LPR483" s="299"/>
      <c r="LPS483" s="299"/>
      <c r="LPT483" s="299"/>
      <c r="LPU483" s="299"/>
      <c r="LPV483" s="299"/>
      <c r="LPW483" s="299"/>
      <c r="LPX483" s="299"/>
      <c r="LPY483" s="299"/>
      <c r="LPZ483" s="299"/>
      <c r="LQA483" s="299"/>
      <c r="LQB483" s="299"/>
      <c r="LQC483" s="299"/>
      <c r="LQD483" s="299"/>
      <c r="LQE483" s="299"/>
      <c r="LQF483" s="299"/>
      <c r="LQG483" s="299"/>
      <c r="LQH483" s="299"/>
      <c r="LQI483" s="299"/>
      <c r="LQJ483" s="299"/>
      <c r="LQK483" s="299"/>
      <c r="LQL483" s="299"/>
      <c r="LQM483" s="299"/>
      <c r="LQN483" s="299"/>
      <c r="LQO483" s="299"/>
      <c r="LQP483" s="299"/>
      <c r="LQQ483" s="299"/>
      <c r="LQR483" s="299"/>
      <c r="LQS483" s="299"/>
      <c r="LQT483" s="299"/>
      <c r="LQU483" s="299"/>
      <c r="LQV483" s="299"/>
      <c r="LQW483" s="299"/>
      <c r="LQX483" s="299"/>
      <c r="LQY483" s="299"/>
      <c r="LQZ483" s="299"/>
      <c r="LRA483" s="299"/>
      <c r="LRB483" s="299"/>
      <c r="LRC483" s="299"/>
      <c r="LRD483" s="299"/>
      <c r="LRE483" s="299"/>
      <c r="LRF483" s="299"/>
      <c r="LRG483" s="299"/>
      <c r="LRH483" s="299"/>
      <c r="LRI483" s="299"/>
      <c r="LRJ483" s="299"/>
      <c r="LRK483" s="299"/>
      <c r="LRL483" s="299"/>
      <c r="LRM483" s="299"/>
      <c r="LRN483" s="299"/>
      <c r="LRO483" s="299"/>
      <c r="LRP483" s="299"/>
      <c r="LRQ483" s="299"/>
      <c r="LRR483" s="299"/>
      <c r="LRS483" s="299"/>
      <c r="LRT483" s="299"/>
      <c r="LRU483" s="299"/>
      <c r="LRV483" s="299"/>
      <c r="LRW483" s="299"/>
      <c r="LRX483" s="299"/>
      <c r="LRY483" s="299"/>
      <c r="LRZ483" s="299"/>
      <c r="LSA483" s="299"/>
      <c r="LSB483" s="299"/>
      <c r="LSC483" s="299"/>
      <c r="LSD483" s="299"/>
      <c r="LSE483" s="299"/>
      <c r="LSF483" s="299"/>
      <c r="LSG483" s="299"/>
      <c r="LSH483" s="299"/>
      <c r="LSI483" s="299"/>
      <c r="LSJ483" s="299"/>
      <c r="LSK483" s="299"/>
      <c r="LSL483" s="299"/>
      <c r="LSM483" s="299"/>
      <c r="LSN483" s="299"/>
      <c r="LSO483" s="299"/>
      <c r="LSP483" s="299"/>
      <c r="LSQ483" s="299"/>
      <c r="LSR483" s="299"/>
      <c r="LSS483" s="299"/>
      <c r="LST483" s="299"/>
      <c r="LSU483" s="299"/>
      <c r="LSV483" s="299"/>
      <c r="LSW483" s="299"/>
      <c r="LSX483" s="299"/>
      <c r="LSY483" s="299"/>
      <c r="LSZ483" s="299"/>
      <c r="LTA483" s="299"/>
      <c r="LTB483" s="299"/>
      <c r="LTC483" s="299"/>
      <c r="LTD483" s="299"/>
      <c r="LTE483" s="299"/>
      <c r="LTF483" s="299"/>
      <c r="LTG483" s="299"/>
      <c r="LTH483" s="299"/>
      <c r="LTI483" s="299"/>
      <c r="LTJ483" s="299"/>
      <c r="LTK483" s="299"/>
      <c r="LTL483" s="299"/>
      <c r="LTM483" s="299"/>
      <c r="LTN483" s="299"/>
      <c r="LTO483" s="299"/>
      <c r="LTP483" s="299"/>
      <c r="LTQ483" s="299"/>
      <c r="LTR483" s="299"/>
      <c r="LTS483" s="299"/>
      <c r="LTT483" s="299"/>
      <c r="LTU483" s="299"/>
      <c r="LTV483" s="299"/>
      <c r="LTW483" s="299"/>
      <c r="LTX483" s="299"/>
      <c r="LTY483" s="299"/>
      <c r="LTZ483" s="299"/>
      <c r="LUA483" s="299"/>
      <c r="LUB483" s="299"/>
      <c r="LUC483" s="299"/>
      <c r="LUD483" s="299"/>
      <c r="LUE483" s="299"/>
      <c r="LUF483" s="299"/>
      <c r="LUG483" s="299"/>
      <c r="LUH483" s="299"/>
      <c r="LUI483" s="299"/>
      <c r="LUJ483" s="299"/>
      <c r="LUK483" s="299"/>
      <c r="LUL483" s="299"/>
      <c r="LUM483" s="299"/>
      <c r="LUN483" s="299"/>
      <c r="LUO483" s="299"/>
      <c r="LUP483" s="299"/>
      <c r="LUQ483" s="299"/>
      <c r="LUR483" s="299"/>
      <c r="LUS483" s="299"/>
      <c r="LUT483" s="299"/>
      <c r="LUU483" s="299"/>
      <c r="LUV483" s="299"/>
      <c r="LUW483" s="299"/>
      <c r="LUX483" s="299"/>
      <c r="LUY483" s="299"/>
      <c r="LUZ483" s="299"/>
      <c r="LVA483" s="299"/>
      <c r="LVB483" s="299"/>
      <c r="LVC483" s="299"/>
      <c r="LVD483" s="299"/>
      <c r="LVE483" s="299"/>
      <c r="LVF483" s="299"/>
      <c r="LVG483" s="299"/>
      <c r="LVH483" s="299"/>
      <c r="LVI483" s="299"/>
      <c r="LVJ483" s="299"/>
      <c r="LVK483" s="299"/>
      <c r="LVL483" s="299"/>
      <c r="LVM483" s="299"/>
      <c r="LVN483" s="299"/>
      <c r="LVO483" s="299"/>
      <c r="LVP483" s="299"/>
      <c r="LVQ483" s="299"/>
      <c r="LVR483" s="299"/>
      <c r="LVS483" s="299"/>
      <c r="LVT483" s="299"/>
      <c r="LVU483" s="299"/>
      <c r="LVV483" s="299"/>
      <c r="LVW483" s="299"/>
      <c r="LVX483" s="299"/>
      <c r="LVY483" s="299"/>
      <c r="LVZ483" s="299"/>
      <c r="LWA483" s="299"/>
      <c r="LWB483" s="299"/>
      <c r="LWC483" s="299"/>
      <c r="LWD483" s="299"/>
      <c r="LWE483" s="299"/>
      <c r="LWF483" s="299"/>
      <c r="LWG483" s="299"/>
      <c r="LWH483" s="299"/>
      <c r="LWI483" s="299"/>
      <c r="LWJ483" s="299"/>
      <c r="LWK483" s="299"/>
      <c r="LWL483" s="299"/>
      <c r="LWM483" s="299"/>
      <c r="LWN483" s="299"/>
      <c r="LWO483" s="299"/>
      <c r="LWP483" s="299"/>
      <c r="LWQ483" s="299"/>
      <c r="LWR483" s="299"/>
      <c r="LWS483" s="299"/>
      <c r="LWT483" s="299"/>
      <c r="LWU483" s="299"/>
      <c r="LWV483" s="299"/>
      <c r="LWW483" s="299"/>
      <c r="LWX483" s="299"/>
      <c r="LWY483" s="299"/>
      <c r="LWZ483" s="299"/>
      <c r="LXA483" s="299"/>
      <c r="LXB483" s="299"/>
      <c r="LXC483" s="299"/>
      <c r="LXD483" s="299"/>
      <c r="LXE483" s="299"/>
      <c r="LXF483" s="299"/>
      <c r="LXG483" s="299"/>
      <c r="LXH483" s="299"/>
      <c r="LXI483" s="299"/>
      <c r="LXJ483" s="299"/>
      <c r="LXK483" s="299"/>
      <c r="LXL483" s="299"/>
      <c r="LXM483" s="299"/>
      <c r="LXN483" s="299"/>
      <c r="LXO483" s="299"/>
      <c r="LXP483" s="299"/>
      <c r="LXQ483" s="299"/>
      <c r="LXR483" s="299"/>
      <c r="LXS483" s="299"/>
      <c r="LXT483" s="299"/>
      <c r="LXU483" s="299"/>
      <c r="LXV483" s="299"/>
      <c r="LXW483" s="299"/>
      <c r="LXX483" s="299"/>
      <c r="LXY483" s="299"/>
      <c r="LXZ483" s="299"/>
      <c r="LYA483" s="299"/>
      <c r="LYB483" s="299"/>
      <c r="LYC483" s="299"/>
      <c r="LYD483" s="299"/>
      <c r="LYE483" s="299"/>
      <c r="LYF483" s="299"/>
      <c r="LYG483" s="299"/>
      <c r="LYH483" s="299"/>
      <c r="LYI483" s="299"/>
      <c r="LYJ483" s="299"/>
      <c r="LYK483" s="299"/>
      <c r="LYL483" s="299"/>
      <c r="LYM483" s="299"/>
      <c r="LYN483" s="299"/>
      <c r="LYO483" s="299"/>
      <c r="LYP483" s="299"/>
      <c r="LYQ483" s="299"/>
      <c r="LYR483" s="299"/>
      <c r="LYS483" s="299"/>
      <c r="LYT483" s="299"/>
      <c r="LYU483" s="299"/>
      <c r="LYV483" s="299"/>
      <c r="LYW483" s="299"/>
      <c r="LYX483" s="299"/>
      <c r="LYY483" s="299"/>
      <c r="LYZ483" s="299"/>
      <c r="LZA483" s="299"/>
      <c r="LZB483" s="299"/>
      <c r="LZC483" s="299"/>
      <c r="LZD483" s="299"/>
      <c r="LZE483" s="299"/>
      <c r="LZF483" s="299"/>
      <c r="LZG483" s="299"/>
      <c r="LZH483" s="299"/>
      <c r="LZI483" s="299"/>
      <c r="LZJ483" s="299"/>
      <c r="LZK483" s="299"/>
      <c r="LZL483" s="299"/>
      <c r="LZM483" s="299"/>
      <c r="LZN483" s="299"/>
      <c r="LZO483" s="299"/>
      <c r="LZP483" s="299"/>
      <c r="LZQ483" s="299"/>
      <c r="LZR483" s="299"/>
      <c r="LZS483" s="299"/>
      <c r="LZT483" s="299"/>
      <c r="LZU483" s="299"/>
      <c r="LZV483" s="299"/>
      <c r="LZW483" s="299"/>
      <c r="LZX483" s="299"/>
      <c r="LZY483" s="299"/>
      <c r="LZZ483" s="299"/>
      <c r="MAA483" s="299"/>
      <c r="MAB483" s="299"/>
      <c r="MAC483" s="299"/>
      <c r="MAD483" s="299"/>
      <c r="MAE483" s="299"/>
      <c r="MAF483" s="299"/>
      <c r="MAG483" s="299"/>
      <c r="MAH483" s="299"/>
      <c r="MAI483" s="299"/>
      <c r="MAJ483" s="299"/>
      <c r="MAK483" s="299"/>
      <c r="MAL483" s="299"/>
      <c r="MAM483" s="299"/>
      <c r="MAN483" s="299"/>
      <c r="MAO483" s="299"/>
      <c r="MAP483" s="299"/>
      <c r="MAQ483" s="299"/>
      <c r="MAR483" s="299"/>
      <c r="MAS483" s="299"/>
      <c r="MAT483" s="299"/>
      <c r="MAU483" s="299"/>
      <c r="MAV483" s="299"/>
      <c r="MAW483" s="299"/>
      <c r="MAX483" s="299"/>
      <c r="MAY483" s="299"/>
      <c r="MAZ483" s="299"/>
      <c r="MBA483" s="299"/>
      <c r="MBB483" s="299"/>
      <c r="MBC483" s="299"/>
      <c r="MBD483" s="299"/>
      <c r="MBE483" s="299"/>
      <c r="MBF483" s="299"/>
      <c r="MBG483" s="299"/>
      <c r="MBH483" s="299"/>
      <c r="MBI483" s="299"/>
      <c r="MBJ483" s="299"/>
      <c r="MBK483" s="299"/>
      <c r="MBL483" s="299"/>
      <c r="MBM483" s="299"/>
      <c r="MBN483" s="299"/>
      <c r="MBO483" s="299"/>
      <c r="MBP483" s="299"/>
      <c r="MBQ483" s="299"/>
      <c r="MBR483" s="299"/>
      <c r="MBS483" s="299"/>
      <c r="MBT483" s="299"/>
      <c r="MBU483" s="299"/>
      <c r="MBV483" s="299"/>
      <c r="MBW483" s="299"/>
      <c r="MBX483" s="299"/>
      <c r="MBY483" s="299"/>
      <c r="MBZ483" s="299"/>
      <c r="MCA483" s="299"/>
      <c r="MCB483" s="299"/>
      <c r="MCC483" s="299"/>
      <c r="MCD483" s="299"/>
      <c r="MCE483" s="299"/>
      <c r="MCF483" s="299"/>
      <c r="MCG483" s="299"/>
      <c r="MCH483" s="299"/>
      <c r="MCI483" s="299"/>
      <c r="MCJ483" s="299"/>
      <c r="MCK483" s="299"/>
      <c r="MCL483" s="299"/>
      <c r="MCM483" s="299"/>
      <c r="MCN483" s="299"/>
      <c r="MCO483" s="299"/>
      <c r="MCP483" s="299"/>
      <c r="MCQ483" s="299"/>
      <c r="MCR483" s="299"/>
      <c r="MCS483" s="299"/>
      <c r="MCT483" s="299"/>
      <c r="MCU483" s="299"/>
      <c r="MCV483" s="299"/>
      <c r="MCW483" s="299"/>
      <c r="MCX483" s="299"/>
      <c r="MCY483" s="299"/>
      <c r="MCZ483" s="299"/>
      <c r="MDA483" s="299"/>
      <c r="MDB483" s="299"/>
      <c r="MDC483" s="299"/>
      <c r="MDD483" s="299"/>
      <c r="MDE483" s="299"/>
      <c r="MDF483" s="299"/>
      <c r="MDG483" s="299"/>
      <c r="MDH483" s="299"/>
      <c r="MDI483" s="299"/>
      <c r="MDJ483" s="299"/>
      <c r="MDK483" s="299"/>
      <c r="MDL483" s="299"/>
      <c r="MDM483" s="299"/>
      <c r="MDN483" s="299"/>
      <c r="MDO483" s="299"/>
      <c r="MDP483" s="299"/>
      <c r="MDQ483" s="299"/>
      <c r="MDR483" s="299"/>
      <c r="MDS483" s="299"/>
      <c r="MDT483" s="299"/>
      <c r="MDU483" s="299"/>
      <c r="MDV483" s="299"/>
      <c r="MDW483" s="299"/>
      <c r="MDX483" s="299"/>
      <c r="MDY483" s="299"/>
      <c r="MDZ483" s="299"/>
      <c r="MEA483" s="299"/>
      <c r="MEB483" s="299"/>
      <c r="MEC483" s="299"/>
      <c r="MED483" s="299"/>
      <c r="MEE483" s="299"/>
      <c r="MEF483" s="299"/>
      <c r="MEG483" s="299"/>
      <c r="MEH483" s="299"/>
      <c r="MEI483" s="299"/>
      <c r="MEJ483" s="299"/>
      <c r="MEK483" s="299"/>
      <c r="MEL483" s="299"/>
      <c r="MEM483" s="299"/>
      <c r="MEN483" s="299"/>
      <c r="MEO483" s="299"/>
      <c r="MEP483" s="299"/>
      <c r="MEQ483" s="299"/>
      <c r="MER483" s="299"/>
      <c r="MES483" s="299"/>
      <c r="MET483" s="299"/>
      <c r="MEU483" s="299"/>
      <c r="MEV483" s="299"/>
      <c r="MEW483" s="299"/>
      <c r="MEX483" s="299"/>
      <c r="MEY483" s="299"/>
      <c r="MEZ483" s="299"/>
      <c r="MFA483" s="299"/>
      <c r="MFB483" s="299"/>
      <c r="MFC483" s="299"/>
      <c r="MFD483" s="299"/>
      <c r="MFE483" s="299"/>
      <c r="MFF483" s="299"/>
      <c r="MFG483" s="299"/>
      <c r="MFH483" s="299"/>
      <c r="MFI483" s="299"/>
      <c r="MFJ483" s="299"/>
      <c r="MFK483" s="299"/>
      <c r="MFL483" s="299"/>
      <c r="MFM483" s="299"/>
      <c r="MFN483" s="299"/>
      <c r="MFO483" s="299"/>
      <c r="MFP483" s="299"/>
      <c r="MFQ483" s="299"/>
      <c r="MFR483" s="299"/>
      <c r="MFS483" s="299"/>
      <c r="MFT483" s="299"/>
      <c r="MFU483" s="299"/>
      <c r="MFV483" s="299"/>
      <c r="MFW483" s="299"/>
      <c r="MFX483" s="299"/>
      <c r="MFY483" s="299"/>
      <c r="MFZ483" s="299"/>
      <c r="MGA483" s="299"/>
      <c r="MGB483" s="299"/>
      <c r="MGC483" s="299"/>
      <c r="MGD483" s="299"/>
      <c r="MGE483" s="299"/>
      <c r="MGF483" s="299"/>
      <c r="MGG483" s="299"/>
      <c r="MGH483" s="299"/>
      <c r="MGI483" s="299"/>
      <c r="MGJ483" s="299"/>
      <c r="MGK483" s="299"/>
      <c r="MGL483" s="299"/>
      <c r="MGM483" s="299"/>
      <c r="MGN483" s="299"/>
      <c r="MGO483" s="299"/>
      <c r="MGP483" s="299"/>
      <c r="MGQ483" s="299"/>
      <c r="MGR483" s="299"/>
      <c r="MGS483" s="299"/>
      <c r="MGT483" s="299"/>
      <c r="MGU483" s="299"/>
      <c r="MGV483" s="299"/>
      <c r="MGW483" s="299"/>
      <c r="MGX483" s="299"/>
      <c r="MGY483" s="299"/>
      <c r="MGZ483" s="299"/>
      <c r="MHA483" s="299"/>
      <c r="MHB483" s="299"/>
      <c r="MHC483" s="299"/>
      <c r="MHD483" s="299"/>
      <c r="MHE483" s="299"/>
      <c r="MHF483" s="299"/>
      <c r="MHG483" s="299"/>
      <c r="MHH483" s="299"/>
      <c r="MHI483" s="299"/>
      <c r="MHJ483" s="299"/>
      <c r="MHK483" s="299"/>
      <c r="MHL483" s="299"/>
      <c r="MHM483" s="299"/>
      <c r="MHN483" s="299"/>
      <c r="MHO483" s="299"/>
      <c r="MHP483" s="299"/>
      <c r="MHQ483" s="299"/>
      <c r="MHR483" s="299"/>
      <c r="MHS483" s="299"/>
      <c r="MHT483" s="299"/>
      <c r="MHU483" s="299"/>
      <c r="MHV483" s="299"/>
      <c r="MHW483" s="299"/>
      <c r="MHX483" s="299"/>
      <c r="MHY483" s="299"/>
      <c r="MHZ483" s="299"/>
      <c r="MIA483" s="299"/>
      <c r="MIB483" s="299"/>
      <c r="MIC483" s="299"/>
      <c r="MID483" s="299"/>
      <c r="MIE483" s="299"/>
      <c r="MIF483" s="299"/>
      <c r="MIG483" s="299"/>
      <c r="MIH483" s="299"/>
      <c r="MII483" s="299"/>
      <c r="MIJ483" s="299"/>
      <c r="MIK483" s="299"/>
      <c r="MIL483" s="299"/>
      <c r="MIM483" s="299"/>
      <c r="MIN483" s="299"/>
      <c r="MIO483" s="299"/>
      <c r="MIP483" s="299"/>
      <c r="MIQ483" s="299"/>
      <c r="MIR483" s="299"/>
      <c r="MIS483" s="299"/>
      <c r="MIT483" s="299"/>
      <c r="MIU483" s="299"/>
      <c r="MIV483" s="299"/>
      <c r="MIW483" s="299"/>
      <c r="MIX483" s="299"/>
      <c r="MIY483" s="299"/>
      <c r="MIZ483" s="299"/>
      <c r="MJA483" s="299"/>
      <c r="MJB483" s="299"/>
      <c r="MJC483" s="299"/>
      <c r="MJD483" s="299"/>
      <c r="MJE483" s="299"/>
      <c r="MJF483" s="299"/>
      <c r="MJG483" s="299"/>
      <c r="MJH483" s="299"/>
      <c r="MJI483" s="299"/>
      <c r="MJJ483" s="299"/>
      <c r="MJK483" s="299"/>
      <c r="MJL483" s="299"/>
      <c r="MJM483" s="299"/>
      <c r="MJN483" s="299"/>
      <c r="MJO483" s="299"/>
      <c r="MJP483" s="299"/>
      <c r="MJQ483" s="299"/>
      <c r="MJR483" s="299"/>
      <c r="MJS483" s="299"/>
      <c r="MJT483" s="299"/>
      <c r="MJU483" s="299"/>
      <c r="MJV483" s="299"/>
      <c r="MJW483" s="299"/>
      <c r="MJX483" s="299"/>
      <c r="MJY483" s="299"/>
      <c r="MJZ483" s="299"/>
      <c r="MKA483" s="299"/>
      <c r="MKB483" s="299"/>
      <c r="MKC483" s="299"/>
      <c r="MKD483" s="299"/>
      <c r="MKE483" s="299"/>
      <c r="MKF483" s="299"/>
      <c r="MKG483" s="299"/>
      <c r="MKH483" s="299"/>
      <c r="MKI483" s="299"/>
      <c r="MKJ483" s="299"/>
      <c r="MKK483" s="299"/>
      <c r="MKL483" s="299"/>
      <c r="MKM483" s="299"/>
      <c r="MKN483" s="299"/>
      <c r="MKO483" s="299"/>
      <c r="MKP483" s="299"/>
      <c r="MKQ483" s="299"/>
      <c r="MKR483" s="299"/>
      <c r="MKS483" s="299"/>
      <c r="MKT483" s="299"/>
      <c r="MKU483" s="299"/>
      <c r="MKV483" s="299"/>
      <c r="MKW483" s="299"/>
      <c r="MKX483" s="299"/>
      <c r="MKY483" s="299"/>
      <c r="MKZ483" s="299"/>
      <c r="MLA483" s="299"/>
      <c r="MLB483" s="299"/>
      <c r="MLC483" s="299"/>
      <c r="MLD483" s="299"/>
      <c r="MLE483" s="299"/>
      <c r="MLF483" s="299"/>
      <c r="MLG483" s="299"/>
      <c r="MLH483" s="299"/>
      <c r="MLI483" s="299"/>
      <c r="MLJ483" s="299"/>
      <c r="MLK483" s="299"/>
      <c r="MLL483" s="299"/>
      <c r="MLM483" s="299"/>
      <c r="MLN483" s="299"/>
      <c r="MLO483" s="299"/>
      <c r="MLP483" s="299"/>
      <c r="MLQ483" s="299"/>
      <c r="MLR483" s="299"/>
      <c r="MLS483" s="299"/>
      <c r="MLT483" s="299"/>
      <c r="MLU483" s="299"/>
      <c r="MLV483" s="299"/>
      <c r="MLW483" s="299"/>
      <c r="MLX483" s="299"/>
      <c r="MLY483" s="299"/>
      <c r="MLZ483" s="299"/>
      <c r="MMA483" s="299"/>
      <c r="MMB483" s="299"/>
      <c r="MMC483" s="299"/>
      <c r="MMD483" s="299"/>
      <c r="MME483" s="299"/>
      <c r="MMF483" s="299"/>
      <c r="MMG483" s="299"/>
      <c r="MMH483" s="299"/>
      <c r="MMI483" s="299"/>
      <c r="MMJ483" s="299"/>
      <c r="MMK483" s="299"/>
      <c r="MML483" s="299"/>
      <c r="MMM483" s="299"/>
      <c r="MMN483" s="299"/>
      <c r="MMO483" s="299"/>
      <c r="MMP483" s="299"/>
      <c r="MMQ483" s="299"/>
      <c r="MMR483" s="299"/>
      <c r="MMS483" s="299"/>
      <c r="MMT483" s="299"/>
      <c r="MMU483" s="299"/>
      <c r="MMV483" s="299"/>
      <c r="MMW483" s="299"/>
      <c r="MMX483" s="299"/>
      <c r="MMY483" s="299"/>
      <c r="MMZ483" s="299"/>
      <c r="MNA483" s="299"/>
      <c r="MNB483" s="299"/>
      <c r="MNC483" s="299"/>
      <c r="MND483" s="299"/>
      <c r="MNE483" s="299"/>
      <c r="MNF483" s="299"/>
      <c r="MNG483" s="299"/>
      <c r="MNH483" s="299"/>
      <c r="MNI483" s="299"/>
      <c r="MNJ483" s="299"/>
      <c r="MNK483" s="299"/>
      <c r="MNL483" s="299"/>
      <c r="MNM483" s="299"/>
      <c r="MNN483" s="299"/>
      <c r="MNO483" s="299"/>
      <c r="MNP483" s="299"/>
      <c r="MNQ483" s="299"/>
      <c r="MNR483" s="299"/>
      <c r="MNS483" s="299"/>
      <c r="MNT483" s="299"/>
      <c r="MNU483" s="299"/>
      <c r="MNV483" s="299"/>
      <c r="MNW483" s="299"/>
      <c r="MNX483" s="299"/>
      <c r="MNY483" s="299"/>
      <c r="MNZ483" s="299"/>
      <c r="MOA483" s="299"/>
      <c r="MOB483" s="299"/>
      <c r="MOC483" s="299"/>
      <c r="MOD483" s="299"/>
      <c r="MOE483" s="299"/>
      <c r="MOF483" s="299"/>
      <c r="MOG483" s="299"/>
      <c r="MOH483" s="299"/>
      <c r="MOI483" s="299"/>
      <c r="MOJ483" s="299"/>
      <c r="MOK483" s="299"/>
      <c r="MOL483" s="299"/>
      <c r="MOM483" s="299"/>
      <c r="MON483" s="299"/>
      <c r="MOO483" s="299"/>
      <c r="MOP483" s="299"/>
      <c r="MOQ483" s="299"/>
      <c r="MOR483" s="299"/>
      <c r="MOS483" s="299"/>
      <c r="MOT483" s="299"/>
      <c r="MOU483" s="299"/>
      <c r="MOV483" s="299"/>
      <c r="MOW483" s="299"/>
      <c r="MOX483" s="299"/>
      <c r="MOY483" s="299"/>
      <c r="MOZ483" s="299"/>
      <c r="MPA483" s="299"/>
      <c r="MPB483" s="299"/>
      <c r="MPC483" s="299"/>
      <c r="MPD483" s="299"/>
      <c r="MPE483" s="299"/>
      <c r="MPF483" s="299"/>
      <c r="MPG483" s="299"/>
      <c r="MPH483" s="299"/>
      <c r="MPI483" s="299"/>
      <c r="MPJ483" s="299"/>
      <c r="MPK483" s="299"/>
      <c r="MPL483" s="299"/>
      <c r="MPM483" s="299"/>
      <c r="MPN483" s="299"/>
      <c r="MPO483" s="299"/>
      <c r="MPP483" s="299"/>
      <c r="MPQ483" s="299"/>
      <c r="MPR483" s="299"/>
      <c r="MPS483" s="299"/>
      <c r="MPT483" s="299"/>
      <c r="MPU483" s="299"/>
      <c r="MPV483" s="299"/>
      <c r="MPW483" s="299"/>
      <c r="MPX483" s="299"/>
      <c r="MPY483" s="299"/>
      <c r="MPZ483" s="299"/>
      <c r="MQA483" s="299"/>
      <c r="MQB483" s="299"/>
      <c r="MQC483" s="299"/>
      <c r="MQD483" s="299"/>
      <c r="MQE483" s="299"/>
      <c r="MQF483" s="299"/>
      <c r="MQG483" s="299"/>
      <c r="MQH483" s="299"/>
      <c r="MQI483" s="299"/>
      <c r="MQJ483" s="299"/>
      <c r="MQK483" s="299"/>
      <c r="MQL483" s="299"/>
      <c r="MQM483" s="299"/>
      <c r="MQN483" s="299"/>
      <c r="MQO483" s="299"/>
      <c r="MQP483" s="299"/>
      <c r="MQQ483" s="299"/>
      <c r="MQR483" s="299"/>
      <c r="MQS483" s="299"/>
      <c r="MQT483" s="299"/>
      <c r="MQU483" s="299"/>
      <c r="MQV483" s="299"/>
      <c r="MQW483" s="299"/>
      <c r="MQX483" s="299"/>
      <c r="MQY483" s="299"/>
      <c r="MQZ483" s="299"/>
      <c r="MRA483" s="299"/>
      <c r="MRB483" s="299"/>
      <c r="MRC483" s="299"/>
      <c r="MRD483" s="299"/>
      <c r="MRE483" s="299"/>
      <c r="MRF483" s="299"/>
      <c r="MRG483" s="299"/>
      <c r="MRH483" s="299"/>
      <c r="MRI483" s="299"/>
      <c r="MRJ483" s="299"/>
      <c r="MRK483" s="299"/>
      <c r="MRL483" s="299"/>
      <c r="MRM483" s="299"/>
      <c r="MRN483" s="299"/>
      <c r="MRO483" s="299"/>
      <c r="MRP483" s="299"/>
      <c r="MRQ483" s="299"/>
      <c r="MRR483" s="299"/>
      <c r="MRS483" s="299"/>
      <c r="MRT483" s="299"/>
      <c r="MRU483" s="299"/>
      <c r="MRV483" s="299"/>
      <c r="MRW483" s="299"/>
      <c r="MRX483" s="299"/>
      <c r="MRY483" s="299"/>
      <c r="MRZ483" s="299"/>
      <c r="MSA483" s="299"/>
      <c r="MSB483" s="299"/>
      <c r="MSC483" s="299"/>
      <c r="MSD483" s="299"/>
      <c r="MSE483" s="299"/>
      <c r="MSF483" s="299"/>
      <c r="MSG483" s="299"/>
      <c r="MSH483" s="299"/>
      <c r="MSI483" s="299"/>
      <c r="MSJ483" s="299"/>
      <c r="MSK483" s="299"/>
      <c r="MSL483" s="299"/>
      <c r="MSM483" s="299"/>
      <c r="MSN483" s="299"/>
      <c r="MSO483" s="299"/>
      <c r="MSP483" s="299"/>
      <c r="MSQ483" s="299"/>
      <c r="MSR483" s="299"/>
      <c r="MSS483" s="299"/>
      <c r="MST483" s="299"/>
      <c r="MSU483" s="299"/>
      <c r="MSV483" s="299"/>
      <c r="MSW483" s="299"/>
      <c r="MSX483" s="299"/>
      <c r="MSY483" s="299"/>
      <c r="MSZ483" s="299"/>
      <c r="MTA483" s="299"/>
      <c r="MTB483" s="299"/>
      <c r="MTC483" s="299"/>
      <c r="MTD483" s="299"/>
      <c r="MTE483" s="299"/>
      <c r="MTF483" s="299"/>
      <c r="MTG483" s="299"/>
      <c r="MTH483" s="299"/>
      <c r="MTI483" s="299"/>
      <c r="MTJ483" s="299"/>
      <c r="MTK483" s="299"/>
      <c r="MTL483" s="299"/>
      <c r="MTM483" s="299"/>
      <c r="MTN483" s="299"/>
      <c r="MTO483" s="299"/>
      <c r="MTP483" s="299"/>
      <c r="MTQ483" s="299"/>
      <c r="MTR483" s="299"/>
      <c r="MTS483" s="299"/>
      <c r="MTT483" s="299"/>
      <c r="MTU483" s="299"/>
      <c r="MTV483" s="299"/>
      <c r="MTW483" s="299"/>
      <c r="MTX483" s="299"/>
      <c r="MTY483" s="299"/>
      <c r="MTZ483" s="299"/>
      <c r="MUA483" s="299"/>
      <c r="MUB483" s="299"/>
      <c r="MUC483" s="299"/>
      <c r="MUD483" s="299"/>
      <c r="MUE483" s="299"/>
      <c r="MUF483" s="299"/>
      <c r="MUG483" s="299"/>
      <c r="MUH483" s="299"/>
      <c r="MUI483" s="299"/>
      <c r="MUJ483" s="299"/>
      <c r="MUK483" s="299"/>
      <c r="MUL483" s="299"/>
      <c r="MUM483" s="299"/>
      <c r="MUN483" s="299"/>
      <c r="MUO483" s="299"/>
      <c r="MUP483" s="299"/>
      <c r="MUQ483" s="299"/>
      <c r="MUR483" s="299"/>
      <c r="MUS483" s="299"/>
      <c r="MUT483" s="299"/>
      <c r="MUU483" s="299"/>
      <c r="MUV483" s="299"/>
      <c r="MUW483" s="299"/>
      <c r="MUX483" s="299"/>
      <c r="MUY483" s="299"/>
      <c r="MUZ483" s="299"/>
      <c r="MVA483" s="299"/>
      <c r="MVB483" s="299"/>
      <c r="MVC483" s="299"/>
      <c r="MVD483" s="299"/>
      <c r="MVE483" s="299"/>
      <c r="MVF483" s="299"/>
      <c r="MVG483" s="299"/>
      <c r="MVH483" s="299"/>
      <c r="MVI483" s="299"/>
      <c r="MVJ483" s="299"/>
      <c r="MVK483" s="299"/>
      <c r="MVL483" s="299"/>
      <c r="MVM483" s="299"/>
      <c r="MVN483" s="299"/>
      <c r="MVO483" s="299"/>
      <c r="MVP483" s="299"/>
      <c r="MVQ483" s="299"/>
      <c r="MVR483" s="299"/>
      <c r="MVS483" s="299"/>
      <c r="MVT483" s="299"/>
      <c r="MVU483" s="299"/>
      <c r="MVV483" s="299"/>
      <c r="MVW483" s="299"/>
      <c r="MVX483" s="299"/>
      <c r="MVY483" s="299"/>
      <c r="MVZ483" s="299"/>
      <c r="MWA483" s="299"/>
      <c r="MWB483" s="299"/>
      <c r="MWC483" s="299"/>
      <c r="MWD483" s="299"/>
      <c r="MWE483" s="299"/>
      <c r="MWF483" s="299"/>
      <c r="MWG483" s="299"/>
      <c r="MWH483" s="299"/>
      <c r="MWI483" s="299"/>
      <c r="MWJ483" s="299"/>
      <c r="MWK483" s="299"/>
      <c r="MWL483" s="299"/>
      <c r="MWM483" s="299"/>
      <c r="MWN483" s="299"/>
      <c r="MWO483" s="299"/>
      <c r="MWP483" s="299"/>
      <c r="MWQ483" s="299"/>
      <c r="MWR483" s="299"/>
      <c r="MWS483" s="299"/>
      <c r="MWT483" s="299"/>
      <c r="MWU483" s="299"/>
      <c r="MWV483" s="299"/>
      <c r="MWW483" s="299"/>
      <c r="MWX483" s="299"/>
      <c r="MWY483" s="299"/>
      <c r="MWZ483" s="299"/>
      <c r="MXA483" s="299"/>
      <c r="MXB483" s="299"/>
      <c r="MXC483" s="299"/>
      <c r="MXD483" s="299"/>
      <c r="MXE483" s="299"/>
      <c r="MXF483" s="299"/>
      <c r="MXG483" s="299"/>
      <c r="MXH483" s="299"/>
      <c r="MXI483" s="299"/>
      <c r="MXJ483" s="299"/>
      <c r="MXK483" s="299"/>
      <c r="MXL483" s="299"/>
      <c r="MXM483" s="299"/>
      <c r="MXN483" s="299"/>
      <c r="MXO483" s="299"/>
      <c r="MXP483" s="299"/>
      <c r="MXQ483" s="299"/>
      <c r="MXR483" s="299"/>
      <c r="MXS483" s="299"/>
      <c r="MXT483" s="299"/>
      <c r="MXU483" s="299"/>
      <c r="MXV483" s="299"/>
      <c r="MXW483" s="299"/>
      <c r="MXX483" s="299"/>
      <c r="MXY483" s="299"/>
      <c r="MXZ483" s="299"/>
      <c r="MYA483" s="299"/>
      <c r="MYB483" s="299"/>
      <c r="MYC483" s="299"/>
      <c r="MYD483" s="299"/>
      <c r="MYE483" s="299"/>
      <c r="MYF483" s="299"/>
      <c r="MYG483" s="299"/>
      <c r="MYH483" s="299"/>
      <c r="MYI483" s="299"/>
      <c r="MYJ483" s="299"/>
      <c r="MYK483" s="299"/>
      <c r="MYL483" s="299"/>
      <c r="MYM483" s="299"/>
      <c r="MYN483" s="299"/>
      <c r="MYO483" s="299"/>
      <c r="MYP483" s="299"/>
      <c r="MYQ483" s="299"/>
      <c r="MYR483" s="299"/>
      <c r="MYS483" s="299"/>
      <c r="MYT483" s="299"/>
      <c r="MYU483" s="299"/>
      <c r="MYV483" s="299"/>
      <c r="MYW483" s="299"/>
      <c r="MYX483" s="299"/>
      <c r="MYY483" s="299"/>
      <c r="MYZ483" s="299"/>
      <c r="MZA483" s="299"/>
      <c r="MZB483" s="299"/>
      <c r="MZC483" s="299"/>
      <c r="MZD483" s="299"/>
      <c r="MZE483" s="299"/>
      <c r="MZF483" s="299"/>
      <c r="MZG483" s="299"/>
      <c r="MZH483" s="299"/>
      <c r="MZI483" s="299"/>
      <c r="MZJ483" s="299"/>
      <c r="MZK483" s="299"/>
      <c r="MZL483" s="299"/>
      <c r="MZM483" s="299"/>
      <c r="MZN483" s="299"/>
      <c r="MZO483" s="299"/>
      <c r="MZP483" s="299"/>
      <c r="MZQ483" s="299"/>
      <c r="MZR483" s="299"/>
      <c r="MZS483" s="299"/>
      <c r="MZT483" s="299"/>
      <c r="MZU483" s="299"/>
      <c r="MZV483" s="299"/>
      <c r="MZW483" s="299"/>
      <c r="MZX483" s="299"/>
      <c r="MZY483" s="299"/>
      <c r="MZZ483" s="299"/>
      <c r="NAA483" s="299"/>
      <c r="NAB483" s="299"/>
      <c r="NAC483" s="299"/>
      <c r="NAD483" s="299"/>
      <c r="NAE483" s="299"/>
      <c r="NAF483" s="299"/>
      <c r="NAG483" s="299"/>
      <c r="NAH483" s="299"/>
      <c r="NAI483" s="299"/>
      <c r="NAJ483" s="299"/>
      <c r="NAK483" s="299"/>
      <c r="NAL483" s="299"/>
      <c r="NAM483" s="299"/>
      <c r="NAN483" s="299"/>
      <c r="NAO483" s="299"/>
      <c r="NAP483" s="299"/>
      <c r="NAQ483" s="299"/>
      <c r="NAR483" s="299"/>
      <c r="NAS483" s="299"/>
      <c r="NAT483" s="299"/>
      <c r="NAU483" s="299"/>
      <c r="NAV483" s="299"/>
      <c r="NAW483" s="299"/>
      <c r="NAX483" s="299"/>
      <c r="NAY483" s="299"/>
      <c r="NAZ483" s="299"/>
      <c r="NBA483" s="299"/>
      <c r="NBB483" s="299"/>
      <c r="NBC483" s="299"/>
      <c r="NBD483" s="299"/>
      <c r="NBE483" s="299"/>
      <c r="NBF483" s="299"/>
      <c r="NBG483" s="299"/>
      <c r="NBH483" s="299"/>
      <c r="NBI483" s="299"/>
      <c r="NBJ483" s="299"/>
      <c r="NBK483" s="299"/>
      <c r="NBL483" s="299"/>
      <c r="NBM483" s="299"/>
      <c r="NBN483" s="299"/>
      <c r="NBO483" s="299"/>
      <c r="NBP483" s="299"/>
      <c r="NBQ483" s="299"/>
      <c r="NBR483" s="299"/>
      <c r="NBS483" s="299"/>
      <c r="NBT483" s="299"/>
      <c r="NBU483" s="299"/>
      <c r="NBV483" s="299"/>
      <c r="NBW483" s="299"/>
      <c r="NBX483" s="299"/>
      <c r="NBY483" s="299"/>
      <c r="NBZ483" s="299"/>
      <c r="NCA483" s="299"/>
      <c r="NCB483" s="299"/>
      <c r="NCC483" s="299"/>
      <c r="NCD483" s="299"/>
      <c r="NCE483" s="299"/>
      <c r="NCF483" s="299"/>
      <c r="NCG483" s="299"/>
      <c r="NCH483" s="299"/>
      <c r="NCI483" s="299"/>
      <c r="NCJ483" s="299"/>
      <c r="NCK483" s="299"/>
      <c r="NCL483" s="299"/>
      <c r="NCM483" s="299"/>
      <c r="NCN483" s="299"/>
      <c r="NCO483" s="299"/>
      <c r="NCP483" s="299"/>
      <c r="NCQ483" s="299"/>
      <c r="NCR483" s="299"/>
      <c r="NCS483" s="299"/>
      <c r="NCT483" s="299"/>
      <c r="NCU483" s="299"/>
      <c r="NCV483" s="299"/>
      <c r="NCW483" s="299"/>
      <c r="NCX483" s="299"/>
      <c r="NCY483" s="299"/>
      <c r="NCZ483" s="299"/>
      <c r="NDA483" s="299"/>
      <c r="NDB483" s="299"/>
      <c r="NDC483" s="299"/>
      <c r="NDD483" s="299"/>
      <c r="NDE483" s="299"/>
      <c r="NDF483" s="299"/>
      <c r="NDG483" s="299"/>
      <c r="NDH483" s="299"/>
      <c r="NDI483" s="299"/>
      <c r="NDJ483" s="299"/>
      <c r="NDK483" s="299"/>
      <c r="NDL483" s="299"/>
      <c r="NDM483" s="299"/>
      <c r="NDN483" s="299"/>
      <c r="NDO483" s="299"/>
      <c r="NDP483" s="299"/>
      <c r="NDQ483" s="299"/>
      <c r="NDR483" s="299"/>
      <c r="NDS483" s="299"/>
      <c r="NDT483" s="299"/>
      <c r="NDU483" s="299"/>
      <c r="NDV483" s="299"/>
      <c r="NDW483" s="299"/>
      <c r="NDX483" s="299"/>
      <c r="NDY483" s="299"/>
      <c r="NDZ483" s="299"/>
      <c r="NEA483" s="299"/>
      <c r="NEB483" s="299"/>
      <c r="NEC483" s="299"/>
      <c r="NED483" s="299"/>
      <c r="NEE483" s="299"/>
      <c r="NEF483" s="299"/>
      <c r="NEG483" s="299"/>
      <c r="NEH483" s="299"/>
      <c r="NEI483" s="299"/>
      <c r="NEJ483" s="299"/>
      <c r="NEK483" s="299"/>
      <c r="NEL483" s="299"/>
      <c r="NEM483" s="299"/>
      <c r="NEN483" s="299"/>
      <c r="NEO483" s="299"/>
      <c r="NEP483" s="299"/>
      <c r="NEQ483" s="299"/>
      <c r="NER483" s="299"/>
      <c r="NES483" s="299"/>
      <c r="NET483" s="299"/>
      <c r="NEU483" s="299"/>
      <c r="NEV483" s="299"/>
      <c r="NEW483" s="299"/>
      <c r="NEX483" s="299"/>
      <c r="NEY483" s="299"/>
      <c r="NEZ483" s="299"/>
      <c r="NFA483" s="299"/>
      <c r="NFB483" s="299"/>
      <c r="NFC483" s="299"/>
      <c r="NFD483" s="299"/>
      <c r="NFE483" s="299"/>
      <c r="NFF483" s="299"/>
      <c r="NFG483" s="299"/>
      <c r="NFH483" s="299"/>
      <c r="NFI483" s="299"/>
      <c r="NFJ483" s="299"/>
      <c r="NFK483" s="299"/>
      <c r="NFL483" s="299"/>
      <c r="NFM483" s="299"/>
      <c r="NFN483" s="299"/>
      <c r="NFO483" s="299"/>
      <c r="NFP483" s="299"/>
      <c r="NFQ483" s="299"/>
      <c r="NFR483" s="299"/>
      <c r="NFS483" s="299"/>
      <c r="NFT483" s="299"/>
      <c r="NFU483" s="299"/>
      <c r="NFV483" s="299"/>
      <c r="NFW483" s="299"/>
      <c r="NFX483" s="299"/>
      <c r="NFY483" s="299"/>
      <c r="NFZ483" s="299"/>
      <c r="NGA483" s="299"/>
      <c r="NGB483" s="299"/>
      <c r="NGC483" s="299"/>
      <c r="NGD483" s="299"/>
      <c r="NGE483" s="299"/>
      <c r="NGF483" s="299"/>
      <c r="NGG483" s="299"/>
      <c r="NGH483" s="299"/>
      <c r="NGI483" s="299"/>
      <c r="NGJ483" s="299"/>
      <c r="NGK483" s="299"/>
      <c r="NGL483" s="299"/>
      <c r="NGM483" s="299"/>
      <c r="NGN483" s="299"/>
      <c r="NGO483" s="299"/>
      <c r="NGP483" s="299"/>
      <c r="NGQ483" s="299"/>
      <c r="NGR483" s="299"/>
      <c r="NGS483" s="299"/>
      <c r="NGT483" s="299"/>
      <c r="NGU483" s="299"/>
      <c r="NGV483" s="299"/>
      <c r="NGW483" s="299"/>
      <c r="NGX483" s="299"/>
      <c r="NGY483" s="299"/>
      <c r="NGZ483" s="299"/>
      <c r="NHA483" s="299"/>
      <c r="NHB483" s="299"/>
      <c r="NHC483" s="299"/>
      <c r="NHD483" s="299"/>
      <c r="NHE483" s="299"/>
      <c r="NHF483" s="299"/>
      <c r="NHG483" s="299"/>
      <c r="NHH483" s="299"/>
      <c r="NHI483" s="299"/>
      <c r="NHJ483" s="299"/>
      <c r="NHK483" s="299"/>
      <c r="NHL483" s="299"/>
      <c r="NHM483" s="299"/>
      <c r="NHN483" s="299"/>
      <c r="NHO483" s="299"/>
      <c r="NHP483" s="299"/>
      <c r="NHQ483" s="299"/>
      <c r="NHR483" s="299"/>
      <c r="NHS483" s="299"/>
      <c r="NHT483" s="299"/>
      <c r="NHU483" s="299"/>
      <c r="NHV483" s="299"/>
      <c r="NHW483" s="299"/>
      <c r="NHX483" s="299"/>
      <c r="NHY483" s="299"/>
      <c r="NHZ483" s="299"/>
      <c r="NIA483" s="299"/>
      <c r="NIB483" s="299"/>
      <c r="NIC483" s="299"/>
      <c r="NID483" s="299"/>
      <c r="NIE483" s="299"/>
      <c r="NIF483" s="299"/>
      <c r="NIG483" s="299"/>
      <c r="NIH483" s="299"/>
      <c r="NII483" s="299"/>
      <c r="NIJ483" s="299"/>
      <c r="NIK483" s="299"/>
      <c r="NIL483" s="299"/>
      <c r="NIM483" s="299"/>
      <c r="NIN483" s="299"/>
      <c r="NIO483" s="299"/>
      <c r="NIP483" s="299"/>
      <c r="NIQ483" s="299"/>
      <c r="NIR483" s="299"/>
      <c r="NIS483" s="299"/>
      <c r="NIT483" s="299"/>
      <c r="NIU483" s="299"/>
      <c r="NIV483" s="299"/>
      <c r="NIW483" s="299"/>
      <c r="NIX483" s="299"/>
      <c r="NIY483" s="299"/>
      <c r="NIZ483" s="299"/>
      <c r="NJA483" s="299"/>
      <c r="NJB483" s="299"/>
      <c r="NJC483" s="299"/>
      <c r="NJD483" s="299"/>
      <c r="NJE483" s="299"/>
      <c r="NJF483" s="299"/>
      <c r="NJG483" s="299"/>
      <c r="NJH483" s="299"/>
      <c r="NJI483" s="299"/>
      <c r="NJJ483" s="299"/>
      <c r="NJK483" s="299"/>
      <c r="NJL483" s="299"/>
      <c r="NJM483" s="299"/>
      <c r="NJN483" s="299"/>
      <c r="NJO483" s="299"/>
      <c r="NJP483" s="299"/>
      <c r="NJQ483" s="299"/>
      <c r="NJR483" s="299"/>
      <c r="NJS483" s="299"/>
      <c r="NJT483" s="299"/>
      <c r="NJU483" s="299"/>
      <c r="NJV483" s="299"/>
      <c r="NJW483" s="299"/>
      <c r="NJX483" s="299"/>
      <c r="NJY483" s="299"/>
      <c r="NJZ483" s="299"/>
      <c r="NKA483" s="299"/>
      <c r="NKB483" s="299"/>
      <c r="NKC483" s="299"/>
      <c r="NKD483" s="299"/>
      <c r="NKE483" s="299"/>
      <c r="NKF483" s="299"/>
      <c r="NKG483" s="299"/>
      <c r="NKH483" s="299"/>
      <c r="NKI483" s="299"/>
      <c r="NKJ483" s="299"/>
      <c r="NKK483" s="299"/>
      <c r="NKL483" s="299"/>
      <c r="NKM483" s="299"/>
      <c r="NKN483" s="299"/>
      <c r="NKO483" s="299"/>
      <c r="NKP483" s="299"/>
      <c r="NKQ483" s="299"/>
      <c r="NKR483" s="299"/>
      <c r="NKS483" s="299"/>
      <c r="NKT483" s="299"/>
      <c r="NKU483" s="299"/>
      <c r="NKV483" s="299"/>
      <c r="NKW483" s="299"/>
      <c r="NKX483" s="299"/>
      <c r="NKY483" s="299"/>
      <c r="NKZ483" s="299"/>
      <c r="NLA483" s="299"/>
      <c r="NLB483" s="299"/>
      <c r="NLC483" s="299"/>
      <c r="NLD483" s="299"/>
      <c r="NLE483" s="299"/>
      <c r="NLF483" s="299"/>
      <c r="NLG483" s="299"/>
      <c r="NLH483" s="299"/>
      <c r="NLI483" s="299"/>
      <c r="NLJ483" s="299"/>
      <c r="NLK483" s="299"/>
      <c r="NLL483" s="299"/>
      <c r="NLM483" s="299"/>
      <c r="NLN483" s="299"/>
      <c r="NLO483" s="299"/>
      <c r="NLP483" s="299"/>
      <c r="NLQ483" s="299"/>
      <c r="NLR483" s="299"/>
      <c r="NLS483" s="299"/>
      <c r="NLT483" s="299"/>
      <c r="NLU483" s="299"/>
      <c r="NLV483" s="299"/>
      <c r="NLW483" s="299"/>
      <c r="NLX483" s="299"/>
      <c r="NLY483" s="299"/>
      <c r="NLZ483" s="299"/>
      <c r="NMA483" s="299"/>
      <c r="NMB483" s="299"/>
      <c r="NMC483" s="299"/>
      <c r="NMD483" s="299"/>
      <c r="NME483" s="299"/>
      <c r="NMF483" s="299"/>
      <c r="NMG483" s="299"/>
      <c r="NMH483" s="299"/>
      <c r="NMI483" s="299"/>
      <c r="NMJ483" s="299"/>
      <c r="NMK483" s="299"/>
      <c r="NML483" s="299"/>
      <c r="NMM483" s="299"/>
      <c r="NMN483" s="299"/>
      <c r="NMO483" s="299"/>
      <c r="NMP483" s="299"/>
      <c r="NMQ483" s="299"/>
      <c r="NMR483" s="299"/>
      <c r="NMS483" s="299"/>
      <c r="NMT483" s="299"/>
      <c r="NMU483" s="299"/>
      <c r="NMV483" s="299"/>
      <c r="NMW483" s="299"/>
      <c r="NMX483" s="299"/>
      <c r="NMY483" s="299"/>
      <c r="NMZ483" s="299"/>
      <c r="NNA483" s="299"/>
      <c r="NNB483" s="299"/>
      <c r="NNC483" s="299"/>
      <c r="NND483" s="299"/>
      <c r="NNE483" s="299"/>
      <c r="NNF483" s="299"/>
      <c r="NNG483" s="299"/>
      <c r="NNH483" s="299"/>
      <c r="NNI483" s="299"/>
      <c r="NNJ483" s="299"/>
      <c r="NNK483" s="299"/>
      <c r="NNL483" s="299"/>
      <c r="NNM483" s="299"/>
      <c r="NNN483" s="299"/>
      <c r="NNO483" s="299"/>
      <c r="NNP483" s="299"/>
      <c r="NNQ483" s="299"/>
      <c r="NNR483" s="299"/>
      <c r="NNS483" s="299"/>
      <c r="NNT483" s="299"/>
      <c r="NNU483" s="299"/>
      <c r="NNV483" s="299"/>
      <c r="NNW483" s="299"/>
      <c r="NNX483" s="299"/>
      <c r="NNY483" s="299"/>
      <c r="NNZ483" s="299"/>
      <c r="NOA483" s="299"/>
      <c r="NOB483" s="299"/>
      <c r="NOC483" s="299"/>
      <c r="NOD483" s="299"/>
      <c r="NOE483" s="299"/>
      <c r="NOF483" s="299"/>
      <c r="NOG483" s="299"/>
      <c r="NOH483" s="299"/>
      <c r="NOI483" s="299"/>
      <c r="NOJ483" s="299"/>
      <c r="NOK483" s="299"/>
      <c r="NOL483" s="299"/>
      <c r="NOM483" s="299"/>
      <c r="NON483" s="299"/>
      <c r="NOO483" s="299"/>
      <c r="NOP483" s="299"/>
      <c r="NOQ483" s="299"/>
      <c r="NOR483" s="299"/>
      <c r="NOS483" s="299"/>
      <c r="NOT483" s="299"/>
      <c r="NOU483" s="299"/>
      <c r="NOV483" s="299"/>
      <c r="NOW483" s="299"/>
      <c r="NOX483" s="299"/>
      <c r="NOY483" s="299"/>
      <c r="NOZ483" s="299"/>
      <c r="NPA483" s="299"/>
      <c r="NPB483" s="299"/>
      <c r="NPC483" s="299"/>
      <c r="NPD483" s="299"/>
      <c r="NPE483" s="299"/>
      <c r="NPF483" s="299"/>
      <c r="NPG483" s="299"/>
      <c r="NPH483" s="299"/>
      <c r="NPI483" s="299"/>
      <c r="NPJ483" s="299"/>
      <c r="NPK483" s="299"/>
      <c r="NPL483" s="299"/>
      <c r="NPM483" s="299"/>
      <c r="NPN483" s="299"/>
      <c r="NPO483" s="299"/>
      <c r="NPP483" s="299"/>
      <c r="NPQ483" s="299"/>
      <c r="NPR483" s="299"/>
      <c r="NPS483" s="299"/>
      <c r="NPT483" s="299"/>
      <c r="NPU483" s="299"/>
      <c r="NPV483" s="299"/>
      <c r="NPW483" s="299"/>
      <c r="NPX483" s="299"/>
      <c r="NPY483" s="299"/>
      <c r="NPZ483" s="299"/>
      <c r="NQA483" s="299"/>
      <c r="NQB483" s="299"/>
      <c r="NQC483" s="299"/>
      <c r="NQD483" s="299"/>
      <c r="NQE483" s="299"/>
      <c r="NQF483" s="299"/>
      <c r="NQG483" s="299"/>
      <c r="NQH483" s="299"/>
      <c r="NQI483" s="299"/>
      <c r="NQJ483" s="299"/>
      <c r="NQK483" s="299"/>
      <c r="NQL483" s="299"/>
      <c r="NQM483" s="299"/>
      <c r="NQN483" s="299"/>
      <c r="NQO483" s="299"/>
      <c r="NQP483" s="299"/>
      <c r="NQQ483" s="299"/>
      <c r="NQR483" s="299"/>
      <c r="NQS483" s="299"/>
      <c r="NQT483" s="299"/>
      <c r="NQU483" s="299"/>
      <c r="NQV483" s="299"/>
      <c r="NQW483" s="299"/>
      <c r="NQX483" s="299"/>
      <c r="NQY483" s="299"/>
      <c r="NQZ483" s="299"/>
      <c r="NRA483" s="299"/>
      <c r="NRB483" s="299"/>
      <c r="NRC483" s="299"/>
      <c r="NRD483" s="299"/>
      <c r="NRE483" s="299"/>
      <c r="NRF483" s="299"/>
      <c r="NRG483" s="299"/>
      <c r="NRH483" s="299"/>
      <c r="NRI483" s="299"/>
      <c r="NRJ483" s="299"/>
      <c r="NRK483" s="299"/>
      <c r="NRL483" s="299"/>
      <c r="NRM483" s="299"/>
      <c r="NRN483" s="299"/>
      <c r="NRO483" s="299"/>
      <c r="NRP483" s="299"/>
      <c r="NRQ483" s="299"/>
      <c r="NRR483" s="299"/>
      <c r="NRS483" s="299"/>
      <c r="NRT483" s="299"/>
      <c r="NRU483" s="299"/>
      <c r="NRV483" s="299"/>
      <c r="NRW483" s="299"/>
      <c r="NRX483" s="299"/>
      <c r="NRY483" s="299"/>
      <c r="NRZ483" s="299"/>
      <c r="NSA483" s="299"/>
      <c r="NSB483" s="299"/>
      <c r="NSC483" s="299"/>
      <c r="NSD483" s="299"/>
      <c r="NSE483" s="299"/>
      <c r="NSF483" s="299"/>
      <c r="NSG483" s="299"/>
      <c r="NSH483" s="299"/>
      <c r="NSI483" s="299"/>
      <c r="NSJ483" s="299"/>
      <c r="NSK483" s="299"/>
      <c r="NSL483" s="299"/>
      <c r="NSM483" s="299"/>
      <c r="NSN483" s="299"/>
      <c r="NSO483" s="299"/>
      <c r="NSP483" s="299"/>
      <c r="NSQ483" s="299"/>
      <c r="NSR483" s="299"/>
      <c r="NSS483" s="299"/>
      <c r="NST483" s="299"/>
      <c r="NSU483" s="299"/>
      <c r="NSV483" s="299"/>
      <c r="NSW483" s="299"/>
      <c r="NSX483" s="299"/>
      <c r="NSY483" s="299"/>
      <c r="NSZ483" s="299"/>
      <c r="NTA483" s="299"/>
      <c r="NTB483" s="299"/>
      <c r="NTC483" s="299"/>
      <c r="NTD483" s="299"/>
      <c r="NTE483" s="299"/>
      <c r="NTF483" s="299"/>
      <c r="NTG483" s="299"/>
      <c r="NTH483" s="299"/>
      <c r="NTI483" s="299"/>
      <c r="NTJ483" s="299"/>
      <c r="NTK483" s="299"/>
      <c r="NTL483" s="299"/>
      <c r="NTM483" s="299"/>
      <c r="NTN483" s="299"/>
      <c r="NTO483" s="299"/>
      <c r="NTP483" s="299"/>
      <c r="NTQ483" s="299"/>
      <c r="NTR483" s="299"/>
      <c r="NTS483" s="299"/>
      <c r="NTT483" s="299"/>
      <c r="NTU483" s="299"/>
      <c r="NTV483" s="299"/>
      <c r="NTW483" s="299"/>
      <c r="NTX483" s="299"/>
      <c r="NTY483" s="299"/>
      <c r="NTZ483" s="299"/>
      <c r="NUA483" s="299"/>
      <c r="NUB483" s="299"/>
      <c r="NUC483" s="299"/>
      <c r="NUD483" s="299"/>
      <c r="NUE483" s="299"/>
      <c r="NUF483" s="299"/>
      <c r="NUG483" s="299"/>
      <c r="NUH483" s="299"/>
      <c r="NUI483" s="299"/>
      <c r="NUJ483" s="299"/>
      <c r="NUK483" s="299"/>
      <c r="NUL483" s="299"/>
      <c r="NUM483" s="299"/>
      <c r="NUN483" s="299"/>
      <c r="NUO483" s="299"/>
      <c r="NUP483" s="299"/>
      <c r="NUQ483" s="299"/>
      <c r="NUR483" s="299"/>
      <c r="NUS483" s="299"/>
      <c r="NUT483" s="299"/>
      <c r="NUU483" s="299"/>
      <c r="NUV483" s="299"/>
      <c r="NUW483" s="299"/>
      <c r="NUX483" s="299"/>
      <c r="NUY483" s="299"/>
      <c r="NUZ483" s="299"/>
      <c r="NVA483" s="299"/>
      <c r="NVB483" s="299"/>
      <c r="NVC483" s="299"/>
      <c r="NVD483" s="299"/>
      <c r="NVE483" s="299"/>
      <c r="NVF483" s="299"/>
      <c r="NVG483" s="299"/>
      <c r="NVH483" s="299"/>
      <c r="NVI483" s="299"/>
      <c r="NVJ483" s="299"/>
      <c r="NVK483" s="299"/>
      <c r="NVL483" s="299"/>
      <c r="NVM483" s="299"/>
      <c r="NVN483" s="299"/>
      <c r="NVO483" s="299"/>
      <c r="NVP483" s="299"/>
      <c r="NVQ483" s="299"/>
      <c r="NVR483" s="299"/>
      <c r="NVS483" s="299"/>
      <c r="NVT483" s="299"/>
      <c r="NVU483" s="299"/>
      <c r="NVV483" s="299"/>
      <c r="NVW483" s="299"/>
      <c r="NVX483" s="299"/>
      <c r="NVY483" s="299"/>
      <c r="NVZ483" s="299"/>
      <c r="NWA483" s="299"/>
      <c r="NWB483" s="299"/>
      <c r="NWC483" s="299"/>
      <c r="NWD483" s="299"/>
      <c r="NWE483" s="299"/>
      <c r="NWF483" s="299"/>
      <c r="NWG483" s="299"/>
      <c r="NWH483" s="299"/>
      <c r="NWI483" s="299"/>
      <c r="NWJ483" s="299"/>
      <c r="NWK483" s="299"/>
      <c r="NWL483" s="299"/>
      <c r="NWM483" s="299"/>
      <c r="NWN483" s="299"/>
      <c r="NWO483" s="299"/>
      <c r="NWP483" s="299"/>
      <c r="NWQ483" s="299"/>
      <c r="NWR483" s="299"/>
      <c r="NWS483" s="299"/>
      <c r="NWT483" s="299"/>
      <c r="NWU483" s="299"/>
      <c r="NWV483" s="299"/>
      <c r="NWW483" s="299"/>
      <c r="NWX483" s="299"/>
      <c r="NWY483" s="299"/>
      <c r="NWZ483" s="299"/>
      <c r="NXA483" s="299"/>
      <c r="NXB483" s="299"/>
      <c r="NXC483" s="299"/>
      <c r="NXD483" s="299"/>
      <c r="NXE483" s="299"/>
      <c r="NXF483" s="299"/>
      <c r="NXG483" s="299"/>
      <c r="NXH483" s="299"/>
      <c r="NXI483" s="299"/>
      <c r="NXJ483" s="299"/>
      <c r="NXK483" s="299"/>
      <c r="NXL483" s="299"/>
      <c r="NXM483" s="299"/>
      <c r="NXN483" s="299"/>
      <c r="NXO483" s="299"/>
      <c r="NXP483" s="299"/>
      <c r="NXQ483" s="299"/>
      <c r="NXR483" s="299"/>
      <c r="NXS483" s="299"/>
      <c r="NXT483" s="299"/>
      <c r="NXU483" s="299"/>
      <c r="NXV483" s="299"/>
      <c r="NXW483" s="299"/>
      <c r="NXX483" s="299"/>
      <c r="NXY483" s="299"/>
      <c r="NXZ483" s="299"/>
      <c r="NYA483" s="299"/>
      <c r="NYB483" s="299"/>
      <c r="NYC483" s="299"/>
      <c r="NYD483" s="299"/>
      <c r="NYE483" s="299"/>
      <c r="NYF483" s="299"/>
      <c r="NYG483" s="299"/>
      <c r="NYH483" s="299"/>
      <c r="NYI483" s="299"/>
      <c r="NYJ483" s="299"/>
      <c r="NYK483" s="299"/>
      <c r="NYL483" s="299"/>
      <c r="NYM483" s="299"/>
      <c r="NYN483" s="299"/>
      <c r="NYO483" s="299"/>
      <c r="NYP483" s="299"/>
      <c r="NYQ483" s="299"/>
      <c r="NYR483" s="299"/>
      <c r="NYS483" s="299"/>
      <c r="NYT483" s="299"/>
      <c r="NYU483" s="299"/>
      <c r="NYV483" s="299"/>
      <c r="NYW483" s="299"/>
      <c r="NYX483" s="299"/>
      <c r="NYY483" s="299"/>
      <c r="NYZ483" s="299"/>
      <c r="NZA483" s="299"/>
      <c r="NZB483" s="299"/>
      <c r="NZC483" s="299"/>
      <c r="NZD483" s="299"/>
      <c r="NZE483" s="299"/>
      <c r="NZF483" s="299"/>
      <c r="NZG483" s="299"/>
      <c r="NZH483" s="299"/>
      <c r="NZI483" s="299"/>
      <c r="NZJ483" s="299"/>
      <c r="NZK483" s="299"/>
      <c r="NZL483" s="299"/>
      <c r="NZM483" s="299"/>
      <c r="NZN483" s="299"/>
      <c r="NZO483" s="299"/>
      <c r="NZP483" s="299"/>
      <c r="NZQ483" s="299"/>
      <c r="NZR483" s="299"/>
      <c r="NZS483" s="299"/>
      <c r="NZT483" s="299"/>
      <c r="NZU483" s="299"/>
      <c r="NZV483" s="299"/>
      <c r="NZW483" s="299"/>
      <c r="NZX483" s="299"/>
      <c r="NZY483" s="299"/>
      <c r="NZZ483" s="299"/>
      <c r="OAA483" s="299"/>
      <c r="OAB483" s="299"/>
      <c r="OAC483" s="299"/>
      <c r="OAD483" s="299"/>
      <c r="OAE483" s="299"/>
      <c r="OAF483" s="299"/>
      <c r="OAG483" s="299"/>
      <c r="OAH483" s="299"/>
      <c r="OAI483" s="299"/>
      <c r="OAJ483" s="299"/>
      <c r="OAK483" s="299"/>
      <c r="OAL483" s="299"/>
      <c r="OAM483" s="299"/>
      <c r="OAN483" s="299"/>
      <c r="OAO483" s="299"/>
      <c r="OAP483" s="299"/>
      <c r="OAQ483" s="299"/>
      <c r="OAR483" s="299"/>
      <c r="OAS483" s="299"/>
      <c r="OAT483" s="299"/>
      <c r="OAU483" s="299"/>
      <c r="OAV483" s="299"/>
      <c r="OAW483" s="299"/>
      <c r="OAX483" s="299"/>
      <c r="OAY483" s="299"/>
      <c r="OAZ483" s="299"/>
      <c r="OBA483" s="299"/>
      <c r="OBB483" s="299"/>
      <c r="OBC483" s="299"/>
      <c r="OBD483" s="299"/>
      <c r="OBE483" s="299"/>
      <c r="OBF483" s="299"/>
      <c r="OBG483" s="299"/>
      <c r="OBH483" s="299"/>
      <c r="OBI483" s="299"/>
      <c r="OBJ483" s="299"/>
      <c r="OBK483" s="299"/>
      <c r="OBL483" s="299"/>
      <c r="OBM483" s="299"/>
      <c r="OBN483" s="299"/>
      <c r="OBO483" s="299"/>
      <c r="OBP483" s="299"/>
      <c r="OBQ483" s="299"/>
      <c r="OBR483" s="299"/>
      <c r="OBS483" s="299"/>
      <c r="OBT483" s="299"/>
      <c r="OBU483" s="299"/>
      <c r="OBV483" s="299"/>
      <c r="OBW483" s="299"/>
      <c r="OBX483" s="299"/>
      <c r="OBY483" s="299"/>
      <c r="OBZ483" s="299"/>
      <c r="OCA483" s="299"/>
      <c r="OCB483" s="299"/>
      <c r="OCC483" s="299"/>
      <c r="OCD483" s="299"/>
      <c r="OCE483" s="299"/>
      <c r="OCF483" s="299"/>
      <c r="OCG483" s="299"/>
      <c r="OCH483" s="299"/>
      <c r="OCI483" s="299"/>
      <c r="OCJ483" s="299"/>
      <c r="OCK483" s="299"/>
      <c r="OCL483" s="299"/>
      <c r="OCM483" s="299"/>
      <c r="OCN483" s="299"/>
      <c r="OCO483" s="299"/>
      <c r="OCP483" s="299"/>
      <c r="OCQ483" s="299"/>
      <c r="OCR483" s="299"/>
      <c r="OCS483" s="299"/>
      <c r="OCT483" s="299"/>
      <c r="OCU483" s="299"/>
      <c r="OCV483" s="299"/>
      <c r="OCW483" s="299"/>
      <c r="OCX483" s="299"/>
      <c r="OCY483" s="299"/>
      <c r="OCZ483" s="299"/>
      <c r="ODA483" s="299"/>
      <c r="ODB483" s="299"/>
      <c r="ODC483" s="299"/>
      <c r="ODD483" s="299"/>
      <c r="ODE483" s="299"/>
      <c r="ODF483" s="299"/>
      <c r="ODG483" s="299"/>
      <c r="ODH483" s="299"/>
      <c r="ODI483" s="299"/>
      <c r="ODJ483" s="299"/>
      <c r="ODK483" s="299"/>
      <c r="ODL483" s="299"/>
      <c r="ODM483" s="299"/>
      <c r="ODN483" s="299"/>
      <c r="ODO483" s="299"/>
      <c r="ODP483" s="299"/>
      <c r="ODQ483" s="299"/>
      <c r="ODR483" s="299"/>
      <c r="ODS483" s="299"/>
      <c r="ODT483" s="299"/>
      <c r="ODU483" s="299"/>
      <c r="ODV483" s="299"/>
      <c r="ODW483" s="299"/>
      <c r="ODX483" s="299"/>
      <c r="ODY483" s="299"/>
      <c r="ODZ483" s="299"/>
      <c r="OEA483" s="299"/>
      <c r="OEB483" s="299"/>
      <c r="OEC483" s="299"/>
      <c r="OED483" s="299"/>
      <c r="OEE483" s="299"/>
      <c r="OEF483" s="299"/>
      <c r="OEG483" s="299"/>
      <c r="OEH483" s="299"/>
      <c r="OEI483" s="299"/>
      <c r="OEJ483" s="299"/>
      <c r="OEK483" s="299"/>
      <c r="OEL483" s="299"/>
      <c r="OEM483" s="299"/>
      <c r="OEN483" s="299"/>
      <c r="OEO483" s="299"/>
      <c r="OEP483" s="299"/>
      <c r="OEQ483" s="299"/>
      <c r="OER483" s="299"/>
      <c r="OES483" s="299"/>
      <c r="OET483" s="299"/>
      <c r="OEU483" s="299"/>
      <c r="OEV483" s="299"/>
      <c r="OEW483" s="299"/>
      <c r="OEX483" s="299"/>
      <c r="OEY483" s="299"/>
      <c r="OEZ483" s="299"/>
      <c r="OFA483" s="299"/>
      <c r="OFB483" s="299"/>
      <c r="OFC483" s="299"/>
      <c r="OFD483" s="299"/>
      <c r="OFE483" s="299"/>
      <c r="OFF483" s="299"/>
      <c r="OFG483" s="299"/>
      <c r="OFH483" s="299"/>
      <c r="OFI483" s="299"/>
      <c r="OFJ483" s="299"/>
      <c r="OFK483" s="299"/>
      <c r="OFL483" s="299"/>
      <c r="OFM483" s="299"/>
      <c r="OFN483" s="299"/>
      <c r="OFO483" s="299"/>
      <c r="OFP483" s="299"/>
      <c r="OFQ483" s="299"/>
      <c r="OFR483" s="299"/>
      <c r="OFS483" s="299"/>
      <c r="OFT483" s="299"/>
      <c r="OFU483" s="299"/>
      <c r="OFV483" s="299"/>
      <c r="OFW483" s="299"/>
      <c r="OFX483" s="299"/>
      <c r="OFY483" s="299"/>
      <c r="OFZ483" s="299"/>
      <c r="OGA483" s="299"/>
      <c r="OGB483" s="299"/>
      <c r="OGC483" s="299"/>
      <c r="OGD483" s="299"/>
      <c r="OGE483" s="299"/>
      <c r="OGF483" s="299"/>
      <c r="OGG483" s="299"/>
      <c r="OGH483" s="299"/>
      <c r="OGI483" s="299"/>
      <c r="OGJ483" s="299"/>
      <c r="OGK483" s="299"/>
      <c r="OGL483" s="299"/>
      <c r="OGM483" s="299"/>
      <c r="OGN483" s="299"/>
      <c r="OGO483" s="299"/>
      <c r="OGP483" s="299"/>
      <c r="OGQ483" s="299"/>
      <c r="OGR483" s="299"/>
      <c r="OGS483" s="299"/>
      <c r="OGT483" s="299"/>
      <c r="OGU483" s="299"/>
      <c r="OGV483" s="299"/>
      <c r="OGW483" s="299"/>
      <c r="OGX483" s="299"/>
      <c r="OGY483" s="299"/>
      <c r="OGZ483" s="299"/>
      <c r="OHA483" s="299"/>
      <c r="OHB483" s="299"/>
      <c r="OHC483" s="299"/>
      <c r="OHD483" s="299"/>
      <c r="OHE483" s="299"/>
      <c r="OHF483" s="299"/>
      <c r="OHG483" s="299"/>
      <c r="OHH483" s="299"/>
      <c r="OHI483" s="299"/>
      <c r="OHJ483" s="299"/>
      <c r="OHK483" s="299"/>
      <c r="OHL483" s="299"/>
      <c r="OHM483" s="299"/>
      <c r="OHN483" s="299"/>
      <c r="OHO483" s="299"/>
      <c r="OHP483" s="299"/>
      <c r="OHQ483" s="299"/>
      <c r="OHR483" s="299"/>
      <c r="OHS483" s="299"/>
      <c r="OHT483" s="299"/>
      <c r="OHU483" s="299"/>
      <c r="OHV483" s="299"/>
      <c r="OHW483" s="299"/>
      <c r="OHX483" s="299"/>
      <c r="OHY483" s="299"/>
      <c r="OHZ483" s="299"/>
      <c r="OIA483" s="299"/>
      <c r="OIB483" s="299"/>
      <c r="OIC483" s="299"/>
      <c r="OID483" s="299"/>
      <c r="OIE483" s="299"/>
      <c r="OIF483" s="299"/>
      <c r="OIG483" s="299"/>
      <c r="OIH483" s="299"/>
      <c r="OII483" s="299"/>
      <c r="OIJ483" s="299"/>
      <c r="OIK483" s="299"/>
      <c r="OIL483" s="299"/>
      <c r="OIM483" s="299"/>
      <c r="OIN483" s="299"/>
      <c r="OIO483" s="299"/>
      <c r="OIP483" s="299"/>
      <c r="OIQ483" s="299"/>
      <c r="OIR483" s="299"/>
      <c r="OIS483" s="299"/>
      <c r="OIT483" s="299"/>
      <c r="OIU483" s="299"/>
      <c r="OIV483" s="299"/>
      <c r="OIW483" s="299"/>
      <c r="OIX483" s="299"/>
      <c r="OIY483" s="299"/>
      <c r="OIZ483" s="299"/>
      <c r="OJA483" s="299"/>
      <c r="OJB483" s="299"/>
      <c r="OJC483" s="299"/>
      <c r="OJD483" s="299"/>
      <c r="OJE483" s="299"/>
      <c r="OJF483" s="299"/>
      <c r="OJG483" s="299"/>
      <c r="OJH483" s="299"/>
      <c r="OJI483" s="299"/>
      <c r="OJJ483" s="299"/>
      <c r="OJK483" s="299"/>
      <c r="OJL483" s="299"/>
      <c r="OJM483" s="299"/>
      <c r="OJN483" s="299"/>
      <c r="OJO483" s="299"/>
      <c r="OJP483" s="299"/>
      <c r="OJQ483" s="299"/>
      <c r="OJR483" s="299"/>
      <c r="OJS483" s="299"/>
      <c r="OJT483" s="299"/>
      <c r="OJU483" s="299"/>
      <c r="OJV483" s="299"/>
      <c r="OJW483" s="299"/>
      <c r="OJX483" s="299"/>
      <c r="OJY483" s="299"/>
      <c r="OJZ483" s="299"/>
      <c r="OKA483" s="299"/>
      <c r="OKB483" s="299"/>
      <c r="OKC483" s="299"/>
      <c r="OKD483" s="299"/>
      <c r="OKE483" s="299"/>
      <c r="OKF483" s="299"/>
      <c r="OKG483" s="299"/>
      <c r="OKH483" s="299"/>
      <c r="OKI483" s="299"/>
      <c r="OKJ483" s="299"/>
      <c r="OKK483" s="299"/>
      <c r="OKL483" s="299"/>
      <c r="OKM483" s="299"/>
      <c r="OKN483" s="299"/>
      <c r="OKO483" s="299"/>
      <c r="OKP483" s="299"/>
      <c r="OKQ483" s="299"/>
      <c r="OKR483" s="299"/>
      <c r="OKS483" s="299"/>
      <c r="OKT483" s="299"/>
      <c r="OKU483" s="299"/>
      <c r="OKV483" s="299"/>
      <c r="OKW483" s="299"/>
      <c r="OKX483" s="299"/>
      <c r="OKY483" s="299"/>
      <c r="OKZ483" s="299"/>
      <c r="OLA483" s="299"/>
      <c r="OLB483" s="299"/>
      <c r="OLC483" s="299"/>
      <c r="OLD483" s="299"/>
      <c r="OLE483" s="299"/>
      <c r="OLF483" s="299"/>
      <c r="OLG483" s="299"/>
      <c r="OLH483" s="299"/>
      <c r="OLI483" s="299"/>
      <c r="OLJ483" s="299"/>
      <c r="OLK483" s="299"/>
      <c r="OLL483" s="299"/>
      <c r="OLM483" s="299"/>
      <c r="OLN483" s="299"/>
      <c r="OLO483" s="299"/>
      <c r="OLP483" s="299"/>
      <c r="OLQ483" s="299"/>
      <c r="OLR483" s="299"/>
      <c r="OLS483" s="299"/>
      <c r="OLT483" s="299"/>
      <c r="OLU483" s="299"/>
      <c r="OLV483" s="299"/>
      <c r="OLW483" s="299"/>
      <c r="OLX483" s="299"/>
      <c r="OLY483" s="299"/>
      <c r="OLZ483" s="299"/>
      <c r="OMA483" s="299"/>
      <c r="OMB483" s="299"/>
      <c r="OMC483" s="299"/>
      <c r="OMD483" s="299"/>
      <c r="OME483" s="299"/>
      <c r="OMF483" s="299"/>
      <c r="OMG483" s="299"/>
      <c r="OMH483" s="299"/>
      <c r="OMI483" s="299"/>
      <c r="OMJ483" s="299"/>
      <c r="OMK483" s="299"/>
      <c r="OML483" s="299"/>
      <c r="OMM483" s="299"/>
      <c r="OMN483" s="299"/>
      <c r="OMO483" s="299"/>
      <c r="OMP483" s="299"/>
      <c r="OMQ483" s="299"/>
      <c r="OMR483" s="299"/>
      <c r="OMS483" s="299"/>
      <c r="OMT483" s="299"/>
      <c r="OMU483" s="299"/>
      <c r="OMV483" s="299"/>
      <c r="OMW483" s="299"/>
      <c r="OMX483" s="299"/>
      <c r="OMY483" s="299"/>
      <c r="OMZ483" s="299"/>
      <c r="ONA483" s="299"/>
      <c r="ONB483" s="299"/>
      <c r="ONC483" s="299"/>
      <c r="OND483" s="299"/>
      <c r="ONE483" s="299"/>
      <c r="ONF483" s="299"/>
      <c r="ONG483" s="299"/>
      <c r="ONH483" s="299"/>
      <c r="ONI483" s="299"/>
      <c r="ONJ483" s="299"/>
      <c r="ONK483" s="299"/>
      <c r="ONL483" s="299"/>
      <c r="ONM483" s="299"/>
      <c r="ONN483" s="299"/>
      <c r="ONO483" s="299"/>
      <c r="ONP483" s="299"/>
      <c r="ONQ483" s="299"/>
      <c r="ONR483" s="299"/>
      <c r="ONS483" s="299"/>
      <c r="ONT483" s="299"/>
      <c r="ONU483" s="299"/>
      <c r="ONV483" s="299"/>
      <c r="ONW483" s="299"/>
      <c r="ONX483" s="299"/>
      <c r="ONY483" s="299"/>
      <c r="ONZ483" s="299"/>
      <c r="OOA483" s="299"/>
      <c r="OOB483" s="299"/>
      <c r="OOC483" s="299"/>
      <c r="OOD483" s="299"/>
      <c r="OOE483" s="299"/>
      <c r="OOF483" s="299"/>
      <c r="OOG483" s="299"/>
      <c r="OOH483" s="299"/>
      <c r="OOI483" s="299"/>
      <c r="OOJ483" s="299"/>
      <c r="OOK483" s="299"/>
      <c r="OOL483" s="299"/>
      <c r="OOM483" s="299"/>
      <c r="OON483" s="299"/>
      <c r="OOO483" s="299"/>
      <c r="OOP483" s="299"/>
      <c r="OOQ483" s="299"/>
      <c r="OOR483" s="299"/>
      <c r="OOS483" s="299"/>
      <c r="OOT483" s="299"/>
      <c r="OOU483" s="299"/>
      <c r="OOV483" s="299"/>
      <c r="OOW483" s="299"/>
      <c r="OOX483" s="299"/>
      <c r="OOY483" s="299"/>
      <c r="OOZ483" s="299"/>
      <c r="OPA483" s="299"/>
      <c r="OPB483" s="299"/>
      <c r="OPC483" s="299"/>
      <c r="OPD483" s="299"/>
      <c r="OPE483" s="299"/>
      <c r="OPF483" s="299"/>
      <c r="OPG483" s="299"/>
      <c r="OPH483" s="299"/>
      <c r="OPI483" s="299"/>
      <c r="OPJ483" s="299"/>
      <c r="OPK483" s="299"/>
      <c r="OPL483" s="299"/>
      <c r="OPM483" s="299"/>
      <c r="OPN483" s="299"/>
      <c r="OPO483" s="299"/>
      <c r="OPP483" s="299"/>
      <c r="OPQ483" s="299"/>
      <c r="OPR483" s="299"/>
      <c r="OPS483" s="299"/>
      <c r="OPT483" s="299"/>
      <c r="OPU483" s="299"/>
      <c r="OPV483" s="299"/>
      <c r="OPW483" s="299"/>
      <c r="OPX483" s="299"/>
      <c r="OPY483" s="299"/>
      <c r="OPZ483" s="299"/>
      <c r="OQA483" s="299"/>
      <c r="OQB483" s="299"/>
      <c r="OQC483" s="299"/>
      <c r="OQD483" s="299"/>
      <c r="OQE483" s="299"/>
      <c r="OQF483" s="299"/>
      <c r="OQG483" s="299"/>
      <c r="OQH483" s="299"/>
      <c r="OQI483" s="299"/>
      <c r="OQJ483" s="299"/>
      <c r="OQK483" s="299"/>
      <c r="OQL483" s="299"/>
      <c r="OQM483" s="299"/>
      <c r="OQN483" s="299"/>
      <c r="OQO483" s="299"/>
      <c r="OQP483" s="299"/>
      <c r="OQQ483" s="299"/>
      <c r="OQR483" s="299"/>
      <c r="OQS483" s="299"/>
      <c r="OQT483" s="299"/>
      <c r="OQU483" s="299"/>
      <c r="OQV483" s="299"/>
      <c r="OQW483" s="299"/>
      <c r="OQX483" s="299"/>
      <c r="OQY483" s="299"/>
      <c r="OQZ483" s="299"/>
      <c r="ORA483" s="299"/>
      <c r="ORB483" s="299"/>
      <c r="ORC483" s="299"/>
      <c r="ORD483" s="299"/>
      <c r="ORE483" s="299"/>
      <c r="ORF483" s="299"/>
      <c r="ORG483" s="299"/>
      <c r="ORH483" s="299"/>
      <c r="ORI483" s="299"/>
      <c r="ORJ483" s="299"/>
      <c r="ORK483" s="299"/>
      <c r="ORL483" s="299"/>
      <c r="ORM483" s="299"/>
      <c r="ORN483" s="299"/>
      <c r="ORO483" s="299"/>
      <c r="ORP483" s="299"/>
      <c r="ORQ483" s="299"/>
      <c r="ORR483" s="299"/>
      <c r="ORS483" s="299"/>
      <c r="ORT483" s="299"/>
      <c r="ORU483" s="299"/>
      <c r="ORV483" s="299"/>
      <c r="ORW483" s="299"/>
      <c r="ORX483" s="299"/>
      <c r="ORY483" s="299"/>
      <c r="ORZ483" s="299"/>
      <c r="OSA483" s="299"/>
      <c r="OSB483" s="299"/>
      <c r="OSC483" s="299"/>
      <c r="OSD483" s="299"/>
      <c r="OSE483" s="299"/>
      <c r="OSF483" s="299"/>
      <c r="OSG483" s="299"/>
      <c r="OSH483" s="299"/>
      <c r="OSI483" s="299"/>
      <c r="OSJ483" s="299"/>
      <c r="OSK483" s="299"/>
      <c r="OSL483" s="299"/>
      <c r="OSM483" s="299"/>
      <c r="OSN483" s="299"/>
      <c r="OSO483" s="299"/>
      <c r="OSP483" s="299"/>
      <c r="OSQ483" s="299"/>
      <c r="OSR483" s="299"/>
      <c r="OSS483" s="299"/>
      <c r="OST483" s="299"/>
      <c r="OSU483" s="299"/>
      <c r="OSV483" s="299"/>
      <c r="OSW483" s="299"/>
      <c r="OSX483" s="299"/>
      <c r="OSY483" s="299"/>
      <c r="OSZ483" s="299"/>
      <c r="OTA483" s="299"/>
      <c r="OTB483" s="299"/>
      <c r="OTC483" s="299"/>
      <c r="OTD483" s="299"/>
      <c r="OTE483" s="299"/>
      <c r="OTF483" s="299"/>
      <c r="OTG483" s="299"/>
      <c r="OTH483" s="299"/>
      <c r="OTI483" s="299"/>
      <c r="OTJ483" s="299"/>
      <c r="OTK483" s="299"/>
      <c r="OTL483" s="299"/>
      <c r="OTM483" s="299"/>
      <c r="OTN483" s="299"/>
      <c r="OTO483" s="299"/>
      <c r="OTP483" s="299"/>
      <c r="OTQ483" s="299"/>
      <c r="OTR483" s="299"/>
      <c r="OTS483" s="299"/>
      <c r="OTT483" s="299"/>
      <c r="OTU483" s="299"/>
      <c r="OTV483" s="299"/>
      <c r="OTW483" s="299"/>
      <c r="OTX483" s="299"/>
      <c r="OTY483" s="299"/>
      <c r="OTZ483" s="299"/>
      <c r="OUA483" s="299"/>
      <c r="OUB483" s="299"/>
      <c r="OUC483" s="299"/>
      <c r="OUD483" s="299"/>
      <c r="OUE483" s="299"/>
      <c r="OUF483" s="299"/>
      <c r="OUG483" s="299"/>
      <c r="OUH483" s="299"/>
      <c r="OUI483" s="299"/>
      <c r="OUJ483" s="299"/>
      <c r="OUK483" s="299"/>
      <c r="OUL483" s="299"/>
      <c r="OUM483" s="299"/>
      <c r="OUN483" s="299"/>
      <c r="OUO483" s="299"/>
      <c r="OUP483" s="299"/>
      <c r="OUQ483" s="299"/>
      <c r="OUR483" s="299"/>
      <c r="OUS483" s="299"/>
      <c r="OUT483" s="299"/>
      <c r="OUU483" s="299"/>
      <c r="OUV483" s="299"/>
      <c r="OUW483" s="299"/>
      <c r="OUX483" s="299"/>
      <c r="OUY483" s="299"/>
      <c r="OUZ483" s="299"/>
      <c r="OVA483" s="299"/>
      <c r="OVB483" s="299"/>
      <c r="OVC483" s="299"/>
      <c r="OVD483" s="299"/>
      <c r="OVE483" s="299"/>
      <c r="OVF483" s="299"/>
      <c r="OVG483" s="299"/>
      <c r="OVH483" s="299"/>
      <c r="OVI483" s="299"/>
      <c r="OVJ483" s="299"/>
      <c r="OVK483" s="299"/>
      <c r="OVL483" s="299"/>
      <c r="OVM483" s="299"/>
      <c r="OVN483" s="299"/>
      <c r="OVO483" s="299"/>
      <c r="OVP483" s="299"/>
      <c r="OVQ483" s="299"/>
      <c r="OVR483" s="299"/>
      <c r="OVS483" s="299"/>
      <c r="OVT483" s="299"/>
      <c r="OVU483" s="299"/>
      <c r="OVV483" s="299"/>
      <c r="OVW483" s="299"/>
      <c r="OVX483" s="299"/>
      <c r="OVY483" s="299"/>
      <c r="OVZ483" s="299"/>
      <c r="OWA483" s="299"/>
      <c r="OWB483" s="299"/>
      <c r="OWC483" s="299"/>
      <c r="OWD483" s="299"/>
      <c r="OWE483" s="299"/>
      <c r="OWF483" s="299"/>
      <c r="OWG483" s="299"/>
      <c r="OWH483" s="299"/>
      <c r="OWI483" s="299"/>
      <c r="OWJ483" s="299"/>
      <c r="OWK483" s="299"/>
      <c r="OWL483" s="299"/>
      <c r="OWM483" s="299"/>
      <c r="OWN483" s="299"/>
      <c r="OWO483" s="299"/>
      <c r="OWP483" s="299"/>
      <c r="OWQ483" s="299"/>
      <c r="OWR483" s="299"/>
      <c r="OWS483" s="299"/>
      <c r="OWT483" s="299"/>
      <c r="OWU483" s="299"/>
      <c r="OWV483" s="299"/>
      <c r="OWW483" s="299"/>
      <c r="OWX483" s="299"/>
      <c r="OWY483" s="299"/>
      <c r="OWZ483" s="299"/>
      <c r="OXA483" s="299"/>
      <c r="OXB483" s="299"/>
      <c r="OXC483" s="299"/>
      <c r="OXD483" s="299"/>
      <c r="OXE483" s="299"/>
      <c r="OXF483" s="299"/>
      <c r="OXG483" s="299"/>
      <c r="OXH483" s="299"/>
      <c r="OXI483" s="299"/>
      <c r="OXJ483" s="299"/>
      <c r="OXK483" s="299"/>
      <c r="OXL483" s="299"/>
      <c r="OXM483" s="299"/>
      <c r="OXN483" s="299"/>
      <c r="OXO483" s="299"/>
      <c r="OXP483" s="299"/>
      <c r="OXQ483" s="299"/>
      <c r="OXR483" s="299"/>
      <c r="OXS483" s="299"/>
      <c r="OXT483" s="299"/>
      <c r="OXU483" s="299"/>
      <c r="OXV483" s="299"/>
      <c r="OXW483" s="299"/>
      <c r="OXX483" s="299"/>
      <c r="OXY483" s="299"/>
      <c r="OXZ483" s="299"/>
      <c r="OYA483" s="299"/>
      <c r="OYB483" s="299"/>
      <c r="OYC483" s="299"/>
      <c r="OYD483" s="299"/>
      <c r="OYE483" s="299"/>
      <c r="OYF483" s="299"/>
      <c r="OYG483" s="299"/>
      <c r="OYH483" s="299"/>
      <c r="OYI483" s="299"/>
      <c r="OYJ483" s="299"/>
      <c r="OYK483" s="299"/>
      <c r="OYL483" s="299"/>
      <c r="OYM483" s="299"/>
      <c r="OYN483" s="299"/>
      <c r="OYO483" s="299"/>
      <c r="OYP483" s="299"/>
      <c r="OYQ483" s="299"/>
      <c r="OYR483" s="299"/>
      <c r="OYS483" s="299"/>
      <c r="OYT483" s="299"/>
      <c r="OYU483" s="299"/>
      <c r="OYV483" s="299"/>
      <c r="OYW483" s="299"/>
      <c r="OYX483" s="299"/>
      <c r="OYY483" s="299"/>
      <c r="OYZ483" s="299"/>
      <c r="OZA483" s="299"/>
      <c r="OZB483" s="299"/>
      <c r="OZC483" s="299"/>
      <c r="OZD483" s="299"/>
      <c r="OZE483" s="299"/>
      <c r="OZF483" s="299"/>
      <c r="OZG483" s="299"/>
      <c r="OZH483" s="299"/>
      <c r="OZI483" s="299"/>
      <c r="OZJ483" s="299"/>
      <c r="OZK483" s="299"/>
      <c r="OZL483" s="299"/>
      <c r="OZM483" s="299"/>
      <c r="OZN483" s="299"/>
      <c r="OZO483" s="299"/>
      <c r="OZP483" s="299"/>
      <c r="OZQ483" s="299"/>
      <c r="OZR483" s="299"/>
      <c r="OZS483" s="299"/>
      <c r="OZT483" s="299"/>
      <c r="OZU483" s="299"/>
      <c r="OZV483" s="299"/>
      <c r="OZW483" s="299"/>
      <c r="OZX483" s="299"/>
      <c r="OZY483" s="299"/>
      <c r="OZZ483" s="299"/>
      <c r="PAA483" s="299"/>
      <c r="PAB483" s="299"/>
      <c r="PAC483" s="299"/>
      <c r="PAD483" s="299"/>
      <c r="PAE483" s="299"/>
      <c r="PAF483" s="299"/>
      <c r="PAG483" s="299"/>
      <c r="PAH483" s="299"/>
      <c r="PAI483" s="299"/>
      <c r="PAJ483" s="299"/>
      <c r="PAK483" s="299"/>
      <c r="PAL483" s="299"/>
      <c r="PAM483" s="299"/>
      <c r="PAN483" s="299"/>
      <c r="PAO483" s="299"/>
      <c r="PAP483" s="299"/>
      <c r="PAQ483" s="299"/>
      <c r="PAR483" s="299"/>
      <c r="PAS483" s="299"/>
      <c r="PAT483" s="299"/>
      <c r="PAU483" s="299"/>
      <c r="PAV483" s="299"/>
      <c r="PAW483" s="299"/>
      <c r="PAX483" s="299"/>
      <c r="PAY483" s="299"/>
      <c r="PAZ483" s="299"/>
      <c r="PBA483" s="299"/>
      <c r="PBB483" s="299"/>
      <c r="PBC483" s="299"/>
      <c r="PBD483" s="299"/>
      <c r="PBE483" s="299"/>
      <c r="PBF483" s="299"/>
      <c r="PBG483" s="299"/>
      <c r="PBH483" s="299"/>
      <c r="PBI483" s="299"/>
      <c r="PBJ483" s="299"/>
      <c r="PBK483" s="299"/>
      <c r="PBL483" s="299"/>
      <c r="PBM483" s="299"/>
      <c r="PBN483" s="299"/>
      <c r="PBO483" s="299"/>
      <c r="PBP483" s="299"/>
      <c r="PBQ483" s="299"/>
      <c r="PBR483" s="299"/>
      <c r="PBS483" s="299"/>
      <c r="PBT483" s="299"/>
      <c r="PBU483" s="299"/>
      <c r="PBV483" s="299"/>
      <c r="PBW483" s="299"/>
      <c r="PBX483" s="299"/>
      <c r="PBY483" s="299"/>
      <c r="PBZ483" s="299"/>
      <c r="PCA483" s="299"/>
      <c r="PCB483" s="299"/>
      <c r="PCC483" s="299"/>
      <c r="PCD483" s="299"/>
      <c r="PCE483" s="299"/>
      <c r="PCF483" s="299"/>
      <c r="PCG483" s="299"/>
      <c r="PCH483" s="299"/>
      <c r="PCI483" s="299"/>
      <c r="PCJ483" s="299"/>
      <c r="PCK483" s="299"/>
      <c r="PCL483" s="299"/>
      <c r="PCM483" s="299"/>
      <c r="PCN483" s="299"/>
      <c r="PCO483" s="299"/>
      <c r="PCP483" s="299"/>
      <c r="PCQ483" s="299"/>
      <c r="PCR483" s="299"/>
      <c r="PCS483" s="299"/>
      <c r="PCT483" s="299"/>
      <c r="PCU483" s="299"/>
      <c r="PCV483" s="299"/>
      <c r="PCW483" s="299"/>
      <c r="PCX483" s="299"/>
      <c r="PCY483" s="299"/>
      <c r="PCZ483" s="299"/>
      <c r="PDA483" s="299"/>
      <c r="PDB483" s="299"/>
      <c r="PDC483" s="299"/>
      <c r="PDD483" s="299"/>
      <c r="PDE483" s="299"/>
      <c r="PDF483" s="299"/>
      <c r="PDG483" s="299"/>
      <c r="PDH483" s="299"/>
      <c r="PDI483" s="299"/>
      <c r="PDJ483" s="299"/>
      <c r="PDK483" s="299"/>
      <c r="PDL483" s="299"/>
      <c r="PDM483" s="299"/>
      <c r="PDN483" s="299"/>
      <c r="PDO483" s="299"/>
      <c r="PDP483" s="299"/>
      <c r="PDQ483" s="299"/>
      <c r="PDR483" s="299"/>
      <c r="PDS483" s="299"/>
      <c r="PDT483" s="299"/>
      <c r="PDU483" s="299"/>
      <c r="PDV483" s="299"/>
      <c r="PDW483" s="299"/>
      <c r="PDX483" s="299"/>
      <c r="PDY483" s="299"/>
      <c r="PDZ483" s="299"/>
      <c r="PEA483" s="299"/>
      <c r="PEB483" s="299"/>
      <c r="PEC483" s="299"/>
      <c r="PED483" s="299"/>
      <c r="PEE483" s="299"/>
      <c r="PEF483" s="299"/>
      <c r="PEG483" s="299"/>
      <c r="PEH483" s="299"/>
      <c r="PEI483" s="299"/>
      <c r="PEJ483" s="299"/>
      <c r="PEK483" s="299"/>
      <c r="PEL483" s="299"/>
      <c r="PEM483" s="299"/>
      <c r="PEN483" s="299"/>
      <c r="PEO483" s="299"/>
      <c r="PEP483" s="299"/>
      <c r="PEQ483" s="299"/>
      <c r="PER483" s="299"/>
      <c r="PES483" s="299"/>
      <c r="PET483" s="299"/>
      <c r="PEU483" s="299"/>
      <c r="PEV483" s="299"/>
      <c r="PEW483" s="299"/>
      <c r="PEX483" s="299"/>
      <c r="PEY483" s="299"/>
      <c r="PEZ483" s="299"/>
      <c r="PFA483" s="299"/>
      <c r="PFB483" s="299"/>
      <c r="PFC483" s="299"/>
      <c r="PFD483" s="299"/>
      <c r="PFE483" s="299"/>
      <c r="PFF483" s="299"/>
      <c r="PFG483" s="299"/>
      <c r="PFH483" s="299"/>
      <c r="PFI483" s="299"/>
      <c r="PFJ483" s="299"/>
      <c r="PFK483" s="299"/>
      <c r="PFL483" s="299"/>
      <c r="PFM483" s="299"/>
      <c r="PFN483" s="299"/>
      <c r="PFO483" s="299"/>
      <c r="PFP483" s="299"/>
      <c r="PFQ483" s="299"/>
      <c r="PFR483" s="299"/>
      <c r="PFS483" s="299"/>
      <c r="PFT483" s="299"/>
      <c r="PFU483" s="299"/>
      <c r="PFV483" s="299"/>
      <c r="PFW483" s="299"/>
      <c r="PFX483" s="299"/>
      <c r="PFY483" s="299"/>
      <c r="PFZ483" s="299"/>
      <c r="PGA483" s="299"/>
      <c r="PGB483" s="299"/>
      <c r="PGC483" s="299"/>
      <c r="PGD483" s="299"/>
      <c r="PGE483" s="299"/>
      <c r="PGF483" s="299"/>
      <c r="PGG483" s="299"/>
      <c r="PGH483" s="299"/>
      <c r="PGI483" s="299"/>
      <c r="PGJ483" s="299"/>
      <c r="PGK483" s="299"/>
      <c r="PGL483" s="299"/>
      <c r="PGM483" s="299"/>
      <c r="PGN483" s="299"/>
      <c r="PGO483" s="299"/>
      <c r="PGP483" s="299"/>
      <c r="PGQ483" s="299"/>
      <c r="PGR483" s="299"/>
      <c r="PGS483" s="299"/>
      <c r="PGT483" s="299"/>
      <c r="PGU483" s="299"/>
      <c r="PGV483" s="299"/>
      <c r="PGW483" s="299"/>
      <c r="PGX483" s="299"/>
      <c r="PGY483" s="299"/>
      <c r="PGZ483" s="299"/>
      <c r="PHA483" s="299"/>
      <c r="PHB483" s="299"/>
      <c r="PHC483" s="299"/>
      <c r="PHD483" s="299"/>
      <c r="PHE483" s="299"/>
      <c r="PHF483" s="299"/>
      <c r="PHG483" s="299"/>
      <c r="PHH483" s="299"/>
      <c r="PHI483" s="299"/>
      <c r="PHJ483" s="299"/>
      <c r="PHK483" s="299"/>
      <c r="PHL483" s="299"/>
      <c r="PHM483" s="299"/>
      <c r="PHN483" s="299"/>
      <c r="PHO483" s="299"/>
      <c r="PHP483" s="299"/>
      <c r="PHQ483" s="299"/>
      <c r="PHR483" s="299"/>
      <c r="PHS483" s="299"/>
      <c r="PHT483" s="299"/>
      <c r="PHU483" s="299"/>
      <c r="PHV483" s="299"/>
      <c r="PHW483" s="299"/>
      <c r="PHX483" s="299"/>
      <c r="PHY483" s="299"/>
      <c r="PHZ483" s="299"/>
      <c r="PIA483" s="299"/>
      <c r="PIB483" s="299"/>
      <c r="PIC483" s="299"/>
      <c r="PID483" s="299"/>
      <c r="PIE483" s="299"/>
      <c r="PIF483" s="299"/>
      <c r="PIG483" s="299"/>
      <c r="PIH483" s="299"/>
      <c r="PII483" s="299"/>
      <c r="PIJ483" s="299"/>
      <c r="PIK483" s="299"/>
      <c r="PIL483" s="299"/>
      <c r="PIM483" s="299"/>
      <c r="PIN483" s="299"/>
      <c r="PIO483" s="299"/>
      <c r="PIP483" s="299"/>
      <c r="PIQ483" s="299"/>
      <c r="PIR483" s="299"/>
      <c r="PIS483" s="299"/>
      <c r="PIT483" s="299"/>
      <c r="PIU483" s="299"/>
      <c r="PIV483" s="299"/>
      <c r="PIW483" s="299"/>
      <c r="PIX483" s="299"/>
      <c r="PIY483" s="299"/>
      <c r="PIZ483" s="299"/>
      <c r="PJA483" s="299"/>
      <c r="PJB483" s="299"/>
      <c r="PJC483" s="299"/>
      <c r="PJD483" s="299"/>
      <c r="PJE483" s="299"/>
      <c r="PJF483" s="299"/>
      <c r="PJG483" s="299"/>
      <c r="PJH483" s="299"/>
      <c r="PJI483" s="299"/>
      <c r="PJJ483" s="299"/>
      <c r="PJK483" s="299"/>
      <c r="PJL483" s="299"/>
      <c r="PJM483" s="299"/>
      <c r="PJN483" s="299"/>
      <c r="PJO483" s="299"/>
      <c r="PJP483" s="299"/>
      <c r="PJQ483" s="299"/>
      <c r="PJR483" s="299"/>
      <c r="PJS483" s="299"/>
      <c r="PJT483" s="299"/>
      <c r="PJU483" s="299"/>
      <c r="PJV483" s="299"/>
      <c r="PJW483" s="299"/>
      <c r="PJX483" s="299"/>
      <c r="PJY483" s="299"/>
      <c r="PJZ483" s="299"/>
      <c r="PKA483" s="299"/>
      <c r="PKB483" s="299"/>
      <c r="PKC483" s="299"/>
      <c r="PKD483" s="299"/>
      <c r="PKE483" s="299"/>
      <c r="PKF483" s="299"/>
      <c r="PKG483" s="299"/>
      <c r="PKH483" s="299"/>
      <c r="PKI483" s="299"/>
      <c r="PKJ483" s="299"/>
      <c r="PKK483" s="299"/>
      <c r="PKL483" s="299"/>
      <c r="PKM483" s="299"/>
      <c r="PKN483" s="299"/>
      <c r="PKO483" s="299"/>
      <c r="PKP483" s="299"/>
      <c r="PKQ483" s="299"/>
      <c r="PKR483" s="299"/>
      <c r="PKS483" s="299"/>
      <c r="PKT483" s="299"/>
      <c r="PKU483" s="299"/>
      <c r="PKV483" s="299"/>
      <c r="PKW483" s="299"/>
      <c r="PKX483" s="299"/>
      <c r="PKY483" s="299"/>
      <c r="PKZ483" s="299"/>
      <c r="PLA483" s="299"/>
      <c r="PLB483" s="299"/>
      <c r="PLC483" s="299"/>
      <c r="PLD483" s="299"/>
      <c r="PLE483" s="299"/>
      <c r="PLF483" s="299"/>
      <c r="PLG483" s="299"/>
      <c r="PLH483" s="299"/>
      <c r="PLI483" s="299"/>
      <c r="PLJ483" s="299"/>
      <c r="PLK483" s="299"/>
      <c r="PLL483" s="299"/>
      <c r="PLM483" s="299"/>
      <c r="PLN483" s="299"/>
      <c r="PLO483" s="299"/>
      <c r="PLP483" s="299"/>
      <c r="PLQ483" s="299"/>
      <c r="PLR483" s="299"/>
      <c r="PLS483" s="299"/>
      <c r="PLT483" s="299"/>
      <c r="PLU483" s="299"/>
      <c r="PLV483" s="299"/>
      <c r="PLW483" s="299"/>
      <c r="PLX483" s="299"/>
      <c r="PLY483" s="299"/>
      <c r="PLZ483" s="299"/>
      <c r="PMA483" s="299"/>
      <c r="PMB483" s="299"/>
      <c r="PMC483" s="299"/>
      <c r="PMD483" s="299"/>
      <c r="PME483" s="299"/>
      <c r="PMF483" s="299"/>
      <c r="PMG483" s="299"/>
      <c r="PMH483" s="299"/>
      <c r="PMI483" s="299"/>
      <c r="PMJ483" s="299"/>
      <c r="PMK483" s="299"/>
      <c r="PML483" s="299"/>
      <c r="PMM483" s="299"/>
      <c r="PMN483" s="299"/>
      <c r="PMO483" s="299"/>
      <c r="PMP483" s="299"/>
      <c r="PMQ483" s="299"/>
      <c r="PMR483" s="299"/>
      <c r="PMS483" s="299"/>
      <c r="PMT483" s="299"/>
      <c r="PMU483" s="299"/>
      <c r="PMV483" s="299"/>
      <c r="PMW483" s="299"/>
      <c r="PMX483" s="299"/>
      <c r="PMY483" s="299"/>
      <c r="PMZ483" s="299"/>
      <c r="PNA483" s="299"/>
      <c r="PNB483" s="299"/>
      <c r="PNC483" s="299"/>
      <c r="PND483" s="299"/>
      <c r="PNE483" s="299"/>
      <c r="PNF483" s="299"/>
      <c r="PNG483" s="299"/>
      <c r="PNH483" s="299"/>
      <c r="PNI483" s="299"/>
      <c r="PNJ483" s="299"/>
      <c r="PNK483" s="299"/>
      <c r="PNL483" s="299"/>
      <c r="PNM483" s="299"/>
      <c r="PNN483" s="299"/>
      <c r="PNO483" s="299"/>
      <c r="PNP483" s="299"/>
      <c r="PNQ483" s="299"/>
      <c r="PNR483" s="299"/>
      <c r="PNS483" s="299"/>
      <c r="PNT483" s="299"/>
      <c r="PNU483" s="299"/>
      <c r="PNV483" s="299"/>
      <c r="PNW483" s="299"/>
      <c r="PNX483" s="299"/>
      <c r="PNY483" s="299"/>
      <c r="PNZ483" s="299"/>
      <c r="POA483" s="299"/>
      <c r="POB483" s="299"/>
      <c r="POC483" s="299"/>
      <c r="POD483" s="299"/>
      <c r="POE483" s="299"/>
      <c r="POF483" s="299"/>
      <c r="POG483" s="299"/>
      <c r="POH483" s="299"/>
      <c r="POI483" s="299"/>
      <c r="POJ483" s="299"/>
      <c r="POK483" s="299"/>
      <c r="POL483" s="299"/>
      <c r="POM483" s="299"/>
      <c r="PON483" s="299"/>
      <c r="POO483" s="299"/>
      <c r="POP483" s="299"/>
      <c r="POQ483" s="299"/>
      <c r="POR483" s="299"/>
      <c r="POS483" s="299"/>
      <c r="POT483" s="299"/>
      <c r="POU483" s="299"/>
      <c r="POV483" s="299"/>
      <c r="POW483" s="299"/>
      <c r="POX483" s="299"/>
      <c r="POY483" s="299"/>
      <c r="POZ483" s="299"/>
      <c r="PPA483" s="299"/>
      <c r="PPB483" s="299"/>
      <c r="PPC483" s="299"/>
      <c r="PPD483" s="299"/>
      <c r="PPE483" s="299"/>
      <c r="PPF483" s="299"/>
      <c r="PPG483" s="299"/>
      <c r="PPH483" s="299"/>
      <c r="PPI483" s="299"/>
      <c r="PPJ483" s="299"/>
      <c r="PPK483" s="299"/>
      <c r="PPL483" s="299"/>
      <c r="PPM483" s="299"/>
      <c r="PPN483" s="299"/>
      <c r="PPO483" s="299"/>
      <c r="PPP483" s="299"/>
      <c r="PPQ483" s="299"/>
      <c r="PPR483" s="299"/>
      <c r="PPS483" s="299"/>
      <c r="PPT483" s="299"/>
      <c r="PPU483" s="299"/>
      <c r="PPV483" s="299"/>
      <c r="PPW483" s="299"/>
      <c r="PPX483" s="299"/>
      <c r="PPY483" s="299"/>
      <c r="PPZ483" s="299"/>
      <c r="PQA483" s="299"/>
      <c r="PQB483" s="299"/>
      <c r="PQC483" s="299"/>
      <c r="PQD483" s="299"/>
      <c r="PQE483" s="299"/>
      <c r="PQF483" s="299"/>
      <c r="PQG483" s="299"/>
      <c r="PQH483" s="299"/>
      <c r="PQI483" s="299"/>
      <c r="PQJ483" s="299"/>
      <c r="PQK483" s="299"/>
      <c r="PQL483" s="299"/>
      <c r="PQM483" s="299"/>
      <c r="PQN483" s="299"/>
      <c r="PQO483" s="299"/>
      <c r="PQP483" s="299"/>
      <c r="PQQ483" s="299"/>
      <c r="PQR483" s="299"/>
      <c r="PQS483" s="299"/>
      <c r="PQT483" s="299"/>
      <c r="PQU483" s="299"/>
      <c r="PQV483" s="299"/>
      <c r="PQW483" s="299"/>
      <c r="PQX483" s="299"/>
      <c r="PQY483" s="299"/>
      <c r="PQZ483" s="299"/>
      <c r="PRA483" s="299"/>
      <c r="PRB483" s="299"/>
      <c r="PRC483" s="299"/>
      <c r="PRD483" s="299"/>
      <c r="PRE483" s="299"/>
      <c r="PRF483" s="299"/>
      <c r="PRG483" s="299"/>
      <c r="PRH483" s="299"/>
      <c r="PRI483" s="299"/>
      <c r="PRJ483" s="299"/>
      <c r="PRK483" s="299"/>
      <c r="PRL483" s="299"/>
      <c r="PRM483" s="299"/>
      <c r="PRN483" s="299"/>
      <c r="PRO483" s="299"/>
      <c r="PRP483" s="299"/>
      <c r="PRQ483" s="299"/>
      <c r="PRR483" s="299"/>
      <c r="PRS483" s="299"/>
      <c r="PRT483" s="299"/>
      <c r="PRU483" s="299"/>
      <c r="PRV483" s="299"/>
      <c r="PRW483" s="299"/>
      <c r="PRX483" s="299"/>
      <c r="PRY483" s="299"/>
      <c r="PRZ483" s="299"/>
      <c r="PSA483" s="299"/>
      <c r="PSB483" s="299"/>
      <c r="PSC483" s="299"/>
      <c r="PSD483" s="299"/>
      <c r="PSE483" s="299"/>
      <c r="PSF483" s="299"/>
      <c r="PSG483" s="299"/>
      <c r="PSH483" s="299"/>
      <c r="PSI483" s="299"/>
      <c r="PSJ483" s="299"/>
      <c r="PSK483" s="299"/>
      <c r="PSL483" s="299"/>
      <c r="PSM483" s="299"/>
      <c r="PSN483" s="299"/>
      <c r="PSO483" s="299"/>
      <c r="PSP483" s="299"/>
      <c r="PSQ483" s="299"/>
      <c r="PSR483" s="299"/>
      <c r="PSS483" s="299"/>
      <c r="PST483" s="299"/>
      <c r="PSU483" s="299"/>
      <c r="PSV483" s="299"/>
      <c r="PSW483" s="299"/>
      <c r="PSX483" s="299"/>
      <c r="PSY483" s="299"/>
      <c r="PSZ483" s="299"/>
      <c r="PTA483" s="299"/>
      <c r="PTB483" s="299"/>
      <c r="PTC483" s="299"/>
      <c r="PTD483" s="299"/>
      <c r="PTE483" s="299"/>
      <c r="PTF483" s="299"/>
      <c r="PTG483" s="299"/>
      <c r="PTH483" s="299"/>
      <c r="PTI483" s="299"/>
      <c r="PTJ483" s="299"/>
      <c r="PTK483" s="299"/>
      <c r="PTL483" s="299"/>
      <c r="PTM483" s="299"/>
      <c r="PTN483" s="299"/>
      <c r="PTO483" s="299"/>
      <c r="PTP483" s="299"/>
      <c r="PTQ483" s="299"/>
      <c r="PTR483" s="299"/>
      <c r="PTS483" s="299"/>
      <c r="PTT483" s="299"/>
      <c r="PTU483" s="299"/>
      <c r="PTV483" s="299"/>
      <c r="PTW483" s="299"/>
      <c r="PTX483" s="299"/>
      <c r="PTY483" s="299"/>
      <c r="PTZ483" s="299"/>
      <c r="PUA483" s="299"/>
      <c r="PUB483" s="299"/>
      <c r="PUC483" s="299"/>
      <c r="PUD483" s="299"/>
      <c r="PUE483" s="299"/>
      <c r="PUF483" s="299"/>
      <c r="PUG483" s="299"/>
      <c r="PUH483" s="299"/>
      <c r="PUI483" s="299"/>
      <c r="PUJ483" s="299"/>
      <c r="PUK483" s="299"/>
      <c r="PUL483" s="299"/>
      <c r="PUM483" s="299"/>
      <c r="PUN483" s="299"/>
      <c r="PUO483" s="299"/>
      <c r="PUP483" s="299"/>
      <c r="PUQ483" s="299"/>
      <c r="PUR483" s="299"/>
      <c r="PUS483" s="299"/>
      <c r="PUT483" s="299"/>
      <c r="PUU483" s="299"/>
      <c r="PUV483" s="299"/>
      <c r="PUW483" s="299"/>
      <c r="PUX483" s="299"/>
      <c r="PUY483" s="299"/>
      <c r="PUZ483" s="299"/>
      <c r="PVA483" s="299"/>
      <c r="PVB483" s="299"/>
      <c r="PVC483" s="299"/>
      <c r="PVD483" s="299"/>
      <c r="PVE483" s="299"/>
      <c r="PVF483" s="299"/>
      <c r="PVG483" s="299"/>
      <c r="PVH483" s="299"/>
      <c r="PVI483" s="299"/>
      <c r="PVJ483" s="299"/>
      <c r="PVK483" s="299"/>
      <c r="PVL483" s="299"/>
      <c r="PVM483" s="299"/>
      <c r="PVN483" s="299"/>
      <c r="PVO483" s="299"/>
      <c r="PVP483" s="299"/>
      <c r="PVQ483" s="299"/>
      <c r="PVR483" s="299"/>
      <c r="PVS483" s="299"/>
      <c r="PVT483" s="299"/>
      <c r="PVU483" s="299"/>
      <c r="PVV483" s="299"/>
      <c r="PVW483" s="299"/>
      <c r="PVX483" s="299"/>
      <c r="PVY483" s="299"/>
      <c r="PVZ483" s="299"/>
      <c r="PWA483" s="299"/>
      <c r="PWB483" s="299"/>
      <c r="PWC483" s="299"/>
      <c r="PWD483" s="299"/>
      <c r="PWE483" s="299"/>
      <c r="PWF483" s="299"/>
      <c r="PWG483" s="299"/>
      <c r="PWH483" s="299"/>
      <c r="PWI483" s="299"/>
      <c r="PWJ483" s="299"/>
      <c r="PWK483" s="299"/>
      <c r="PWL483" s="299"/>
      <c r="PWM483" s="299"/>
      <c r="PWN483" s="299"/>
      <c r="PWO483" s="299"/>
      <c r="PWP483" s="299"/>
      <c r="PWQ483" s="299"/>
      <c r="PWR483" s="299"/>
      <c r="PWS483" s="299"/>
      <c r="PWT483" s="299"/>
      <c r="PWU483" s="299"/>
      <c r="PWV483" s="299"/>
      <c r="PWW483" s="299"/>
      <c r="PWX483" s="299"/>
      <c r="PWY483" s="299"/>
      <c r="PWZ483" s="299"/>
      <c r="PXA483" s="299"/>
      <c r="PXB483" s="299"/>
      <c r="PXC483" s="299"/>
      <c r="PXD483" s="299"/>
      <c r="PXE483" s="299"/>
      <c r="PXF483" s="299"/>
      <c r="PXG483" s="299"/>
      <c r="PXH483" s="299"/>
      <c r="PXI483" s="299"/>
      <c r="PXJ483" s="299"/>
      <c r="PXK483" s="299"/>
      <c r="PXL483" s="299"/>
      <c r="PXM483" s="299"/>
      <c r="PXN483" s="299"/>
      <c r="PXO483" s="299"/>
      <c r="PXP483" s="299"/>
      <c r="PXQ483" s="299"/>
      <c r="PXR483" s="299"/>
      <c r="PXS483" s="299"/>
      <c r="PXT483" s="299"/>
      <c r="PXU483" s="299"/>
      <c r="PXV483" s="299"/>
      <c r="PXW483" s="299"/>
      <c r="PXX483" s="299"/>
      <c r="PXY483" s="299"/>
      <c r="PXZ483" s="299"/>
      <c r="PYA483" s="299"/>
      <c r="PYB483" s="299"/>
      <c r="PYC483" s="299"/>
      <c r="PYD483" s="299"/>
      <c r="PYE483" s="299"/>
      <c r="PYF483" s="299"/>
      <c r="PYG483" s="299"/>
      <c r="PYH483" s="299"/>
      <c r="PYI483" s="299"/>
      <c r="PYJ483" s="299"/>
      <c r="PYK483" s="299"/>
      <c r="PYL483" s="299"/>
      <c r="PYM483" s="299"/>
      <c r="PYN483" s="299"/>
      <c r="PYO483" s="299"/>
      <c r="PYP483" s="299"/>
      <c r="PYQ483" s="299"/>
      <c r="PYR483" s="299"/>
      <c r="PYS483" s="299"/>
      <c r="PYT483" s="299"/>
      <c r="PYU483" s="299"/>
      <c r="PYV483" s="299"/>
      <c r="PYW483" s="299"/>
      <c r="PYX483" s="299"/>
      <c r="PYY483" s="299"/>
      <c r="PYZ483" s="299"/>
      <c r="PZA483" s="299"/>
      <c r="PZB483" s="299"/>
      <c r="PZC483" s="299"/>
      <c r="PZD483" s="299"/>
      <c r="PZE483" s="299"/>
      <c r="PZF483" s="299"/>
      <c r="PZG483" s="299"/>
      <c r="PZH483" s="299"/>
      <c r="PZI483" s="299"/>
      <c r="PZJ483" s="299"/>
      <c r="PZK483" s="299"/>
      <c r="PZL483" s="299"/>
      <c r="PZM483" s="299"/>
      <c r="PZN483" s="299"/>
      <c r="PZO483" s="299"/>
      <c r="PZP483" s="299"/>
      <c r="PZQ483" s="299"/>
      <c r="PZR483" s="299"/>
      <c r="PZS483" s="299"/>
      <c r="PZT483" s="299"/>
      <c r="PZU483" s="299"/>
      <c r="PZV483" s="299"/>
      <c r="PZW483" s="299"/>
      <c r="PZX483" s="299"/>
      <c r="PZY483" s="299"/>
      <c r="PZZ483" s="299"/>
      <c r="QAA483" s="299"/>
      <c r="QAB483" s="299"/>
      <c r="QAC483" s="299"/>
      <c r="QAD483" s="299"/>
      <c r="QAE483" s="299"/>
      <c r="QAF483" s="299"/>
      <c r="QAG483" s="299"/>
      <c r="QAH483" s="299"/>
      <c r="QAI483" s="299"/>
      <c r="QAJ483" s="299"/>
      <c r="QAK483" s="299"/>
      <c r="QAL483" s="299"/>
      <c r="QAM483" s="299"/>
      <c r="QAN483" s="299"/>
      <c r="QAO483" s="299"/>
      <c r="QAP483" s="299"/>
      <c r="QAQ483" s="299"/>
      <c r="QAR483" s="299"/>
      <c r="QAS483" s="299"/>
      <c r="QAT483" s="299"/>
      <c r="QAU483" s="299"/>
      <c r="QAV483" s="299"/>
      <c r="QAW483" s="299"/>
      <c r="QAX483" s="299"/>
      <c r="QAY483" s="299"/>
      <c r="QAZ483" s="299"/>
      <c r="QBA483" s="299"/>
      <c r="QBB483" s="299"/>
      <c r="QBC483" s="299"/>
      <c r="QBD483" s="299"/>
      <c r="QBE483" s="299"/>
      <c r="QBF483" s="299"/>
      <c r="QBG483" s="299"/>
      <c r="QBH483" s="299"/>
      <c r="QBI483" s="299"/>
      <c r="QBJ483" s="299"/>
      <c r="QBK483" s="299"/>
      <c r="QBL483" s="299"/>
      <c r="QBM483" s="299"/>
      <c r="QBN483" s="299"/>
      <c r="QBO483" s="299"/>
      <c r="QBP483" s="299"/>
      <c r="QBQ483" s="299"/>
      <c r="QBR483" s="299"/>
      <c r="QBS483" s="299"/>
      <c r="QBT483" s="299"/>
      <c r="QBU483" s="299"/>
      <c r="QBV483" s="299"/>
      <c r="QBW483" s="299"/>
      <c r="QBX483" s="299"/>
      <c r="QBY483" s="299"/>
      <c r="QBZ483" s="299"/>
      <c r="QCA483" s="299"/>
      <c r="QCB483" s="299"/>
      <c r="QCC483" s="299"/>
      <c r="QCD483" s="299"/>
      <c r="QCE483" s="299"/>
      <c r="QCF483" s="299"/>
      <c r="QCG483" s="299"/>
      <c r="QCH483" s="299"/>
      <c r="QCI483" s="299"/>
      <c r="QCJ483" s="299"/>
      <c r="QCK483" s="299"/>
      <c r="QCL483" s="299"/>
      <c r="QCM483" s="299"/>
      <c r="QCN483" s="299"/>
      <c r="QCO483" s="299"/>
      <c r="QCP483" s="299"/>
      <c r="QCQ483" s="299"/>
      <c r="QCR483" s="299"/>
      <c r="QCS483" s="299"/>
      <c r="QCT483" s="299"/>
      <c r="QCU483" s="299"/>
      <c r="QCV483" s="299"/>
      <c r="QCW483" s="299"/>
      <c r="QCX483" s="299"/>
      <c r="QCY483" s="299"/>
      <c r="QCZ483" s="299"/>
      <c r="QDA483" s="299"/>
      <c r="QDB483" s="299"/>
      <c r="QDC483" s="299"/>
      <c r="QDD483" s="299"/>
      <c r="QDE483" s="299"/>
      <c r="QDF483" s="299"/>
      <c r="QDG483" s="299"/>
      <c r="QDH483" s="299"/>
      <c r="QDI483" s="299"/>
      <c r="QDJ483" s="299"/>
      <c r="QDK483" s="299"/>
      <c r="QDL483" s="299"/>
      <c r="QDM483" s="299"/>
      <c r="QDN483" s="299"/>
      <c r="QDO483" s="299"/>
      <c r="QDP483" s="299"/>
      <c r="QDQ483" s="299"/>
      <c r="QDR483" s="299"/>
      <c r="QDS483" s="299"/>
      <c r="QDT483" s="299"/>
      <c r="QDU483" s="299"/>
      <c r="QDV483" s="299"/>
      <c r="QDW483" s="299"/>
      <c r="QDX483" s="299"/>
      <c r="QDY483" s="299"/>
      <c r="QDZ483" s="299"/>
      <c r="QEA483" s="299"/>
      <c r="QEB483" s="299"/>
      <c r="QEC483" s="299"/>
      <c r="QED483" s="299"/>
      <c r="QEE483" s="299"/>
      <c r="QEF483" s="299"/>
      <c r="QEG483" s="299"/>
      <c r="QEH483" s="299"/>
      <c r="QEI483" s="299"/>
      <c r="QEJ483" s="299"/>
      <c r="QEK483" s="299"/>
      <c r="QEL483" s="299"/>
      <c r="QEM483" s="299"/>
      <c r="QEN483" s="299"/>
      <c r="QEO483" s="299"/>
      <c r="QEP483" s="299"/>
      <c r="QEQ483" s="299"/>
      <c r="QER483" s="299"/>
      <c r="QES483" s="299"/>
      <c r="QET483" s="299"/>
      <c r="QEU483" s="299"/>
      <c r="QEV483" s="299"/>
      <c r="QEW483" s="299"/>
      <c r="QEX483" s="299"/>
      <c r="QEY483" s="299"/>
      <c r="QEZ483" s="299"/>
      <c r="QFA483" s="299"/>
      <c r="QFB483" s="299"/>
      <c r="QFC483" s="299"/>
      <c r="QFD483" s="299"/>
      <c r="QFE483" s="299"/>
      <c r="QFF483" s="299"/>
      <c r="QFG483" s="299"/>
      <c r="QFH483" s="299"/>
      <c r="QFI483" s="299"/>
      <c r="QFJ483" s="299"/>
      <c r="QFK483" s="299"/>
      <c r="QFL483" s="299"/>
      <c r="QFM483" s="299"/>
      <c r="QFN483" s="299"/>
      <c r="QFO483" s="299"/>
      <c r="QFP483" s="299"/>
      <c r="QFQ483" s="299"/>
      <c r="QFR483" s="299"/>
      <c r="QFS483" s="299"/>
      <c r="QFT483" s="299"/>
      <c r="QFU483" s="299"/>
      <c r="QFV483" s="299"/>
      <c r="QFW483" s="299"/>
      <c r="QFX483" s="299"/>
      <c r="QFY483" s="299"/>
      <c r="QFZ483" s="299"/>
      <c r="QGA483" s="299"/>
      <c r="QGB483" s="299"/>
      <c r="QGC483" s="299"/>
      <c r="QGD483" s="299"/>
      <c r="QGE483" s="299"/>
      <c r="QGF483" s="299"/>
      <c r="QGG483" s="299"/>
      <c r="QGH483" s="299"/>
      <c r="QGI483" s="299"/>
      <c r="QGJ483" s="299"/>
      <c r="QGK483" s="299"/>
      <c r="QGL483" s="299"/>
      <c r="QGM483" s="299"/>
      <c r="QGN483" s="299"/>
      <c r="QGO483" s="299"/>
      <c r="QGP483" s="299"/>
      <c r="QGQ483" s="299"/>
      <c r="QGR483" s="299"/>
      <c r="QGS483" s="299"/>
      <c r="QGT483" s="299"/>
      <c r="QGU483" s="299"/>
      <c r="QGV483" s="299"/>
      <c r="QGW483" s="299"/>
      <c r="QGX483" s="299"/>
      <c r="QGY483" s="299"/>
      <c r="QGZ483" s="299"/>
      <c r="QHA483" s="299"/>
      <c r="QHB483" s="299"/>
      <c r="QHC483" s="299"/>
      <c r="QHD483" s="299"/>
      <c r="QHE483" s="299"/>
      <c r="QHF483" s="299"/>
      <c r="QHG483" s="299"/>
      <c r="QHH483" s="299"/>
      <c r="QHI483" s="299"/>
      <c r="QHJ483" s="299"/>
      <c r="QHK483" s="299"/>
      <c r="QHL483" s="299"/>
      <c r="QHM483" s="299"/>
      <c r="QHN483" s="299"/>
      <c r="QHO483" s="299"/>
      <c r="QHP483" s="299"/>
      <c r="QHQ483" s="299"/>
      <c r="QHR483" s="299"/>
      <c r="QHS483" s="299"/>
      <c r="QHT483" s="299"/>
      <c r="QHU483" s="299"/>
      <c r="QHV483" s="299"/>
      <c r="QHW483" s="299"/>
      <c r="QHX483" s="299"/>
      <c r="QHY483" s="299"/>
      <c r="QHZ483" s="299"/>
      <c r="QIA483" s="299"/>
      <c r="QIB483" s="299"/>
      <c r="QIC483" s="299"/>
      <c r="QID483" s="299"/>
      <c r="QIE483" s="299"/>
      <c r="QIF483" s="299"/>
      <c r="QIG483" s="299"/>
      <c r="QIH483" s="299"/>
      <c r="QII483" s="299"/>
      <c r="QIJ483" s="299"/>
      <c r="QIK483" s="299"/>
      <c r="QIL483" s="299"/>
      <c r="QIM483" s="299"/>
      <c r="QIN483" s="299"/>
      <c r="QIO483" s="299"/>
      <c r="QIP483" s="299"/>
      <c r="QIQ483" s="299"/>
      <c r="QIR483" s="299"/>
      <c r="QIS483" s="299"/>
      <c r="QIT483" s="299"/>
      <c r="QIU483" s="299"/>
      <c r="QIV483" s="299"/>
      <c r="QIW483" s="299"/>
      <c r="QIX483" s="299"/>
      <c r="QIY483" s="299"/>
      <c r="QIZ483" s="299"/>
      <c r="QJA483" s="299"/>
      <c r="QJB483" s="299"/>
      <c r="QJC483" s="299"/>
      <c r="QJD483" s="299"/>
      <c r="QJE483" s="299"/>
      <c r="QJF483" s="299"/>
      <c r="QJG483" s="299"/>
      <c r="QJH483" s="299"/>
      <c r="QJI483" s="299"/>
      <c r="QJJ483" s="299"/>
      <c r="QJK483" s="299"/>
      <c r="QJL483" s="299"/>
      <c r="QJM483" s="299"/>
      <c r="QJN483" s="299"/>
      <c r="QJO483" s="299"/>
      <c r="QJP483" s="299"/>
      <c r="QJQ483" s="299"/>
      <c r="QJR483" s="299"/>
      <c r="QJS483" s="299"/>
      <c r="QJT483" s="299"/>
      <c r="QJU483" s="299"/>
      <c r="QJV483" s="299"/>
      <c r="QJW483" s="299"/>
      <c r="QJX483" s="299"/>
      <c r="QJY483" s="299"/>
      <c r="QJZ483" s="299"/>
      <c r="QKA483" s="299"/>
      <c r="QKB483" s="299"/>
      <c r="QKC483" s="299"/>
      <c r="QKD483" s="299"/>
      <c r="QKE483" s="299"/>
      <c r="QKF483" s="299"/>
      <c r="QKG483" s="299"/>
      <c r="QKH483" s="299"/>
      <c r="QKI483" s="299"/>
      <c r="QKJ483" s="299"/>
      <c r="QKK483" s="299"/>
      <c r="QKL483" s="299"/>
      <c r="QKM483" s="299"/>
      <c r="QKN483" s="299"/>
      <c r="QKO483" s="299"/>
      <c r="QKP483" s="299"/>
      <c r="QKQ483" s="299"/>
      <c r="QKR483" s="299"/>
      <c r="QKS483" s="299"/>
      <c r="QKT483" s="299"/>
      <c r="QKU483" s="299"/>
      <c r="QKV483" s="299"/>
      <c r="QKW483" s="299"/>
      <c r="QKX483" s="299"/>
      <c r="QKY483" s="299"/>
      <c r="QKZ483" s="299"/>
      <c r="QLA483" s="299"/>
      <c r="QLB483" s="299"/>
      <c r="QLC483" s="299"/>
      <c r="QLD483" s="299"/>
      <c r="QLE483" s="299"/>
      <c r="QLF483" s="299"/>
      <c r="QLG483" s="299"/>
      <c r="QLH483" s="299"/>
      <c r="QLI483" s="299"/>
      <c r="QLJ483" s="299"/>
      <c r="QLK483" s="299"/>
      <c r="QLL483" s="299"/>
      <c r="QLM483" s="299"/>
      <c r="QLN483" s="299"/>
      <c r="QLO483" s="299"/>
      <c r="QLP483" s="299"/>
      <c r="QLQ483" s="299"/>
      <c r="QLR483" s="299"/>
      <c r="QLS483" s="299"/>
      <c r="QLT483" s="299"/>
      <c r="QLU483" s="299"/>
      <c r="QLV483" s="299"/>
      <c r="QLW483" s="299"/>
      <c r="QLX483" s="299"/>
      <c r="QLY483" s="299"/>
      <c r="QLZ483" s="299"/>
      <c r="QMA483" s="299"/>
      <c r="QMB483" s="299"/>
      <c r="QMC483" s="299"/>
      <c r="QMD483" s="299"/>
      <c r="QME483" s="299"/>
      <c r="QMF483" s="299"/>
      <c r="QMG483" s="299"/>
      <c r="QMH483" s="299"/>
      <c r="QMI483" s="299"/>
      <c r="QMJ483" s="299"/>
      <c r="QMK483" s="299"/>
      <c r="QML483" s="299"/>
      <c r="QMM483" s="299"/>
      <c r="QMN483" s="299"/>
      <c r="QMO483" s="299"/>
      <c r="QMP483" s="299"/>
      <c r="QMQ483" s="299"/>
      <c r="QMR483" s="299"/>
      <c r="QMS483" s="299"/>
      <c r="QMT483" s="299"/>
      <c r="QMU483" s="299"/>
      <c r="QMV483" s="299"/>
      <c r="QMW483" s="299"/>
      <c r="QMX483" s="299"/>
      <c r="QMY483" s="299"/>
      <c r="QMZ483" s="299"/>
      <c r="QNA483" s="299"/>
      <c r="QNB483" s="299"/>
      <c r="QNC483" s="299"/>
      <c r="QND483" s="299"/>
      <c r="QNE483" s="299"/>
      <c r="QNF483" s="299"/>
      <c r="QNG483" s="299"/>
      <c r="QNH483" s="299"/>
      <c r="QNI483" s="299"/>
      <c r="QNJ483" s="299"/>
      <c r="QNK483" s="299"/>
      <c r="QNL483" s="299"/>
      <c r="QNM483" s="299"/>
      <c r="QNN483" s="299"/>
      <c r="QNO483" s="299"/>
      <c r="QNP483" s="299"/>
      <c r="QNQ483" s="299"/>
      <c r="QNR483" s="299"/>
      <c r="QNS483" s="299"/>
      <c r="QNT483" s="299"/>
      <c r="QNU483" s="299"/>
      <c r="QNV483" s="299"/>
      <c r="QNW483" s="299"/>
      <c r="QNX483" s="299"/>
      <c r="QNY483" s="299"/>
      <c r="QNZ483" s="299"/>
      <c r="QOA483" s="299"/>
      <c r="QOB483" s="299"/>
      <c r="QOC483" s="299"/>
      <c r="QOD483" s="299"/>
      <c r="QOE483" s="299"/>
      <c r="QOF483" s="299"/>
      <c r="QOG483" s="299"/>
      <c r="QOH483" s="299"/>
      <c r="QOI483" s="299"/>
      <c r="QOJ483" s="299"/>
      <c r="QOK483" s="299"/>
      <c r="QOL483" s="299"/>
      <c r="QOM483" s="299"/>
      <c r="QON483" s="299"/>
      <c r="QOO483" s="299"/>
      <c r="QOP483" s="299"/>
      <c r="QOQ483" s="299"/>
      <c r="QOR483" s="299"/>
      <c r="QOS483" s="299"/>
      <c r="QOT483" s="299"/>
      <c r="QOU483" s="299"/>
      <c r="QOV483" s="299"/>
      <c r="QOW483" s="299"/>
      <c r="QOX483" s="299"/>
      <c r="QOY483" s="299"/>
      <c r="QOZ483" s="299"/>
      <c r="QPA483" s="299"/>
      <c r="QPB483" s="299"/>
      <c r="QPC483" s="299"/>
      <c r="QPD483" s="299"/>
      <c r="QPE483" s="299"/>
      <c r="QPF483" s="299"/>
      <c r="QPG483" s="299"/>
      <c r="QPH483" s="299"/>
      <c r="QPI483" s="299"/>
      <c r="QPJ483" s="299"/>
      <c r="QPK483" s="299"/>
      <c r="QPL483" s="299"/>
      <c r="QPM483" s="299"/>
      <c r="QPN483" s="299"/>
      <c r="QPO483" s="299"/>
      <c r="QPP483" s="299"/>
      <c r="QPQ483" s="299"/>
      <c r="QPR483" s="299"/>
      <c r="QPS483" s="299"/>
      <c r="QPT483" s="299"/>
      <c r="QPU483" s="299"/>
      <c r="QPV483" s="299"/>
      <c r="QPW483" s="299"/>
      <c r="QPX483" s="299"/>
      <c r="QPY483" s="299"/>
      <c r="QPZ483" s="299"/>
      <c r="QQA483" s="299"/>
      <c r="QQB483" s="299"/>
      <c r="QQC483" s="299"/>
      <c r="QQD483" s="299"/>
      <c r="QQE483" s="299"/>
      <c r="QQF483" s="299"/>
      <c r="QQG483" s="299"/>
      <c r="QQH483" s="299"/>
      <c r="QQI483" s="299"/>
      <c r="QQJ483" s="299"/>
      <c r="QQK483" s="299"/>
      <c r="QQL483" s="299"/>
      <c r="QQM483" s="299"/>
      <c r="QQN483" s="299"/>
      <c r="QQO483" s="299"/>
      <c r="QQP483" s="299"/>
      <c r="QQQ483" s="299"/>
      <c r="QQR483" s="299"/>
      <c r="QQS483" s="299"/>
      <c r="QQT483" s="299"/>
      <c r="QQU483" s="299"/>
      <c r="QQV483" s="299"/>
      <c r="QQW483" s="299"/>
      <c r="QQX483" s="299"/>
      <c r="QQY483" s="299"/>
      <c r="QQZ483" s="299"/>
      <c r="QRA483" s="299"/>
      <c r="QRB483" s="299"/>
      <c r="QRC483" s="299"/>
      <c r="QRD483" s="299"/>
      <c r="QRE483" s="299"/>
      <c r="QRF483" s="299"/>
      <c r="QRG483" s="299"/>
      <c r="QRH483" s="299"/>
      <c r="QRI483" s="299"/>
      <c r="QRJ483" s="299"/>
      <c r="QRK483" s="299"/>
      <c r="QRL483" s="299"/>
      <c r="QRM483" s="299"/>
      <c r="QRN483" s="299"/>
      <c r="QRO483" s="299"/>
      <c r="QRP483" s="299"/>
      <c r="QRQ483" s="299"/>
      <c r="QRR483" s="299"/>
      <c r="QRS483" s="299"/>
      <c r="QRT483" s="299"/>
      <c r="QRU483" s="299"/>
      <c r="QRV483" s="299"/>
      <c r="QRW483" s="299"/>
      <c r="QRX483" s="299"/>
      <c r="QRY483" s="299"/>
      <c r="QRZ483" s="299"/>
      <c r="QSA483" s="299"/>
      <c r="QSB483" s="299"/>
      <c r="QSC483" s="299"/>
      <c r="QSD483" s="299"/>
      <c r="QSE483" s="299"/>
      <c r="QSF483" s="299"/>
      <c r="QSG483" s="299"/>
      <c r="QSH483" s="299"/>
      <c r="QSI483" s="299"/>
      <c r="QSJ483" s="299"/>
      <c r="QSK483" s="299"/>
      <c r="QSL483" s="299"/>
      <c r="QSM483" s="299"/>
      <c r="QSN483" s="299"/>
      <c r="QSO483" s="299"/>
      <c r="QSP483" s="299"/>
      <c r="QSQ483" s="299"/>
      <c r="QSR483" s="299"/>
      <c r="QSS483" s="299"/>
      <c r="QST483" s="299"/>
      <c r="QSU483" s="299"/>
      <c r="QSV483" s="299"/>
      <c r="QSW483" s="299"/>
      <c r="QSX483" s="299"/>
      <c r="QSY483" s="299"/>
      <c r="QSZ483" s="299"/>
      <c r="QTA483" s="299"/>
      <c r="QTB483" s="299"/>
      <c r="QTC483" s="299"/>
      <c r="QTD483" s="299"/>
      <c r="QTE483" s="299"/>
      <c r="QTF483" s="299"/>
      <c r="QTG483" s="299"/>
      <c r="QTH483" s="299"/>
      <c r="QTI483" s="299"/>
      <c r="QTJ483" s="299"/>
      <c r="QTK483" s="299"/>
      <c r="QTL483" s="299"/>
      <c r="QTM483" s="299"/>
      <c r="QTN483" s="299"/>
      <c r="QTO483" s="299"/>
      <c r="QTP483" s="299"/>
      <c r="QTQ483" s="299"/>
      <c r="QTR483" s="299"/>
      <c r="QTS483" s="299"/>
      <c r="QTT483" s="299"/>
      <c r="QTU483" s="299"/>
      <c r="QTV483" s="299"/>
      <c r="QTW483" s="299"/>
      <c r="QTX483" s="299"/>
      <c r="QTY483" s="299"/>
      <c r="QTZ483" s="299"/>
      <c r="QUA483" s="299"/>
      <c r="QUB483" s="299"/>
      <c r="QUC483" s="299"/>
      <c r="QUD483" s="299"/>
      <c r="QUE483" s="299"/>
      <c r="QUF483" s="299"/>
      <c r="QUG483" s="299"/>
      <c r="QUH483" s="299"/>
      <c r="QUI483" s="299"/>
      <c r="QUJ483" s="299"/>
      <c r="QUK483" s="299"/>
      <c r="QUL483" s="299"/>
      <c r="QUM483" s="299"/>
      <c r="QUN483" s="299"/>
      <c r="QUO483" s="299"/>
      <c r="QUP483" s="299"/>
      <c r="QUQ483" s="299"/>
      <c r="QUR483" s="299"/>
      <c r="QUS483" s="299"/>
      <c r="QUT483" s="299"/>
      <c r="QUU483" s="299"/>
      <c r="QUV483" s="299"/>
      <c r="QUW483" s="299"/>
      <c r="QUX483" s="299"/>
      <c r="QUY483" s="299"/>
      <c r="QUZ483" s="299"/>
      <c r="QVA483" s="299"/>
      <c r="QVB483" s="299"/>
      <c r="QVC483" s="299"/>
      <c r="QVD483" s="299"/>
      <c r="QVE483" s="299"/>
      <c r="QVF483" s="299"/>
      <c r="QVG483" s="299"/>
      <c r="QVH483" s="299"/>
      <c r="QVI483" s="299"/>
      <c r="QVJ483" s="299"/>
      <c r="QVK483" s="299"/>
      <c r="QVL483" s="299"/>
      <c r="QVM483" s="299"/>
      <c r="QVN483" s="299"/>
      <c r="QVO483" s="299"/>
      <c r="QVP483" s="299"/>
      <c r="QVQ483" s="299"/>
      <c r="QVR483" s="299"/>
      <c r="QVS483" s="299"/>
      <c r="QVT483" s="299"/>
      <c r="QVU483" s="299"/>
      <c r="QVV483" s="299"/>
      <c r="QVW483" s="299"/>
      <c r="QVX483" s="299"/>
      <c r="QVY483" s="299"/>
      <c r="QVZ483" s="299"/>
      <c r="QWA483" s="299"/>
      <c r="QWB483" s="299"/>
      <c r="QWC483" s="299"/>
      <c r="QWD483" s="299"/>
      <c r="QWE483" s="299"/>
      <c r="QWF483" s="299"/>
      <c r="QWG483" s="299"/>
      <c r="QWH483" s="299"/>
      <c r="QWI483" s="299"/>
      <c r="QWJ483" s="299"/>
      <c r="QWK483" s="299"/>
      <c r="QWL483" s="299"/>
      <c r="QWM483" s="299"/>
      <c r="QWN483" s="299"/>
      <c r="QWO483" s="299"/>
      <c r="QWP483" s="299"/>
      <c r="QWQ483" s="299"/>
      <c r="QWR483" s="299"/>
      <c r="QWS483" s="299"/>
      <c r="QWT483" s="299"/>
      <c r="QWU483" s="299"/>
      <c r="QWV483" s="299"/>
      <c r="QWW483" s="299"/>
      <c r="QWX483" s="299"/>
      <c r="QWY483" s="299"/>
      <c r="QWZ483" s="299"/>
      <c r="QXA483" s="299"/>
      <c r="QXB483" s="299"/>
      <c r="QXC483" s="299"/>
      <c r="QXD483" s="299"/>
      <c r="QXE483" s="299"/>
      <c r="QXF483" s="299"/>
      <c r="QXG483" s="299"/>
      <c r="QXH483" s="299"/>
      <c r="QXI483" s="299"/>
      <c r="QXJ483" s="299"/>
      <c r="QXK483" s="299"/>
      <c r="QXL483" s="299"/>
      <c r="QXM483" s="299"/>
      <c r="QXN483" s="299"/>
      <c r="QXO483" s="299"/>
      <c r="QXP483" s="299"/>
      <c r="QXQ483" s="299"/>
      <c r="QXR483" s="299"/>
      <c r="QXS483" s="299"/>
      <c r="QXT483" s="299"/>
      <c r="QXU483" s="299"/>
      <c r="QXV483" s="299"/>
      <c r="QXW483" s="299"/>
      <c r="QXX483" s="299"/>
      <c r="QXY483" s="299"/>
      <c r="QXZ483" s="299"/>
      <c r="QYA483" s="299"/>
      <c r="QYB483" s="299"/>
      <c r="QYC483" s="299"/>
      <c r="QYD483" s="299"/>
      <c r="QYE483" s="299"/>
      <c r="QYF483" s="299"/>
      <c r="QYG483" s="299"/>
      <c r="QYH483" s="299"/>
      <c r="QYI483" s="299"/>
      <c r="QYJ483" s="299"/>
      <c r="QYK483" s="299"/>
      <c r="QYL483" s="299"/>
      <c r="QYM483" s="299"/>
      <c r="QYN483" s="299"/>
      <c r="QYO483" s="299"/>
      <c r="QYP483" s="299"/>
      <c r="QYQ483" s="299"/>
      <c r="QYR483" s="299"/>
      <c r="QYS483" s="299"/>
      <c r="QYT483" s="299"/>
      <c r="QYU483" s="299"/>
      <c r="QYV483" s="299"/>
      <c r="QYW483" s="299"/>
      <c r="QYX483" s="299"/>
      <c r="QYY483" s="299"/>
      <c r="QYZ483" s="299"/>
      <c r="QZA483" s="299"/>
      <c r="QZB483" s="299"/>
      <c r="QZC483" s="299"/>
      <c r="QZD483" s="299"/>
      <c r="QZE483" s="299"/>
      <c r="QZF483" s="299"/>
      <c r="QZG483" s="299"/>
      <c r="QZH483" s="299"/>
      <c r="QZI483" s="299"/>
      <c r="QZJ483" s="299"/>
      <c r="QZK483" s="299"/>
      <c r="QZL483" s="299"/>
      <c r="QZM483" s="299"/>
      <c r="QZN483" s="299"/>
      <c r="QZO483" s="299"/>
      <c r="QZP483" s="299"/>
      <c r="QZQ483" s="299"/>
      <c r="QZR483" s="299"/>
      <c r="QZS483" s="299"/>
      <c r="QZT483" s="299"/>
      <c r="QZU483" s="299"/>
      <c r="QZV483" s="299"/>
      <c r="QZW483" s="299"/>
      <c r="QZX483" s="299"/>
      <c r="QZY483" s="299"/>
      <c r="QZZ483" s="299"/>
      <c r="RAA483" s="299"/>
      <c r="RAB483" s="299"/>
      <c r="RAC483" s="299"/>
      <c r="RAD483" s="299"/>
      <c r="RAE483" s="299"/>
      <c r="RAF483" s="299"/>
      <c r="RAG483" s="299"/>
      <c r="RAH483" s="299"/>
      <c r="RAI483" s="299"/>
      <c r="RAJ483" s="299"/>
      <c r="RAK483" s="299"/>
      <c r="RAL483" s="299"/>
      <c r="RAM483" s="299"/>
      <c r="RAN483" s="299"/>
      <c r="RAO483" s="299"/>
      <c r="RAP483" s="299"/>
      <c r="RAQ483" s="299"/>
      <c r="RAR483" s="299"/>
      <c r="RAS483" s="299"/>
      <c r="RAT483" s="299"/>
      <c r="RAU483" s="299"/>
      <c r="RAV483" s="299"/>
      <c r="RAW483" s="299"/>
      <c r="RAX483" s="299"/>
      <c r="RAY483" s="299"/>
      <c r="RAZ483" s="299"/>
      <c r="RBA483" s="299"/>
      <c r="RBB483" s="299"/>
      <c r="RBC483" s="299"/>
      <c r="RBD483" s="299"/>
      <c r="RBE483" s="299"/>
      <c r="RBF483" s="299"/>
      <c r="RBG483" s="299"/>
      <c r="RBH483" s="299"/>
      <c r="RBI483" s="299"/>
      <c r="RBJ483" s="299"/>
      <c r="RBK483" s="299"/>
      <c r="RBL483" s="299"/>
      <c r="RBM483" s="299"/>
      <c r="RBN483" s="299"/>
      <c r="RBO483" s="299"/>
      <c r="RBP483" s="299"/>
      <c r="RBQ483" s="299"/>
      <c r="RBR483" s="299"/>
      <c r="RBS483" s="299"/>
      <c r="RBT483" s="299"/>
      <c r="RBU483" s="299"/>
      <c r="RBV483" s="299"/>
      <c r="RBW483" s="299"/>
      <c r="RBX483" s="299"/>
      <c r="RBY483" s="299"/>
      <c r="RBZ483" s="299"/>
      <c r="RCA483" s="299"/>
      <c r="RCB483" s="299"/>
      <c r="RCC483" s="299"/>
      <c r="RCD483" s="299"/>
      <c r="RCE483" s="299"/>
      <c r="RCF483" s="299"/>
      <c r="RCG483" s="299"/>
      <c r="RCH483" s="299"/>
      <c r="RCI483" s="299"/>
      <c r="RCJ483" s="299"/>
      <c r="RCK483" s="299"/>
      <c r="RCL483" s="299"/>
      <c r="RCM483" s="299"/>
      <c r="RCN483" s="299"/>
      <c r="RCO483" s="299"/>
      <c r="RCP483" s="299"/>
      <c r="RCQ483" s="299"/>
      <c r="RCR483" s="299"/>
      <c r="RCS483" s="299"/>
      <c r="RCT483" s="299"/>
      <c r="RCU483" s="299"/>
      <c r="RCV483" s="299"/>
      <c r="RCW483" s="299"/>
      <c r="RCX483" s="299"/>
      <c r="RCY483" s="299"/>
      <c r="RCZ483" s="299"/>
      <c r="RDA483" s="299"/>
      <c r="RDB483" s="299"/>
      <c r="RDC483" s="299"/>
      <c r="RDD483" s="299"/>
      <c r="RDE483" s="299"/>
      <c r="RDF483" s="299"/>
      <c r="RDG483" s="299"/>
      <c r="RDH483" s="299"/>
      <c r="RDI483" s="299"/>
      <c r="RDJ483" s="299"/>
      <c r="RDK483" s="299"/>
      <c r="RDL483" s="299"/>
      <c r="RDM483" s="299"/>
      <c r="RDN483" s="299"/>
      <c r="RDO483" s="299"/>
      <c r="RDP483" s="299"/>
      <c r="RDQ483" s="299"/>
      <c r="RDR483" s="299"/>
      <c r="RDS483" s="299"/>
      <c r="RDT483" s="299"/>
      <c r="RDU483" s="299"/>
      <c r="RDV483" s="299"/>
      <c r="RDW483" s="299"/>
      <c r="RDX483" s="299"/>
      <c r="RDY483" s="299"/>
      <c r="RDZ483" s="299"/>
      <c r="REA483" s="299"/>
      <c r="REB483" s="299"/>
      <c r="REC483" s="299"/>
      <c r="RED483" s="299"/>
      <c r="REE483" s="299"/>
      <c r="REF483" s="299"/>
      <c r="REG483" s="299"/>
      <c r="REH483" s="299"/>
      <c r="REI483" s="299"/>
      <c r="REJ483" s="299"/>
      <c r="REK483" s="299"/>
      <c r="REL483" s="299"/>
      <c r="REM483" s="299"/>
      <c r="REN483" s="299"/>
      <c r="REO483" s="299"/>
      <c r="REP483" s="299"/>
      <c r="REQ483" s="299"/>
      <c r="RER483" s="299"/>
      <c r="RES483" s="299"/>
      <c r="RET483" s="299"/>
      <c r="REU483" s="299"/>
      <c r="REV483" s="299"/>
      <c r="REW483" s="299"/>
      <c r="REX483" s="299"/>
      <c r="REY483" s="299"/>
      <c r="REZ483" s="299"/>
      <c r="RFA483" s="299"/>
      <c r="RFB483" s="299"/>
      <c r="RFC483" s="299"/>
      <c r="RFD483" s="299"/>
      <c r="RFE483" s="299"/>
      <c r="RFF483" s="299"/>
      <c r="RFG483" s="299"/>
      <c r="RFH483" s="299"/>
      <c r="RFI483" s="299"/>
      <c r="RFJ483" s="299"/>
      <c r="RFK483" s="299"/>
      <c r="RFL483" s="299"/>
      <c r="RFM483" s="299"/>
      <c r="RFN483" s="299"/>
      <c r="RFO483" s="299"/>
      <c r="RFP483" s="299"/>
      <c r="RFQ483" s="299"/>
      <c r="RFR483" s="299"/>
      <c r="RFS483" s="299"/>
      <c r="RFT483" s="299"/>
      <c r="RFU483" s="299"/>
      <c r="RFV483" s="299"/>
      <c r="RFW483" s="299"/>
      <c r="RFX483" s="299"/>
      <c r="RFY483" s="299"/>
      <c r="RFZ483" s="299"/>
      <c r="RGA483" s="299"/>
      <c r="RGB483" s="299"/>
      <c r="RGC483" s="299"/>
      <c r="RGD483" s="299"/>
      <c r="RGE483" s="299"/>
      <c r="RGF483" s="299"/>
      <c r="RGG483" s="299"/>
      <c r="RGH483" s="299"/>
      <c r="RGI483" s="299"/>
      <c r="RGJ483" s="299"/>
      <c r="RGK483" s="299"/>
      <c r="RGL483" s="299"/>
      <c r="RGM483" s="299"/>
      <c r="RGN483" s="299"/>
      <c r="RGO483" s="299"/>
      <c r="RGP483" s="299"/>
      <c r="RGQ483" s="299"/>
      <c r="RGR483" s="299"/>
      <c r="RGS483" s="299"/>
      <c r="RGT483" s="299"/>
      <c r="RGU483" s="299"/>
      <c r="RGV483" s="299"/>
      <c r="RGW483" s="299"/>
      <c r="RGX483" s="299"/>
      <c r="RGY483" s="299"/>
      <c r="RGZ483" s="299"/>
      <c r="RHA483" s="299"/>
      <c r="RHB483" s="299"/>
      <c r="RHC483" s="299"/>
      <c r="RHD483" s="299"/>
      <c r="RHE483" s="299"/>
      <c r="RHF483" s="299"/>
      <c r="RHG483" s="299"/>
      <c r="RHH483" s="299"/>
      <c r="RHI483" s="299"/>
      <c r="RHJ483" s="299"/>
      <c r="RHK483" s="299"/>
      <c r="RHL483" s="299"/>
      <c r="RHM483" s="299"/>
      <c r="RHN483" s="299"/>
      <c r="RHO483" s="299"/>
      <c r="RHP483" s="299"/>
      <c r="RHQ483" s="299"/>
      <c r="RHR483" s="299"/>
      <c r="RHS483" s="299"/>
      <c r="RHT483" s="299"/>
      <c r="RHU483" s="299"/>
      <c r="RHV483" s="299"/>
      <c r="RHW483" s="299"/>
      <c r="RHX483" s="299"/>
      <c r="RHY483" s="299"/>
      <c r="RHZ483" s="299"/>
      <c r="RIA483" s="299"/>
      <c r="RIB483" s="299"/>
      <c r="RIC483" s="299"/>
      <c r="RID483" s="299"/>
      <c r="RIE483" s="299"/>
      <c r="RIF483" s="299"/>
      <c r="RIG483" s="299"/>
      <c r="RIH483" s="299"/>
      <c r="RII483" s="299"/>
      <c r="RIJ483" s="299"/>
      <c r="RIK483" s="299"/>
      <c r="RIL483" s="299"/>
      <c r="RIM483" s="299"/>
      <c r="RIN483" s="299"/>
      <c r="RIO483" s="299"/>
      <c r="RIP483" s="299"/>
      <c r="RIQ483" s="299"/>
      <c r="RIR483" s="299"/>
      <c r="RIS483" s="299"/>
      <c r="RIT483" s="299"/>
      <c r="RIU483" s="299"/>
      <c r="RIV483" s="299"/>
      <c r="RIW483" s="299"/>
      <c r="RIX483" s="299"/>
      <c r="RIY483" s="299"/>
      <c r="RIZ483" s="299"/>
      <c r="RJA483" s="299"/>
      <c r="RJB483" s="299"/>
      <c r="RJC483" s="299"/>
      <c r="RJD483" s="299"/>
      <c r="RJE483" s="299"/>
      <c r="RJF483" s="299"/>
      <c r="RJG483" s="299"/>
      <c r="RJH483" s="299"/>
      <c r="RJI483" s="299"/>
      <c r="RJJ483" s="299"/>
      <c r="RJK483" s="299"/>
      <c r="RJL483" s="299"/>
      <c r="RJM483" s="299"/>
      <c r="RJN483" s="299"/>
      <c r="RJO483" s="299"/>
      <c r="RJP483" s="299"/>
      <c r="RJQ483" s="299"/>
      <c r="RJR483" s="299"/>
      <c r="RJS483" s="299"/>
      <c r="RJT483" s="299"/>
      <c r="RJU483" s="299"/>
      <c r="RJV483" s="299"/>
      <c r="RJW483" s="299"/>
      <c r="RJX483" s="299"/>
      <c r="RJY483" s="299"/>
      <c r="RJZ483" s="299"/>
      <c r="RKA483" s="299"/>
      <c r="RKB483" s="299"/>
      <c r="RKC483" s="299"/>
      <c r="RKD483" s="299"/>
      <c r="RKE483" s="299"/>
      <c r="RKF483" s="299"/>
      <c r="RKG483" s="299"/>
      <c r="RKH483" s="299"/>
      <c r="RKI483" s="299"/>
      <c r="RKJ483" s="299"/>
      <c r="RKK483" s="299"/>
      <c r="RKL483" s="299"/>
      <c r="RKM483" s="299"/>
      <c r="RKN483" s="299"/>
      <c r="RKO483" s="299"/>
      <c r="RKP483" s="299"/>
      <c r="RKQ483" s="299"/>
      <c r="RKR483" s="299"/>
      <c r="RKS483" s="299"/>
      <c r="RKT483" s="299"/>
      <c r="RKU483" s="299"/>
      <c r="RKV483" s="299"/>
      <c r="RKW483" s="299"/>
      <c r="RKX483" s="299"/>
      <c r="RKY483" s="299"/>
      <c r="RKZ483" s="299"/>
      <c r="RLA483" s="299"/>
      <c r="RLB483" s="299"/>
      <c r="RLC483" s="299"/>
      <c r="RLD483" s="299"/>
      <c r="RLE483" s="299"/>
      <c r="RLF483" s="299"/>
      <c r="RLG483" s="299"/>
      <c r="RLH483" s="299"/>
      <c r="RLI483" s="299"/>
      <c r="RLJ483" s="299"/>
      <c r="RLK483" s="299"/>
      <c r="RLL483" s="299"/>
      <c r="RLM483" s="299"/>
      <c r="RLN483" s="299"/>
      <c r="RLO483" s="299"/>
      <c r="RLP483" s="299"/>
      <c r="RLQ483" s="299"/>
      <c r="RLR483" s="299"/>
      <c r="RLS483" s="299"/>
      <c r="RLT483" s="299"/>
      <c r="RLU483" s="299"/>
      <c r="RLV483" s="299"/>
      <c r="RLW483" s="299"/>
      <c r="RLX483" s="299"/>
      <c r="RLY483" s="299"/>
      <c r="RLZ483" s="299"/>
      <c r="RMA483" s="299"/>
      <c r="RMB483" s="299"/>
      <c r="RMC483" s="299"/>
      <c r="RMD483" s="299"/>
      <c r="RME483" s="299"/>
      <c r="RMF483" s="299"/>
      <c r="RMG483" s="299"/>
      <c r="RMH483" s="299"/>
      <c r="RMI483" s="299"/>
      <c r="RMJ483" s="299"/>
      <c r="RMK483" s="299"/>
      <c r="RML483" s="299"/>
      <c r="RMM483" s="299"/>
      <c r="RMN483" s="299"/>
      <c r="RMO483" s="299"/>
      <c r="RMP483" s="299"/>
      <c r="RMQ483" s="299"/>
      <c r="RMR483" s="299"/>
      <c r="RMS483" s="299"/>
      <c r="RMT483" s="299"/>
      <c r="RMU483" s="299"/>
      <c r="RMV483" s="299"/>
      <c r="RMW483" s="299"/>
      <c r="RMX483" s="299"/>
      <c r="RMY483" s="299"/>
      <c r="RMZ483" s="299"/>
      <c r="RNA483" s="299"/>
      <c r="RNB483" s="299"/>
      <c r="RNC483" s="299"/>
      <c r="RND483" s="299"/>
      <c r="RNE483" s="299"/>
      <c r="RNF483" s="299"/>
      <c r="RNG483" s="299"/>
      <c r="RNH483" s="299"/>
      <c r="RNI483" s="299"/>
      <c r="RNJ483" s="299"/>
      <c r="RNK483" s="299"/>
      <c r="RNL483" s="299"/>
      <c r="RNM483" s="299"/>
      <c r="RNN483" s="299"/>
      <c r="RNO483" s="299"/>
      <c r="RNP483" s="299"/>
      <c r="RNQ483" s="299"/>
      <c r="RNR483" s="299"/>
      <c r="RNS483" s="299"/>
      <c r="RNT483" s="299"/>
      <c r="RNU483" s="299"/>
      <c r="RNV483" s="299"/>
      <c r="RNW483" s="299"/>
      <c r="RNX483" s="299"/>
      <c r="RNY483" s="299"/>
      <c r="RNZ483" s="299"/>
      <c r="ROA483" s="299"/>
      <c r="ROB483" s="299"/>
      <c r="ROC483" s="299"/>
      <c r="ROD483" s="299"/>
      <c r="ROE483" s="299"/>
      <c r="ROF483" s="299"/>
      <c r="ROG483" s="299"/>
      <c r="ROH483" s="299"/>
      <c r="ROI483" s="299"/>
      <c r="ROJ483" s="299"/>
      <c r="ROK483" s="299"/>
      <c r="ROL483" s="299"/>
      <c r="ROM483" s="299"/>
      <c r="RON483" s="299"/>
      <c r="ROO483" s="299"/>
      <c r="ROP483" s="299"/>
      <c r="ROQ483" s="299"/>
      <c r="ROR483" s="299"/>
      <c r="ROS483" s="299"/>
      <c r="ROT483" s="299"/>
      <c r="ROU483" s="299"/>
      <c r="ROV483" s="299"/>
      <c r="ROW483" s="299"/>
      <c r="ROX483" s="299"/>
      <c r="ROY483" s="299"/>
      <c r="ROZ483" s="299"/>
      <c r="RPA483" s="299"/>
      <c r="RPB483" s="299"/>
      <c r="RPC483" s="299"/>
      <c r="RPD483" s="299"/>
      <c r="RPE483" s="299"/>
      <c r="RPF483" s="299"/>
      <c r="RPG483" s="299"/>
      <c r="RPH483" s="299"/>
      <c r="RPI483" s="299"/>
      <c r="RPJ483" s="299"/>
      <c r="RPK483" s="299"/>
      <c r="RPL483" s="299"/>
      <c r="RPM483" s="299"/>
      <c r="RPN483" s="299"/>
      <c r="RPO483" s="299"/>
      <c r="RPP483" s="299"/>
      <c r="RPQ483" s="299"/>
      <c r="RPR483" s="299"/>
      <c r="RPS483" s="299"/>
      <c r="RPT483" s="299"/>
      <c r="RPU483" s="299"/>
      <c r="RPV483" s="299"/>
      <c r="RPW483" s="299"/>
      <c r="RPX483" s="299"/>
      <c r="RPY483" s="299"/>
      <c r="RPZ483" s="299"/>
      <c r="RQA483" s="299"/>
      <c r="RQB483" s="299"/>
      <c r="RQC483" s="299"/>
      <c r="RQD483" s="299"/>
      <c r="RQE483" s="299"/>
      <c r="RQF483" s="299"/>
      <c r="RQG483" s="299"/>
      <c r="RQH483" s="299"/>
      <c r="RQI483" s="299"/>
      <c r="RQJ483" s="299"/>
      <c r="RQK483" s="299"/>
      <c r="RQL483" s="299"/>
      <c r="RQM483" s="299"/>
      <c r="RQN483" s="299"/>
      <c r="RQO483" s="299"/>
      <c r="RQP483" s="299"/>
      <c r="RQQ483" s="299"/>
      <c r="RQR483" s="299"/>
      <c r="RQS483" s="299"/>
      <c r="RQT483" s="299"/>
      <c r="RQU483" s="299"/>
      <c r="RQV483" s="299"/>
      <c r="RQW483" s="299"/>
      <c r="RQX483" s="299"/>
      <c r="RQY483" s="299"/>
      <c r="RQZ483" s="299"/>
      <c r="RRA483" s="299"/>
      <c r="RRB483" s="299"/>
      <c r="RRC483" s="299"/>
      <c r="RRD483" s="299"/>
      <c r="RRE483" s="299"/>
      <c r="RRF483" s="299"/>
      <c r="RRG483" s="299"/>
      <c r="RRH483" s="299"/>
      <c r="RRI483" s="299"/>
      <c r="RRJ483" s="299"/>
      <c r="RRK483" s="299"/>
      <c r="RRL483" s="299"/>
      <c r="RRM483" s="299"/>
      <c r="RRN483" s="299"/>
      <c r="RRO483" s="299"/>
      <c r="RRP483" s="299"/>
      <c r="RRQ483" s="299"/>
      <c r="RRR483" s="299"/>
      <c r="RRS483" s="299"/>
      <c r="RRT483" s="299"/>
      <c r="RRU483" s="299"/>
      <c r="RRV483" s="299"/>
      <c r="RRW483" s="299"/>
      <c r="RRX483" s="299"/>
      <c r="RRY483" s="299"/>
      <c r="RRZ483" s="299"/>
      <c r="RSA483" s="299"/>
      <c r="RSB483" s="299"/>
      <c r="RSC483" s="299"/>
      <c r="RSD483" s="299"/>
      <c r="RSE483" s="299"/>
      <c r="RSF483" s="299"/>
      <c r="RSG483" s="299"/>
      <c r="RSH483" s="299"/>
      <c r="RSI483" s="299"/>
      <c r="RSJ483" s="299"/>
      <c r="RSK483" s="299"/>
      <c r="RSL483" s="299"/>
      <c r="RSM483" s="299"/>
      <c r="RSN483" s="299"/>
      <c r="RSO483" s="299"/>
      <c r="RSP483" s="299"/>
      <c r="RSQ483" s="299"/>
      <c r="RSR483" s="299"/>
      <c r="RSS483" s="299"/>
      <c r="RST483" s="299"/>
      <c r="RSU483" s="299"/>
      <c r="RSV483" s="299"/>
      <c r="RSW483" s="299"/>
      <c r="RSX483" s="299"/>
      <c r="RSY483" s="299"/>
      <c r="RSZ483" s="299"/>
      <c r="RTA483" s="299"/>
      <c r="RTB483" s="299"/>
      <c r="RTC483" s="299"/>
      <c r="RTD483" s="299"/>
      <c r="RTE483" s="299"/>
      <c r="RTF483" s="299"/>
      <c r="RTG483" s="299"/>
      <c r="RTH483" s="299"/>
      <c r="RTI483" s="299"/>
      <c r="RTJ483" s="299"/>
      <c r="RTK483" s="299"/>
      <c r="RTL483" s="299"/>
      <c r="RTM483" s="299"/>
      <c r="RTN483" s="299"/>
      <c r="RTO483" s="299"/>
      <c r="RTP483" s="299"/>
      <c r="RTQ483" s="299"/>
      <c r="RTR483" s="299"/>
      <c r="RTS483" s="299"/>
      <c r="RTT483" s="299"/>
      <c r="RTU483" s="299"/>
      <c r="RTV483" s="299"/>
      <c r="RTW483" s="299"/>
      <c r="RTX483" s="299"/>
      <c r="RTY483" s="299"/>
      <c r="RTZ483" s="299"/>
      <c r="RUA483" s="299"/>
      <c r="RUB483" s="299"/>
      <c r="RUC483" s="299"/>
      <c r="RUD483" s="299"/>
      <c r="RUE483" s="299"/>
      <c r="RUF483" s="299"/>
      <c r="RUG483" s="299"/>
      <c r="RUH483" s="299"/>
      <c r="RUI483" s="299"/>
      <c r="RUJ483" s="299"/>
      <c r="RUK483" s="299"/>
      <c r="RUL483" s="299"/>
      <c r="RUM483" s="299"/>
      <c r="RUN483" s="299"/>
      <c r="RUO483" s="299"/>
      <c r="RUP483" s="299"/>
      <c r="RUQ483" s="299"/>
      <c r="RUR483" s="299"/>
      <c r="RUS483" s="299"/>
      <c r="RUT483" s="299"/>
      <c r="RUU483" s="299"/>
      <c r="RUV483" s="299"/>
      <c r="RUW483" s="299"/>
      <c r="RUX483" s="299"/>
      <c r="RUY483" s="299"/>
      <c r="RUZ483" s="299"/>
      <c r="RVA483" s="299"/>
      <c r="RVB483" s="299"/>
      <c r="RVC483" s="299"/>
      <c r="RVD483" s="299"/>
      <c r="RVE483" s="299"/>
      <c r="RVF483" s="299"/>
      <c r="RVG483" s="299"/>
      <c r="RVH483" s="299"/>
      <c r="RVI483" s="299"/>
      <c r="RVJ483" s="299"/>
      <c r="RVK483" s="299"/>
      <c r="RVL483" s="299"/>
      <c r="RVM483" s="299"/>
      <c r="RVN483" s="299"/>
      <c r="RVO483" s="299"/>
      <c r="RVP483" s="299"/>
      <c r="RVQ483" s="299"/>
      <c r="RVR483" s="299"/>
      <c r="RVS483" s="299"/>
      <c r="RVT483" s="299"/>
      <c r="RVU483" s="299"/>
      <c r="RVV483" s="299"/>
      <c r="RVW483" s="299"/>
      <c r="RVX483" s="299"/>
      <c r="RVY483" s="299"/>
      <c r="RVZ483" s="299"/>
      <c r="RWA483" s="299"/>
      <c r="RWB483" s="299"/>
      <c r="RWC483" s="299"/>
      <c r="RWD483" s="299"/>
      <c r="RWE483" s="299"/>
      <c r="RWF483" s="299"/>
      <c r="RWG483" s="299"/>
      <c r="RWH483" s="299"/>
      <c r="RWI483" s="299"/>
      <c r="RWJ483" s="299"/>
      <c r="RWK483" s="299"/>
      <c r="RWL483" s="299"/>
      <c r="RWM483" s="299"/>
      <c r="RWN483" s="299"/>
      <c r="RWO483" s="299"/>
      <c r="RWP483" s="299"/>
      <c r="RWQ483" s="299"/>
      <c r="RWR483" s="299"/>
      <c r="RWS483" s="299"/>
      <c r="RWT483" s="299"/>
      <c r="RWU483" s="299"/>
      <c r="RWV483" s="299"/>
      <c r="RWW483" s="299"/>
      <c r="RWX483" s="299"/>
      <c r="RWY483" s="299"/>
      <c r="RWZ483" s="299"/>
      <c r="RXA483" s="299"/>
      <c r="RXB483" s="299"/>
      <c r="RXC483" s="299"/>
      <c r="RXD483" s="299"/>
      <c r="RXE483" s="299"/>
      <c r="RXF483" s="299"/>
      <c r="RXG483" s="299"/>
      <c r="RXH483" s="299"/>
      <c r="RXI483" s="299"/>
      <c r="RXJ483" s="299"/>
      <c r="RXK483" s="299"/>
      <c r="RXL483" s="299"/>
      <c r="RXM483" s="299"/>
      <c r="RXN483" s="299"/>
      <c r="RXO483" s="299"/>
      <c r="RXP483" s="299"/>
      <c r="RXQ483" s="299"/>
      <c r="RXR483" s="299"/>
      <c r="RXS483" s="299"/>
      <c r="RXT483" s="299"/>
      <c r="RXU483" s="299"/>
      <c r="RXV483" s="299"/>
      <c r="RXW483" s="299"/>
      <c r="RXX483" s="299"/>
      <c r="RXY483" s="299"/>
      <c r="RXZ483" s="299"/>
      <c r="RYA483" s="299"/>
      <c r="RYB483" s="299"/>
      <c r="RYC483" s="299"/>
      <c r="RYD483" s="299"/>
      <c r="RYE483" s="299"/>
      <c r="RYF483" s="299"/>
      <c r="RYG483" s="299"/>
      <c r="RYH483" s="299"/>
      <c r="RYI483" s="299"/>
      <c r="RYJ483" s="299"/>
      <c r="RYK483" s="299"/>
      <c r="RYL483" s="299"/>
      <c r="RYM483" s="299"/>
      <c r="RYN483" s="299"/>
      <c r="RYO483" s="299"/>
      <c r="RYP483" s="299"/>
      <c r="RYQ483" s="299"/>
      <c r="RYR483" s="299"/>
      <c r="RYS483" s="299"/>
      <c r="RYT483" s="299"/>
      <c r="RYU483" s="299"/>
      <c r="RYV483" s="299"/>
      <c r="RYW483" s="299"/>
      <c r="RYX483" s="299"/>
      <c r="RYY483" s="299"/>
      <c r="RYZ483" s="299"/>
      <c r="RZA483" s="299"/>
      <c r="RZB483" s="299"/>
      <c r="RZC483" s="299"/>
      <c r="RZD483" s="299"/>
      <c r="RZE483" s="299"/>
      <c r="RZF483" s="299"/>
      <c r="RZG483" s="299"/>
      <c r="RZH483" s="299"/>
      <c r="RZI483" s="299"/>
      <c r="RZJ483" s="299"/>
      <c r="RZK483" s="299"/>
      <c r="RZL483" s="299"/>
      <c r="RZM483" s="299"/>
      <c r="RZN483" s="299"/>
      <c r="RZO483" s="299"/>
      <c r="RZP483" s="299"/>
      <c r="RZQ483" s="299"/>
      <c r="RZR483" s="299"/>
      <c r="RZS483" s="299"/>
      <c r="RZT483" s="299"/>
      <c r="RZU483" s="299"/>
      <c r="RZV483" s="299"/>
      <c r="RZW483" s="299"/>
      <c r="RZX483" s="299"/>
      <c r="RZY483" s="299"/>
      <c r="RZZ483" s="299"/>
      <c r="SAA483" s="299"/>
      <c r="SAB483" s="299"/>
      <c r="SAC483" s="299"/>
      <c r="SAD483" s="299"/>
      <c r="SAE483" s="299"/>
      <c r="SAF483" s="299"/>
      <c r="SAG483" s="299"/>
      <c r="SAH483" s="299"/>
      <c r="SAI483" s="299"/>
      <c r="SAJ483" s="299"/>
      <c r="SAK483" s="299"/>
      <c r="SAL483" s="299"/>
      <c r="SAM483" s="299"/>
      <c r="SAN483" s="299"/>
      <c r="SAO483" s="299"/>
      <c r="SAP483" s="299"/>
      <c r="SAQ483" s="299"/>
      <c r="SAR483" s="299"/>
      <c r="SAS483" s="299"/>
      <c r="SAT483" s="299"/>
      <c r="SAU483" s="299"/>
      <c r="SAV483" s="299"/>
      <c r="SAW483" s="299"/>
      <c r="SAX483" s="299"/>
      <c r="SAY483" s="299"/>
      <c r="SAZ483" s="299"/>
      <c r="SBA483" s="299"/>
      <c r="SBB483" s="299"/>
      <c r="SBC483" s="299"/>
      <c r="SBD483" s="299"/>
      <c r="SBE483" s="299"/>
      <c r="SBF483" s="299"/>
      <c r="SBG483" s="299"/>
      <c r="SBH483" s="299"/>
      <c r="SBI483" s="299"/>
      <c r="SBJ483" s="299"/>
      <c r="SBK483" s="299"/>
      <c r="SBL483" s="299"/>
      <c r="SBM483" s="299"/>
      <c r="SBN483" s="299"/>
      <c r="SBO483" s="299"/>
      <c r="SBP483" s="299"/>
      <c r="SBQ483" s="299"/>
      <c r="SBR483" s="299"/>
      <c r="SBS483" s="299"/>
      <c r="SBT483" s="299"/>
      <c r="SBU483" s="299"/>
      <c r="SBV483" s="299"/>
      <c r="SBW483" s="299"/>
      <c r="SBX483" s="299"/>
      <c r="SBY483" s="299"/>
      <c r="SBZ483" s="299"/>
      <c r="SCA483" s="299"/>
      <c r="SCB483" s="299"/>
      <c r="SCC483" s="299"/>
      <c r="SCD483" s="299"/>
      <c r="SCE483" s="299"/>
      <c r="SCF483" s="299"/>
      <c r="SCG483" s="299"/>
      <c r="SCH483" s="299"/>
      <c r="SCI483" s="299"/>
      <c r="SCJ483" s="299"/>
      <c r="SCK483" s="299"/>
      <c r="SCL483" s="299"/>
      <c r="SCM483" s="299"/>
      <c r="SCN483" s="299"/>
      <c r="SCO483" s="299"/>
      <c r="SCP483" s="299"/>
      <c r="SCQ483" s="299"/>
      <c r="SCR483" s="299"/>
      <c r="SCS483" s="299"/>
      <c r="SCT483" s="299"/>
      <c r="SCU483" s="299"/>
      <c r="SCV483" s="299"/>
      <c r="SCW483" s="299"/>
      <c r="SCX483" s="299"/>
      <c r="SCY483" s="299"/>
      <c r="SCZ483" s="299"/>
      <c r="SDA483" s="299"/>
      <c r="SDB483" s="299"/>
      <c r="SDC483" s="299"/>
      <c r="SDD483" s="299"/>
      <c r="SDE483" s="299"/>
      <c r="SDF483" s="299"/>
      <c r="SDG483" s="299"/>
      <c r="SDH483" s="299"/>
      <c r="SDI483" s="299"/>
      <c r="SDJ483" s="299"/>
      <c r="SDK483" s="299"/>
      <c r="SDL483" s="299"/>
      <c r="SDM483" s="299"/>
      <c r="SDN483" s="299"/>
      <c r="SDO483" s="299"/>
      <c r="SDP483" s="299"/>
      <c r="SDQ483" s="299"/>
      <c r="SDR483" s="299"/>
      <c r="SDS483" s="299"/>
      <c r="SDT483" s="299"/>
      <c r="SDU483" s="299"/>
      <c r="SDV483" s="299"/>
      <c r="SDW483" s="299"/>
      <c r="SDX483" s="299"/>
      <c r="SDY483" s="299"/>
      <c r="SDZ483" s="299"/>
      <c r="SEA483" s="299"/>
      <c r="SEB483" s="299"/>
      <c r="SEC483" s="299"/>
      <c r="SED483" s="299"/>
      <c r="SEE483" s="299"/>
      <c r="SEF483" s="299"/>
      <c r="SEG483" s="299"/>
      <c r="SEH483" s="299"/>
      <c r="SEI483" s="299"/>
      <c r="SEJ483" s="299"/>
      <c r="SEK483" s="299"/>
      <c r="SEL483" s="299"/>
      <c r="SEM483" s="299"/>
      <c r="SEN483" s="299"/>
      <c r="SEO483" s="299"/>
      <c r="SEP483" s="299"/>
      <c r="SEQ483" s="299"/>
      <c r="SER483" s="299"/>
      <c r="SES483" s="299"/>
      <c r="SET483" s="299"/>
      <c r="SEU483" s="299"/>
      <c r="SEV483" s="299"/>
      <c r="SEW483" s="299"/>
      <c r="SEX483" s="299"/>
      <c r="SEY483" s="299"/>
      <c r="SEZ483" s="299"/>
      <c r="SFA483" s="299"/>
      <c r="SFB483" s="299"/>
      <c r="SFC483" s="299"/>
      <c r="SFD483" s="299"/>
      <c r="SFE483" s="299"/>
      <c r="SFF483" s="299"/>
      <c r="SFG483" s="299"/>
      <c r="SFH483" s="299"/>
      <c r="SFI483" s="299"/>
      <c r="SFJ483" s="299"/>
      <c r="SFK483" s="299"/>
      <c r="SFL483" s="299"/>
      <c r="SFM483" s="299"/>
      <c r="SFN483" s="299"/>
      <c r="SFO483" s="299"/>
      <c r="SFP483" s="299"/>
      <c r="SFQ483" s="299"/>
      <c r="SFR483" s="299"/>
      <c r="SFS483" s="299"/>
      <c r="SFT483" s="299"/>
      <c r="SFU483" s="299"/>
      <c r="SFV483" s="299"/>
      <c r="SFW483" s="299"/>
      <c r="SFX483" s="299"/>
      <c r="SFY483" s="299"/>
      <c r="SFZ483" s="299"/>
      <c r="SGA483" s="299"/>
      <c r="SGB483" s="299"/>
      <c r="SGC483" s="299"/>
      <c r="SGD483" s="299"/>
      <c r="SGE483" s="299"/>
      <c r="SGF483" s="299"/>
      <c r="SGG483" s="299"/>
      <c r="SGH483" s="299"/>
      <c r="SGI483" s="299"/>
      <c r="SGJ483" s="299"/>
      <c r="SGK483" s="299"/>
      <c r="SGL483" s="299"/>
      <c r="SGM483" s="299"/>
      <c r="SGN483" s="299"/>
      <c r="SGO483" s="299"/>
      <c r="SGP483" s="299"/>
      <c r="SGQ483" s="299"/>
      <c r="SGR483" s="299"/>
      <c r="SGS483" s="299"/>
      <c r="SGT483" s="299"/>
      <c r="SGU483" s="299"/>
      <c r="SGV483" s="299"/>
      <c r="SGW483" s="299"/>
      <c r="SGX483" s="299"/>
      <c r="SGY483" s="299"/>
      <c r="SGZ483" s="299"/>
      <c r="SHA483" s="299"/>
      <c r="SHB483" s="299"/>
      <c r="SHC483" s="299"/>
      <c r="SHD483" s="299"/>
      <c r="SHE483" s="299"/>
      <c r="SHF483" s="299"/>
      <c r="SHG483" s="299"/>
      <c r="SHH483" s="299"/>
      <c r="SHI483" s="299"/>
      <c r="SHJ483" s="299"/>
      <c r="SHK483" s="299"/>
      <c r="SHL483" s="299"/>
      <c r="SHM483" s="299"/>
      <c r="SHN483" s="299"/>
      <c r="SHO483" s="299"/>
      <c r="SHP483" s="299"/>
      <c r="SHQ483" s="299"/>
      <c r="SHR483" s="299"/>
      <c r="SHS483" s="299"/>
      <c r="SHT483" s="299"/>
      <c r="SHU483" s="299"/>
      <c r="SHV483" s="299"/>
      <c r="SHW483" s="299"/>
      <c r="SHX483" s="299"/>
      <c r="SHY483" s="299"/>
      <c r="SHZ483" s="299"/>
      <c r="SIA483" s="299"/>
      <c r="SIB483" s="299"/>
      <c r="SIC483" s="299"/>
      <c r="SID483" s="299"/>
      <c r="SIE483" s="299"/>
      <c r="SIF483" s="299"/>
      <c r="SIG483" s="299"/>
      <c r="SIH483" s="299"/>
      <c r="SII483" s="299"/>
      <c r="SIJ483" s="299"/>
      <c r="SIK483" s="299"/>
      <c r="SIL483" s="299"/>
      <c r="SIM483" s="299"/>
      <c r="SIN483" s="299"/>
      <c r="SIO483" s="299"/>
      <c r="SIP483" s="299"/>
      <c r="SIQ483" s="299"/>
      <c r="SIR483" s="299"/>
      <c r="SIS483" s="299"/>
      <c r="SIT483" s="299"/>
      <c r="SIU483" s="299"/>
      <c r="SIV483" s="299"/>
      <c r="SIW483" s="299"/>
      <c r="SIX483" s="299"/>
      <c r="SIY483" s="299"/>
      <c r="SIZ483" s="299"/>
      <c r="SJA483" s="299"/>
      <c r="SJB483" s="299"/>
      <c r="SJC483" s="299"/>
      <c r="SJD483" s="299"/>
      <c r="SJE483" s="299"/>
      <c r="SJF483" s="299"/>
      <c r="SJG483" s="299"/>
      <c r="SJH483" s="299"/>
      <c r="SJI483" s="299"/>
      <c r="SJJ483" s="299"/>
      <c r="SJK483" s="299"/>
      <c r="SJL483" s="299"/>
      <c r="SJM483" s="299"/>
      <c r="SJN483" s="299"/>
      <c r="SJO483" s="299"/>
      <c r="SJP483" s="299"/>
      <c r="SJQ483" s="299"/>
      <c r="SJR483" s="299"/>
      <c r="SJS483" s="299"/>
      <c r="SJT483" s="299"/>
      <c r="SJU483" s="299"/>
      <c r="SJV483" s="299"/>
      <c r="SJW483" s="299"/>
      <c r="SJX483" s="299"/>
      <c r="SJY483" s="299"/>
      <c r="SJZ483" s="299"/>
      <c r="SKA483" s="299"/>
      <c r="SKB483" s="299"/>
      <c r="SKC483" s="299"/>
      <c r="SKD483" s="299"/>
      <c r="SKE483" s="299"/>
      <c r="SKF483" s="299"/>
      <c r="SKG483" s="299"/>
      <c r="SKH483" s="299"/>
      <c r="SKI483" s="299"/>
      <c r="SKJ483" s="299"/>
      <c r="SKK483" s="299"/>
      <c r="SKL483" s="299"/>
      <c r="SKM483" s="299"/>
      <c r="SKN483" s="299"/>
      <c r="SKO483" s="299"/>
      <c r="SKP483" s="299"/>
      <c r="SKQ483" s="299"/>
      <c r="SKR483" s="299"/>
      <c r="SKS483" s="299"/>
      <c r="SKT483" s="299"/>
      <c r="SKU483" s="299"/>
      <c r="SKV483" s="299"/>
      <c r="SKW483" s="299"/>
      <c r="SKX483" s="299"/>
      <c r="SKY483" s="299"/>
      <c r="SKZ483" s="299"/>
      <c r="SLA483" s="299"/>
      <c r="SLB483" s="299"/>
      <c r="SLC483" s="299"/>
      <c r="SLD483" s="299"/>
      <c r="SLE483" s="299"/>
      <c r="SLF483" s="299"/>
      <c r="SLG483" s="299"/>
      <c r="SLH483" s="299"/>
      <c r="SLI483" s="299"/>
      <c r="SLJ483" s="299"/>
      <c r="SLK483" s="299"/>
      <c r="SLL483" s="299"/>
      <c r="SLM483" s="299"/>
      <c r="SLN483" s="299"/>
      <c r="SLO483" s="299"/>
      <c r="SLP483" s="299"/>
      <c r="SLQ483" s="299"/>
      <c r="SLR483" s="299"/>
      <c r="SLS483" s="299"/>
      <c r="SLT483" s="299"/>
      <c r="SLU483" s="299"/>
      <c r="SLV483" s="299"/>
      <c r="SLW483" s="299"/>
      <c r="SLX483" s="299"/>
      <c r="SLY483" s="299"/>
      <c r="SLZ483" s="299"/>
      <c r="SMA483" s="299"/>
      <c r="SMB483" s="299"/>
      <c r="SMC483" s="299"/>
      <c r="SMD483" s="299"/>
      <c r="SME483" s="299"/>
      <c r="SMF483" s="299"/>
      <c r="SMG483" s="299"/>
      <c r="SMH483" s="299"/>
      <c r="SMI483" s="299"/>
      <c r="SMJ483" s="299"/>
      <c r="SMK483" s="299"/>
      <c r="SML483" s="299"/>
      <c r="SMM483" s="299"/>
      <c r="SMN483" s="299"/>
      <c r="SMO483" s="299"/>
      <c r="SMP483" s="299"/>
      <c r="SMQ483" s="299"/>
      <c r="SMR483" s="299"/>
      <c r="SMS483" s="299"/>
      <c r="SMT483" s="299"/>
      <c r="SMU483" s="299"/>
      <c r="SMV483" s="299"/>
      <c r="SMW483" s="299"/>
      <c r="SMX483" s="299"/>
      <c r="SMY483" s="299"/>
      <c r="SMZ483" s="299"/>
      <c r="SNA483" s="299"/>
      <c r="SNB483" s="299"/>
      <c r="SNC483" s="299"/>
      <c r="SND483" s="299"/>
      <c r="SNE483" s="299"/>
      <c r="SNF483" s="299"/>
      <c r="SNG483" s="299"/>
      <c r="SNH483" s="299"/>
      <c r="SNI483" s="299"/>
      <c r="SNJ483" s="299"/>
      <c r="SNK483" s="299"/>
      <c r="SNL483" s="299"/>
      <c r="SNM483" s="299"/>
      <c r="SNN483" s="299"/>
      <c r="SNO483" s="299"/>
      <c r="SNP483" s="299"/>
      <c r="SNQ483" s="299"/>
      <c r="SNR483" s="299"/>
      <c r="SNS483" s="299"/>
      <c r="SNT483" s="299"/>
      <c r="SNU483" s="299"/>
      <c r="SNV483" s="299"/>
      <c r="SNW483" s="299"/>
      <c r="SNX483" s="299"/>
      <c r="SNY483" s="299"/>
      <c r="SNZ483" s="299"/>
      <c r="SOA483" s="299"/>
      <c r="SOB483" s="299"/>
      <c r="SOC483" s="299"/>
      <c r="SOD483" s="299"/>
      <c r="SOE483" s="299"/>
      <c r="SOF483" s="299"/>
      <c r="SOG483" s="299"/>
      <c r="SOH483" s="299"/>
      <c r="SOI483" s="299"/>
      <c r="SOJ483" s="299"/>
      <c r="SOK483" s="299"/>
      <c r="SOL483" s="299"/>
      <c r="SOM483" s="299"/>
      <c r="SON483" s="299"/>
      <c r="SOO483" s="299"/>
      <c r="SOP483" s="299"/>
      <c r="SOQ483" s="299"/>
      <c r="SOR483" s="299"/>
      <c r="SOS483" s="299"/>
      <c r="SOT483" s="299"/>
      <c r="SOU483" s="299"/>
      <c r="SOV483" s="299"/>
      <c r="SOW483" s="299"/>
      <c r="SOX483" s="299"/>
      <c r="SOY483" s="299"/>
      <c r="SOZ483" s="299"/>
      <c r="SPA483" s="299"/>
      <c r="SPB483" s="299"/>
      <c r="SPC483" s="299"/>
      <c r="SPD483" s="299"/>
      <c r="SPE483" s="299"/>
      <c r="SPF483" s="299"/>
      <c r="SPG483" s="299"/>
      <c r="SPH483" s="299"/>
      <c r="SPI483" s="299"/>
      <c r="SPJ483" s="299"/>
      <c r="SPK483" s="299"/>
      <c r="SPL483" s="299"/>
      <c r="SPM483" s="299"/>
      <c r="SPN483" s="299"/>
      <c r="SPO483" s="299"/>
      <c r="SPP483" s="299"/>
      <c r="SPQ483" s="299"/>
      <c r="SPR483" s="299"/>
      <c r="SPS483" s="299"/>
      <c r="SPT483" s="299"/>
      <c r="SPU483" s="299"/>
      <c r="SPV483" s="299"/>
      <c r="SPW483" s="299"/>
      <c r="SPX483" s="299"/>
      <c r="SPY483" s="299"/>
      <c r="SPZ483" s="299"/>
      <c r="SQA483" s="299"/>
      <c r="SQB483" s="299"/>
      <c r="SQC483" s="299"/>
      <c r="SQD483" s="299"/>
      <c r="SQE483" s="299"/>
      <c r="SQF483" s="299"/>
      <c r="SQG483" s="299"/>
      <c r="SQH483" s="299"/>
      <c r="SQI483" s="299"/>
      <c r="SQJ483" s="299"/>
      <c r="SQK483" s="299"/>
      <c r="SQL483" s="299"/>
      <c r="SQM483" s="299"/>
      <c r="SQN483" s="299"/>
      <c r="SQO483" s="299"/>
      <c r="SQP483" s="299"/>
      <c r="SQQ483" s="299"/>
      <c r="SQR483" s="299"/>
      <c r="SQS483" s="299"/>
      <c r="SQT483" s="299"/>
      <c r="SQU483" s="299"/>
      <c r="SQV483" s="299"/>
      <c r="SQW483" s="299"/>
      <c r="SQX483" s="299"/>
      <c r="SQY483" s="299"/>
      <c r="SQZ483" s="299"/>
      <c r="SRA483" s="299"/>
      <c r="SRB483" s="299"/>
      <c r="SRC483" s="299"/>
      <c r="SRD483" s="299"/>
      <c r="SRE483" s="299"/>
      <c r="SRF483" s="299"/>
      <c r="SRG483" s="299"/>
      <c r="SRH483" s="299"/>
      <c r="SRI483" s="299"/>
      <c r="SRJ483" s="299"/>
      <c r="SRK483" s="299"/>
      <c r="SRL483" s="299"/>
      <c r="SRM483" s="299"/>
      <c r="SRN483" s="299"/>
      <c r="SRO483" s="299"/>
      <c r="SRP483" s="299"/>
      <c r="SRQ483" s="299"/>
      <c r="SRR483" s="299"/>
      <c r="SRS483" s="299"/>
      <c r="SRT483" s="299"/>
      <c r="SRU483" s="299"/>
      <c r="SRV483" s="299"/>
      <c r="SRW483" s="299"/>
      <c r="SRX483" s="299"/>
      <c r="SRY483" s="299"/>
      <c r="SRZ483" s="299"/>
      <c r="SSA483" s="299"/>
      <c r="SSB483" s="299"/>
      <c r="SSC483" s="299"/>
      <c r="SSD483" s="299"/>
      <c r="SSE483" s="299"/>
      <c r="SSF483" s="299"/>
      <c r="SSG483" s="299"/>
      <c r="SSH483" s="299"/>
      <c r="SSI483" s="299"/>
      <c r="SSJ483" s="299"/>
      <c r="SSK483" s="299"/>
      <c r="SSL483" s="299"/>
      <c r="SSM483" s="299"/>
      <c r="SSN483" s="299"/>
      <c r="SSO483" s="299"/>
      <c r="SSP483" s="299"/>
      <c r="SSQ483" s="299"/>
      <c r="SSR483" s="299"/>
      <c r="SSS483" s="299"/>
      <c r="SST483" s="299"/>
      <c r="SSU483" s="299"/>
      <c r="SSV483" s="299"/>
      <c r="SSW483" s="299"/>
      <c r="SSX483" s="299"/>
      <c r="SSY483" s="299"/>
      <c r="SSZ483" s="299"/>
      <c r="STA483" s="299"/>
      <c r="STB483" s="299"/>
      <c r="STC483" s="299"/>
      <c r="STD483" s="299"/>
      <c r="STE483" s="299"/>
      <c r="STF483" s="299"/>
      <c r="STG483" s="299"/>
      <c r="STH483" s="299"/>
      <c r="STI483" s="299"/>
      <c r="STJ483" s="299"/>
      <c r="STK483" s="299"/>
      <c r="STL483" s="299"/>
      <c r="STM483" s="299"/>
      <c r="STN483" s="299"/>
      <c r="STO483" s="299"/>
      <c r="STP483" s="299"/>
      <c r="STQ483" s="299"/>
      <c r="STR483" s="299"/>
      <c r="STS483" s="299"/>
      <c r="STT483" s="299"/>
      <c r="STU483" s="299"/>
      <c r="STV483" s="299"/>
      <c r="STW483" s="299"/>
      <c r="STX483" s="299"/>
      <c r="STY483" s="299"/>
      <c r="STZ483" s="299"/>
      <c r="SUA483" s="299"/>
      <c r="SUB483" s="299"/>
      <c r="SUC483" s="299"/>
      <c r="SUD483" s="299"/>
      <c r="SUE483" s="299"/>
      <c r="SUF483" s="299"/>
      <c r="SUG483" s="299"/>
      <c r="SUH483" s="299"/>
      <c r="SUI483" s="299"/>
      <c r="SUJ483" s="299"/>
      <c r="SUK483" s="299"/>
      <c r="SUL483" s="299"/>
      <c r="SUM483" s="299"/>
      <c r="SUN483" s="299"/>
      <c r="SUO483" s="299"/>
      <c r="SUP483" s="299"/>
      <c r="SUQ483" s="299"/>
      <c r="SUR483" s="299"/>
      <c r="SUS483" s="299"/>
      <c r="SUT483" s="299"/>
      <c r="SUU483" s="299"/>
      <c r="SUV483" s="299"/>
      <c r="SUW483" s="299"/>
      <c r="SUX483" s="299"/>
      <c r="SUY483" s="299"/>
      <c r="SUZ483" s="299"/>
      <c r="SVA483" s="299"/>
      <c r="SVB483" s="299"/>
      <c r="SVC483" s="299"/>
      <c r="SVD483" s="299"/>
      <c r="SVE483" s="299"/>
      <c r="SVF483" s="299"/>
      <c r="SVG483" s="299"/>
      <c r="SVH483" s="299"/>
      <c r="SVI483" s="299"/>
      <c r="SVJ483" s="299"/>
      <c r="SVK483" s="299"/>
      <c r="SVL483" s="299"/>
      <c r="SVM483" s="299"/>
      <c r="SVN483" s="299"/>
      <c r="SVO483" s="299"/>
      <c r="SVP483" s="299"/>
      <c r="SVQ483" s="299"/>
      <c r="SVR483" s="299"/>
      <c r="SVS483" s="299"/>
      <c r="SVT483" s="299"/>
      <c r="SVU483" s="299"/>
      <c r="SVV483" s="299"/>
      <c r="SVW483" s="299"/>
      <c r="SVX483" s="299"/>
      <c r="SVY483" s="299"/>
      <c r="SVZ483" s="299"/>
      <c r="SWA483" s="299"/>
      <c r="SWB483" s="299"/>
      <c r="SWC483" s="299"/>
      <c r="SWD483" s="299"/>
      <c r="SWE483" s="299"/>
      <c r="SWF483" s="299"/>
      <c r="SWG483" s="299"/>
      <c r="SWH483" s="299"/>
      <c r="SWI483" s="299"/>
      <c r="SWJ483" s="299"/>
      <c r="SWK483" s="299"/>
      <c r="SWL483" s="299"/>
      <c r="SWM483" s="299"/>
      <c r="SWN483" s="299"/>
      <c r="SWO483" s="299"/>
      <c r="SWP483" s="299"/>
      <c r="SWQ483" s="299"/>
      <c r="SWR483" s="299"/>
      <c r="SWS483" s="299"/>
      <c r="SWT483" s="299"/>
      <c r="SWU483" s="299"/>
      <c r="SWV483" s="299"/>
      <c r="SWW483" s="299"/>
      <c r="SWX483" s="299"/>
      <c r="SWY483" s="299"/>
      <c r="SWZ483" s="299"/>
      <c r="SXA483" s="299"/>
      <c r="SXB483" s="299"/>
      <c r="SXC483" s="299"/>
      <c r="SXD483" s="299"/>
      <c r="SXE483" s="299"/>
      <c r="SXF483" s="299"/>
      <c r="SXG483" s="299"/>
      <c r="SXH483" s="299"/>
      <c r="SXI483" s="299"/>
      <c r="SXJ483" s="299"/>
      <c r="SXK483" s="299"/>
      <c r="SXL483" s="299"/>
      <c r="SXM483" s="299"/>
      <c r="SXN483" s="299"/>
      <c r="SXO483" s="299"/>
      <c r="SXP483" s="299"/>
      <c r="SXQ483" s="299"/>
      <c r="SXR483" s="299"/>
      <c r="SXS483" s="299"/>
      <c r="SXT483" s="299"/>
      <c r="SXU483" s="299"/>
      <c r="SXV483" s="299"/>
      <c r="SXW483" s="299"/>
      <c r="SXX483" s="299"/>
      <c r="SXY483" s="299"/>
      <c r="SXZ483" s="299"/>
      <c r="SYA483" s="299"/>
      <c r="SYB483" s="299"/>
      <c r="SYC483" s="299"/>
      <c r="SYD483" s="299"/>
      <c r="SYE483" s="299"/>
      <c r="SYF483" s="299"/>
      <c r="SYG483" s="299"/>
      <c r="SYH483" s="299"/>
      <c r="SYI483" s="299"/>
      <c r="SYJ483" s="299"/>
      <c r="SYK483" s="299"/>
      <c r="SYL483" s="299"/>
      <c r="SYM483" s="299"/>
      <c r="SYN483" s="299"/>
      <c r="SYO483" s="299"/>
      <c r="SYP483" s="299"/>
      <c r="SYQ483" s="299"/>
      <c r="SYR483" s="299"/>
      <c r="SYS483" s="299"/>
      <c r="SYT483" s="299"/>
      <c r="SYU483" s="299"/>
      <c r="SYV483" s="299"/>
      <c r="SYW483" s="299"/>
      <c r="SYX483" s="299"/>
      <c r="SYY483" s="299"/>
      <c r="SYZ483" s="299"/>
      <c r="SZA483" s="299"/>
      <c r="SZB483" s="299"/>
      <c r="SZC483" s="299"/>
      <c r="SZD483" s="299"/>
      <c r="SZE483" s="299"/>
      <c r="SZF483" s="299"/>
      <c r="SZG483" s="299"/>
      <c r="SZH483" s="299"/>
      <c r="SZI483" s="299"/>
      <c r="SZJ483" s="299"/>
      <c r="SZK483" s="299"/>
      <c r="SZL483" s="299"/>
      <c r="SZM483" s="299"/>
      <c r="SZN483" s="299"/>
      <c r="SZO483" s="299"/>
      <c r="SZP483" s="299"/>
      <c r="SZQ483" s="299"/>
      <c r="SZR483" s="299"/>
      <c r="SZS483" s="299"/>
      <c r="SZT483" s="299"/>
      <c r="SZU483" s="299"/>
      <c r="SZV483" s="299"/>
      <c r="SZW483" s="299"/>
      <c r="SZX483" s="299"/>
      <c r="SZY483" s="299"/>
      <c r="SZZ483" s="299"/>
      <c r="TAA483" s="299"/>
      <c r="TAB483" s="299"/>
      <c r="TAC483" s="299"/>
      <c r="TAD483" s="299"/>
      <c r="TAE483" s="299"/>
      <c r="TAF483" s="299"/>
      <c r="TAG483" s="299"/>
      <c r="TAH483" s="299"/>
      <c r="TAI483" s="299"/>
      <c r="TAJ483" s="299"/>
      <c r="TAK483" s="299"/>
      <c r="TAL483" s="299"/>
      <c r="TAM483" s="299"/>
      <c r="TAN483" s="299"/>
      <c r="TAO483" s="299"/>
      <c r="TAP483" s="299"/>
      <c r="TAQ483" s="299"/>
      <c r="TAR483" s="299"/>
      <c r="TAS483" s="299"/>
      <c r="TAT483" s="299"/>
      <c r="TAU483" s="299"/>
      <c r="TAV483" s="299"/>
      <c r="TAW483" s="299"/>
      <c r="TAX483" s="299"/>
      <c r="TAY483" s="299"/>
      <c r="TAZ483" s="299"/>
      <c r="TBA483" s="299"/>
      <c r="TBB483" s="299"/>
      <c r="TBC483" s="299"/>
      <c r="TBD483" s="299"/>
      <c r="TBE483" s="299"/>
      <c r="TBF483" s="299"/>
      <c r="TBG483" s="299"/>
      <c r="TBH483" s="299"/>
      <c r="TBI483" s="299"/>
      <c r="TBJ483" s="299"/>
      <c r="TBK483" s="299"/>
      <c r="TBL483" s="299"/>
      <c r="TBM483" s="299"/>
      <c r="TBN483" s="299"/>
      <c r="TBO483" s="299"/>
      <c r="TBP483" s="299"/>
      <c r="TBQ483" s="299"/>
      <c r="TBR483" s="299"/>
      <c r="TBS483" s="299"/>
      <c r="TBT483" s="299"/>
      <c r="TBU483" s="299"/>
      <c r="TBV483" s="299"/>
      <c r="TBW483" s="299"/>
      <c r="TBX483" s="299"/>
      <c r="TBY483" s="299"/>
      <c r="TBZ483" s="299"/>
      <c r="TCA483" s="299"/>
      <c r="TCB483" s="299"/>
      <c r="TCC483" s="299"/>
      <c r="TCD483" s="299"/>
      <c r="TCE483" s="299"/>
      <c r="TCF483" s="299"/>
      <c r="TCG483" s="299"/>
      <c r="TCH483" s="299"/>
      <c r="TCI483" s="299"/>
      <c r="TCJ483" s="299"/>
      <c r="TCK483" s="299"/>
      <c r="TCL483" s="299"/>
      <c r="TCM483" s="299"/>
      <c r="TCN483" s="299"/>
      <c r="TCO483" s="299"/>
      <c r="TCP483" s="299"/>
      <c r="TCQ483" s="299"/>
      <c r="TCR483" s="299"/>
      <c r="TCS483" s="299"/>
      <c r="TCT483" s="299"/>
      <c r="TCU483" s="299"/>
      <c r="TCV483" s="299"/>
      <c r="TCW483" s="299"/>
      <c r="TCX483" s="299"/>
      <c r="TCY483" s="299"/>
      <c r="TCZ483" s="299"/>
      <c r="TDA483" s="299"/>
      <c r="TDB483" s="299"/>
      <c r="TDC483" s="299"/>
      <c r="TDD483" s="299"/>
      <c r="TDE483" s="299"/>
      <c r="TDF483" s="299"/>
      <c r="TDG483" s="299"/>
      <c r="TDH483" s="299"/>
      <c r="TDI483" s="299"/>
      <c r="TDJ483" s="299"/>
      <c r="TDK483" s="299"/>
      <c r="TDL483" s="299"/>
      <c r="TDM483" s="299"/>
      <c r="TDN483" s="299"/>
      <c r="TDO483" s="299"/>
      <c r="TDP483" s="299"/>
      <c r="TDQ483" s="299"/>
      <c r="TDR483" s="299"/>
      <c r="TDS483" s="299"/>
      <c r="TDT483" s="299"/>
      <c r="TDU483" s="299"/>
      <c r="TDV483" s="299"/>
      <c r="TDW483" s="299"/>
      <c r="TDX483" s="299"/>
      <c r="TDY483" s="299"/>
      <c r="TDZ483" s="299"/>
      <c r="TEA483" s="299"/>
      <c r="TEB483" s="299"/>
      <c r="TEC483" s="299"/>
      <c r="TED483" s="299"/>
      <c r="TEE483" s="299"/>
      <c r="TEF483" s="299"/>
      <c r="TEG483" s="299"/>
      <c r="TEH483" s="299"/>
      <c r="TEI483" s="299"/>
      <c r="TEJ483" s="299"/>
      <c r="TEK483" s="299"/>
      <c r="TEL483" s="299"/>
      <c r="TEM483" s="299"/>
      <c r="TEN483" s="299"/>
      <c r="TEO483" s="299"/>
      <c r="TEP483" s="299"/>
      <c r="TEQ483" s="299"/>
      <c r="TER483" s="299"/>
      <c r="TES483" s="299"/>
      <c r="TET483" s="299"/>
      <c r="TEU483" s="299"/>
      <c r="TEV483" s="299"/>
      <c r="TEW483" s="299"/>
      <c r="TEX483" s="299"/>
      <c r="TEY483" s="299"/>
      <c r="TEZ483" s="299"/>
      <c r="TFA483" s="299"/>
      <c r="TFB483" s="299"/>
      <c r="TFC483" s="299"/>
      <c r="TFD483" s="299"/>
      <c r="TFE483" s="299"/>
      <c r="TFF483" s="299"/>
      <c r="TFG483" s="299"/>
      <c r="TFH483" s="299"/>
      <c r="TFI483" s="299"/>
      <c r="TFJ483" s="299"/>
      <c r="TFK483" s="299"/>
      <c r="TFL483" s="299"/>
      <c r="TFM483" s="299"/>
      <c r="TFN483" s="299"/>
      <c r="TFO483" s="299"/>
      <c r="TFP483" s="299"/>
      <c r="TFQ483" s="299"/>
      <c r="TFR483" s="299"/>
      <c r="TFS483" s="299"/>
      <c r="TFT483" s="299"/>
      <c r="TFU483" s="299"/>
      <c r="TFV483" s="299"/>
      <c r="TFW483" s="299"/>
      <c r="TFX483" s="299"/>
      <c r="TFY483" s="299"/>
      <c r="TFZ483" s="299"/>
      <c r="TGA483" s="299"/>
      <c r="TGB483" s="299"/>
      <c r="TGC483" s="299"/>
      <c r="TGD483" s="299"/>
      <c r="TGE483" s="299"/>
      <c r="TGF483" s="299"/>
      <c r="TGG483" s="299"/>
      <c r="TGH483" s="299"/>
      <c r="TGI483" s="299"/>
      <c r="TGJ483" s="299"/>
      <c r="TGK483" s="299"/>
      <c r="TGL483" s="299"/>
      <c r="TGM483" s="299"/>
      <c r="TGN483" s="299"/>
      <c r="TGO483" s="299"/>
      <c r="TGP483" s="299"/>
      <c r="TGQ483" s="299"/>
      <c r="TGR483" s="299"/>
      <c r="TGS483" s="299"/>
      <c r="TGT483" s="299"/>
      <c r="TGU483" s="299"/>
      <c r="TGV483" s="299"/>
      <c r="TGW483" s="299"/>
      <c r="TGX483" s="299"/>
      <c r="TGY483" s="299"/>
      <c r="TGZ483" s="299"/>
      <c r="THA483" s="299"/>
      <c r="THB483" s="299"/>
      <c r="THC483" s="299"/>
      <c r="THD483" s="299"/>
      <c r="THE483" s="299"/>
      <c r="THF483" s="299"/>
      <c r="THG483" s="299"/>
      <c r="THH483" s="299"/>
      <c r="THI483" s="299"/>
      <c r="THJ483" s="299"/>
      <c r="THK483" s="299"/>
      <c r="THL483" s="299"/>
      <c r="THM483" s="299"/>
      <c r="THN483" s="299"/>
      <c r="THO483" s="299"/>
      <c r="THP483" s="299"/>
      <c r="THQ483" s="299"/>
      <c r="THR483" s="299"/>
      <c r="THS483" s="299"/>
      <c r="THT483" s="299"/>
      <c r="THU483" s="299"/>
      <c r="THV483" s="299"/>
      <c r="THW483" s="299"/>
      <c r="THX483" s="299"/>
      <c r="THY483" s="299"/>
      <c r="THZ483" s="299"/>
      <c r="TIA483" s="299"/>
      <c r="TIB483" s="299"/>
      <c r="TIC483" s="299"/>
      <c r="TID483" s="299"/>
      <c r="TIE483" s="299"/>
      <c r="TIF483" s="299"/>
      <c r="TIG483" s="299"/>
      <c r="TIH483" s="299"/>
      <c r="TII483" s="299"/>
      <c r="TIJ483" s="299"/>
      <c r="TIK483" s="299"/>
      <c r="TIL483" s="299"/>
      <c r="TIM483" s="299"/>
      <c r="TIN483" s="299"/>
      <c r="TIO483" s="299"/>
      <c r="TIP483" s="299"/>
      <c r="TIQ483" s="299"/>
      <c r="TIR483" s="299"/>
      <c r="TIS483" s="299"/>
      <c r="TIT483" s="299"/>
      <c r="TIU483" s="299"/>
      <c r="TIV483" s="299"/>
      <c r="TIW483" s="299"/>
      <c r="TIX483" s="299"/>
      <c r="TIY483" s="299"/>
      <c r="TIZ483" s="299"/>
      <c r="TJA483" s="299"/>
      <c r="TJB483" s="299"/>
      <c r="TJC483" s="299"/>
      <c r="TJD483" s="299"/>
      <c r="TJE483" s="299"/>
      <c r="TJF483" s="299"/>
      <c r="TJG483" s="299"/>
      <c r="TJH483" s="299"/>
      <c r="TJI483" s="299"/>
      <c r="TJJ483" s="299"/>
      <c r="TJK483" s="299"/>
      <c r="TJL483" s="299"/>
      <c r="TJM483" s="299"/>
      <c r="TJN483" s="299"/>
      <c r="TJO483" s="299"/>
      <c r="TJP483" s="299"/>
      <c r="TJQ483" s="299"/>
      <c r="TJR483" s="299"/>
      <c r="TJS483" s="299"/>
      <c r="TJT483" s="299"/>
      <c r="TJU483" s="299"/>
      <c r="TJV483" s="299"/>
      <c r="TJW483" s="299"/>
      <c r="TJX483" s="299"/>
      <c r="TJY483" s="299"/>
      <c r="TJZ483" s="299"/>
      <c r="TKA483" s="299"/>
      <c r="TKB483" s="299"/>
      <c r="TKC483" s="299"/>
      <c r="TKD483" s="299"/>
      <c r="TKE483" s="299"/>
      <c r="TKF483" s="299"/>
      <c r="TKG483" s="299"/>
      <c r="TKH483" s="299"/>
      <c r="TKI483" s="299"/>
      <c r="TKJ483" s="299"/>
      <c r="TKK483" s="299"/>
      <c r="TKL483" s="299"/>
      <c r="TKM483" s="299"/>
      <c r="TKN483" s="299"/>
      <c r="TKO483" s="299"/>
      <c r="TKP483" s="299"/>
      <c r="TKQ483" s="299"/>
      <c r="TKR483" s="299"/>
      <c r="TKS483" s="299"/>
      <c r="TKT483" s="299"/>
      <c r="TKU483" s="299"/>
      <c r="TKV483" s="299"/>
      <c r="TKW483" s="299"/>
      <c r="TKX483" s="299"/>
      <c r="TKY483" s="299"/>
      <c r="TKZ483" s="299"/>
      <c r="TLA483" s="299"/>
      <c r="TLB483" s="299"/>
      <c r="TLC483" s="299"/>
      <c r="TLD483" s="299"/>
      <c r="TLE483" s="299"/>
      <c r="TLF483" s="299"/>
      <c r="TLG483" s="299"/>
      <c r="TLH483" s="299"/>
      <c r="TLI483" s="299"/>
      <c r="TLJ483" s="299"/>
      <c r="TLK483" s="299"/>
      <c r="TLL483" s="299"/>
      <c r="TLM483" s="299"/>
      <c r="TLN483" s="299"/>
      <c r="TLO483" s="299"/>
      <c r="TLP483" s="299"/>
      <c r="TLQ483" s="299"/>
      <c r="TLR483" s="299"/>
      <c r="TLS483" s="299"/>
      <c r="TLT483" s="299"/>
      <c r="TLU483" s="299"/>
      <c r="TLV483" s="299"/>
      <c r="TLW483" s="299"/>
      <c r="TLX483" s="299"/>
      <c r="TLY483" s="299"/>
      <c r="TLZ483" s="299"/>
      <c r="TMA483" s="299"/>
      <c r="TMB483" s="299"/>
      <c r="TMC483" s="299"/>
      <c r="TMD483" s="299"/>
      <c r="TME483" s="299"/>
      <c r="TMF483" s="299"/>
      <c r="TMG483" s="299"/>
      <c r="TMH483" s="299"/>
      <c r="TMI483" s="299"/>
      <c r="TMJ483" s="299"/>
      <c r="TMK483" s="299"/>
      <c r="TML483" s="299"/>
      <c r="TMM483" s="299"/>
      <c r="TMN483" s="299"/>
      <c r="TMO483" s="299"/>
      <c r="TMP483" s="299"/>
      <c r="TMQ483" s="299"/>
      <c r="TMR483" s="299"/>
      <c r="TMS483" s="299"/>
      <c r="TMT483" s="299"/>
      <c r="TMU483" s="299"/>
      <c r="TMV483" s="299"/>
      <c r="TMW483" s="299"/>
      <c r="TMX483" s="299"/>
      <c r="TMY483" s="299"/>
      <c r="TMZ483" s="299"/>
      <c r="TNA483" s="299"/>
      <c r="TNB483" s="299"/>
      <c r="TNC483" s="299"/>
      <c r="TND483" s="299"/>
      <c r="TNE483" s="299"/>
      <c r="TNF483" s="299"/>
      <c r="TNG483" s="299"/>
      <c r="TNH483" s="299"/>
      <c r="TNI483" s="299"/>
      <c r="TNJ483" s="299"/>
      <c r="TNK483" s="299"/>
      <c r="TNL483" s="299"/>
      <c r="TNM483" s="299"/>
      <c r="TNN483" s="299"/>
      <c r="TNO483" s="299"/>
      <c r="TNP483" s="299"/>
      <c r="TNQ483" s="299"/>
      <c r="TNR483" s="299"/>
      <c r="TNS483" s="299"/>
      <c r="TNT483" s="299"/>
      <c r="TNU483" s="299"/>
      <c r="TNV483" s="299"/>
      <c r="TNW483" s="299"/>
      <c r="TNX483" s="299"/>
      <c r="TNY483" s="299"/>
      <c r="TNZ483" s="299"/>
      <c r="TOA483" s="299"/>
      <c r="TOB483" s="299"/>
      <c r="TOC483" s="299"/>
      <c r="TOD483" s="299"/>
      <c r="TOE483" s="299"/>
      <c r="TOF483" s="299"/>
      <c r="TOG483" s="299"/>
      <c r="TOH483" s="299"/>
      <c r="TOI483" s="299"/>
      <c r="TOJ483" s="299"/>
      <c r="TOK483" s="299"/>
      <c r="TOL483" s="299"/>
      <c r="TOM483" s="299"/>
      <c r="TON483" s="299"/>
      <c r="TOO483" s="299"/>
      <c r="TOP483" s="299"/>
      <c r="TOQ483" s="299"/>
      <c r="TOR483" s="299"/>
      <c r="TOS483" s="299"/>
      <c r="TOT483" s="299"/>
      <c r="TOU483" s="299"/>
      <c r="TOV483" s="299"/>
      <c r="TOW483" s="299"/>
      <c r="TOX483" s="299"/>
      <c r="TOY483" s="299"/>
      <c r="TOZ483" s="299"/>
      <c r="TPA483" s="299"/>
      <c r="TPB483" s="299"/>
      <c r="TPC483" s="299"/>
      <c r="TPD483" s="299"/>
      <c r="TPE483" s="299"/>
      <c r="TPF483" s="299"/>
      <c r="TPG483" s="299"/>
      <c r="TPH483" s="299"/>
      <c r="TPI483" s="299"/>
      <c r="TPJ483" s="299"/>
      <c r="TPK483" s="299"/>
      <c r="TPL483" s="299"/>
      <c r="TPM483" s="299"/>
      <c r="TPN483" s="299"/>
      <c r="TPO483" s="299"/>
      <c r="TPP483" s="299"/>
      <c r="TPQ483" s="299"/>
      <c r="TPR483" s="299"/>
      <c r="TPS483" s="299"/>
      <c r="TPT483" s="299"/>
      <c r="TPU483" s="299"/>
      <c r="TPV483" s="299"/>
      <c r="TPW483" s="299"/>
      <c r="TPX483" s="299"/>
      <c r="TPY483" s="299"/>
      <c r="TPZ483" s="299"/>
      <c r="TQA483" s="299"/>
      <c r="TQB483" s="299"/>
      <c r="TQC483" s="299"/>
      <c r="TQD483" s="299"/>
      <c r="TQE483" s="299"/>
      <c r="TQF483" s="299"/>
      <c r="TQG483" s="299"/>
      <c r="TQH483" s="299"/>
      <c r="TQI483" s="299"/>
      <c r="TQJ483" s="299"/>
      <c r="TQK483" s="299"/>
      <c r="TQL483" s="299"/>
      <c r="TQM483" s="299"/>
      <c r="TQN483" s="299"/>
      <c r="TQO483" s="299"/>
      <c r="TQP483" s="299"/>
      <c r="TQQ483" s="299"/>
      <c r="TQR483" s="299"/>
      <c r="TQS483" s="299"/>
      <c r="TQT483" s="299"/>
      <c r="TQU483" s="299"/>
      <c r="TQV483" s="299"/>
      <c r="TQW483" s="299"/>
      <c r="TQX483" s="299"/>
      <c r="TQY483" s="299"/>
      <c r="TQZ483" s="299"/>
      <c r="TRA483" s="299"/>
      <c r="TRB483" s="299"/>
      <c r="TRC483" s="299"/>
      <c r="TRD483" s="299"/>
      <c r="TRE483" s="299"/>
      <c r="TRF483" s="299"/>
      <c r="TRG483" s="299"/>
      <c r="TRH483" s="299"/>
      <c r="TRI483" s="299"/>
      <c r="TRJ483" s="299"/>
      <c r="TRK483" s="299"/>
      <c r="TRL483" s="299"/>
      <c r="TRM483" s="299"/>
      <c r="TRN483" s="299"/>
      <c r="TRO483" s="299"/>
      <c r="TRP483" s="299"/>
      <c r="TRQ483" s="299"/>
      <c r="TRR483" s="299"/>
      <c r="TRS483" s="299"/>
      <c r="TRT483" s="299"/>
      <c r="TRU483" s="299"/>
      <c r="TRV483" s="299"/>
      <c r="TRW483" s="299"/>
      <c r="TRX483" s="299"/>
      <c r="TRY483" s="299"/>
      <c r="TRZ483" s="299"/>
      <c r="TSA483" s="299"/>
      <c r="TSB483" s="299"/>
      <c r="TSC483" s="299"/>
      <c r="TSD483" s="299"/>
      <c r="TSE483" s="299"/>
      <c r="TSF483" s="299"/>
      <c r="TSG483" s="299"/>
      <c r="TSH483" s="299"/>
      <c r="TSI483" s="299"/>
      <c r="TSJ483" s="299"/>
      <c r="TSK483" s="299"/>
      <c r="TSL483" s="299"/>
      <c r="TSM483" s="299"/>
      <c r="TSN483" s="299"/>
      <c r="TSO483" s="299"/>
      <c r="TSP483" s="299"/>
      <c r="TSQ483" s="299"/>
      <c r="TSR483" s="299"/>
      <c r="TSS483" s="299"/>
      <c r="TST483" s="299"/>
      <c r="TSU483" s="299"/>
      <c r="TSV483" s="299"/>
      <c r="TSW483" s="299"/>
      <c r="TSX483" s="299"/>
      <c r="TSY483" s="299"/>
      <c r="TSZ483" s="299"/>
      <c r="TTA483" s="299"/>
      <c r="TTB483" s="299"/>
      <c r="TTC483" s="299"/>
      <c r="TTD483" s="299"/>
      <c r="TTE483" s="299"/>
      <c r="TTF483" s="299"/>
      <c r="TTG483" s="299"/>
      <c r="TTH483" s="299"/>
      <c r="TTI483" s="299"/>
      <c r="TTJ483" s="299"/>
      <c r="TTK483" s="299"/>
      <c r="TTL483" s="299"/>
      <c r="TTM483" s="299"/>
      <c r="TTN483" s="299"/>
      <c r="TTO483" s="299"/>
      <c r="TTP483" s="299"/>
      <c r="TTQ483" s="299"/>
      <c r="TTR483" s="299"/>
      <c r="TTS483" s="299"/>
      <c r="TTT483" s="299"/>
      <c r="TTU483" s="299"/>
      <c r="TTV483" s="299"/>
      <c r="TTW483" s="299"/>
      <c r="TTX483" s="299"/>
      <c r="TTY483" s="299"/>
      <c r="TTZ483" s="299"/>
      <c r="TUA483" s="299"/>
      <c r="TUB483" s="299"/>
      <c r="TUC483" s="299"/>
      <c r="TUD483" s="299"/>
      <c r="TUE483" s="299"/>
      <c r="TUF483" s="299"/>
      <c r="TUG483" s="299"/>
      <c r="TUH483" s="299"/>
      <c r="TUI483" s="299"/>
      <c r="TUJ483" s="299"/>
      <c r="TUK483" s="299"/>
      <c r="TUL483" s="299"/>
      <c r="TUM483" s="299"/>
      <c r="TUN483" s="299"/>
      <c r="TUO483" s="299"/>
      <c r="TUP483" s="299"/>
      <c r="TUQ483" s="299"/>
      <c r="TUR483" s="299"/>
      <c r="TUS483" s="299"/>
      <c r="TUT483" s="299"/>
      <c r="TUU483" s="299"/>
      <c r="TUV483" s="299"/>
      <c r="TUW483" s="299"/>
      <c r="TUX483" s="299"/>
      <c r="TUY483" s="299"/>
      <c r="TUZ483" s="299"/>
      <c r="TVA483" s="299"/>
      <c r="TVB483" s="299"/>
      <c r="TVC483" s="299"/>
      <c r="TVD483" s="299"/>
      <c r="TVE483" s="299"/>
      <c r="TVF483" s="299"/>
      <c r="TVG483" s="299"/>
      <c r="TVH483" s="299"/>
      <c r="TVI483" s="299"/>
      <c r="TVJ483" s="299"/>
      <c r="TVK483" s="299"/>
      <c r="TVL483" s="299"/>
      <c r="TVM483" s="299"/>
      <c r="TVN483" s="299"/>
      <c r="TVO483" s="299"/>
      <c r="TVP483" s="299"/>
      <c r="TVQ483" s="299"/>
      <c r="TVR483" s="299"/>
      <c r="TVS483" s="299"/>
      <c r="TVT483" s="299"/>
      <c r="TVU483" s="299"/>
      <c r="TVV483" s="299"/>
      <c r="TVW483" s="299"/>
      <c r="TVX483" s="299"/>
      <c r="TVY483" s="299"/>
      <c r="TVZ483" s="299"/>
      <c r="TWA483" s="299"/>
      <c r="TWB483" s="299"/>
      <c r="TWC483" s="299"/>
      <c r="TWD483" s="299"/>
      <c r="TWE483" s="299"/>
      <c r="TWF483" s="299"/>
      <c r="TWG483" s="299"/>
      <c r="TWH483" s="299"/>
      <c r="TWI483" s="299"/>
      <c r="TWJ483" s="299"/>
      <c r="TWK483" s="299"/>
      <c r="TWL483" s="299"/>
      <c r="TWM483" s="299"/>
      <c r="TWN483" s="299"/>
      <c r="TWO483" s="299"/>
      <c r="TWP483" s="299"/>
      <c r="TWQ483" s="299"/>
      <c r="TWR483" s="299"/>
      <c r="TWS483" s="299"/>
      <c r="TWT483" s="299"/>
      <c r="TWU483" s="299"/>
      <c r="TWV483" s="299"/>
      <c r="TWW483" s="299"/>
      <c r="TWX483" s="299"/>
      <c r="TWY483" s="299"/>
      <c r="TWZ483" s="299"/>
      <c r="TXA483" s="299"/>
      <c r="TXB483" s="299"/>
      <c r="TXC483" s="299"/>
      <c r="TXD483" s="299"/>
      <c r="TXE483" s="299"/>
      <c r="TXF483" s="299"/>
      <c r="TXG483" s="299"/>
      <c r="TXH483" s="299"/>
      <c r="TXI483" s="299"/>
      <c r="TXJ483" s="299"/>
      <c r="TXK483" s="299"/>
      <c r="TXL483" s="299"/>
      <c r="TXM483" s="299"/>
      <c r="TXN483" s="299"/>
      <c r="TXO483" s="299"/>
      <c r="TXP483" s="299"/>
      <c r="TXQ483" s="299"/>
      <c r="TXR483" s="299"/>
      <c r="TXS483" s="299"/>
      <c r="TXT483" s="299"/>
      <c r="TXU483" s="299"/>
      <c r="TXV483" s="299"/>
      <c r="TXW483" s="299"/>
      <c r="TXX483" s="299"/>
      <c r="TXY483" s="299"/>
      <c r="TXZ483" s="299"/>
      <c r="TYA483" s="299"/>
      <c r="TYB483" s="299"/>
      <c r="TYC483" s="299"/>
      <c r="TYD483" s="299"/>
      <c r="TYE483" s="299"/>
      <c r="TYF483" s="299"/>
      <c r="TYG483" s="299"/>
      <c r="TYH483" s="299"/>
      <c r="TYI483" s="299"/>
      <c r="TYJ483" s="299"/>
      <c r="TYK483" s="299"/>
      <c r="TYL483" s="299"/>
      <c r="TYM483" s="299"/>
      <c r="TYN483" s="299"/>
      <c r="TYO483" s="299"/>
      <c r="TYP483" s="299"/>
      <c r="TYQ483" s="299"/>
      <c r="TYR483" s="299"/>
      <c r="TYS483" s="299"/>
      <c r="TYT483" s="299"/>
      <c r="TYU483" s="299"/>
      <c r="TYV483" s="299"/>
      <c r="TYW483" s="299"/>
      <c r="TYX483" s="299"/>
      <c r="TYY483" s="299"/>
      <c r="TYZ483" s="299"/>
      <c r="TZA483" s="299"/>
      <c r="TZB483" s="299"/>
      <c r="TZC483" s="299"/>
      <c r="TZD483" s="299"/>
      <c r="TZE483" s="299"/>
      <c r="TZF483" s="299"/>
      <c r="TZG483" s="299"/>
      <c r="TZH483" s="299"/>
      <c r="TZI483" s="299"/>
      <c r="TZJ483" s="299"/>
      <c r="TZK483" s="299"/>
      <c r="TZL483" s="299"/>
      <c r="TZM483" s="299"/>
      <c r="TZN483" s="299"/>
      <c r="TZO483" s="299"/>
      <c r="TZP483" s="299"/>
      <c r="TZQ483" s="299"/>
      <c r="TZR483" s="299"/>
      <c r="TZS483" s="299"/>
      <c r="TZT483" s="299"/>
      <c r="TZU483" s="299"/>
      <c r="TZV483" s="299"/>
      <c r="TZW483" s="299"/>
      <c r="TZX483" s="299"/>
      <c r="TZY483" s="299"/>
      <c r="TZZ483" s="299"/>
      <c r="UAA483" s="299"/>
      <c r="UAB483" s="299"/>
      <c r="UAC483" s="299"/>
      <c r="UAD483" s="299"/>
      <c r="UAE483" s="299"/>
      <c r="UAF483" s="299"/>
      <c r="UAG483" s="299"/>
      <c r="UAH483" s="299"/>
      <c r="UAI483" s="299"/>
      <c r="UAJ483" s="299"/>
      <c r="UAK483" s="299"/>
      <c r="UAL483" s="299"/>
      <c r="UAM483" s="299"/>
      <c r="UAN483" s="299"/>
      <c r="UAO483" s="299"/>
      <c r="UAP483" s="299"/>
      <c r="UAQ483" s="299"/>
      <c r="UAR483" s="299"/>
      <c r="UAS483" s="299"/>
      <c r="UAT483" s="299"/>
      <c r="UAU483" s="299"/>
      <c r="UAV483" s="299"/>
      <c r="UAW483" s="299"/>
      <c r="UAX483" s="299"/>
      <c r="UAY483" s="299"/>
      <c r="UAZ483" s="299"/>
      <c r="UBA483" s="299"/>
      <c r="UBB483" s="299"/>
      <c r="UBC483" s="299"/>
      <c r="UBD483" s="299"/>
      <c r="UBE483" s="299"/>
      <c r="UBF483" s="299"/>
      <c r="UBG483" s="299"/>
      <c r="UBH483" s="299"/>
      <c r="UBI483" s="299"/>
      <c r="UBJ483" s="299"/>
      <c r="UBK483" s="299"/>
      <c r="UBL483" s="299"/>
      <c r="UBM483" s="299"/>
      <c r="UBN483" s="299"/>
      <c r="UBO483" s="299"/>
      <c r="UBP483" s="299"/>
      <c r="UBQ483" s="299"/>
      <c r="UBR483" s="299"/>
      <c r="UBS483" s="299"/>
      <c r="UBT483" s="299"/>
      <c r="UBU483" s="299"/>
      <c r="UBV483" s="299"/>
      <c r="UBW483" s="299"/>
      <c r="UBX483" s="299"/>
      <c r="UBY483" s="299"/>
      <c r="UBZ483" s="299"/>
      <c r="UCA483" s="299"/>
      <c r="UCB483" s="299"/>
      <c r="UCC483" s="299"/>
      <c r="UCD483" s="299"/>
      <c r="UCE483" s="299"/>
      <c r="UCF483" s="299"/>
      <c r="UCG483" s="299"/>
      <c r="UCH483" s="299"/>
      <c r="UCI483" s="299"/>
      <c r="UCJ483" s="299"/>
      <c r="UCK483" s="299"/>
      <c r="UCL483" s="299"/>
      <c r="UCM483" s="299"/>
      <c r="UCN483" s="299"/>
      <c r="UCO483" s="299"/>
      <c r="UCP483" s="299"/>
      <c r="UCQ483" s="299"/>
      <c r="UCR483" s="299"/>
      <c r="UCS483" s="299"/>
      <c r="UCT483" s="299"/>
      <c r="UCU483" s="299"/>
      <c r="UCV483" s="299"/>
      <c r="UCW483" s="299"/>
      <c r="UCX483" s="299"/>
      <c r="UCY483" s="299"/>
      <c r="UCZ483" s="299"/>
      <c r="UDA483" s="299"/>
      <c r="UDB483" s="299"/>
      <c r="UDC483" s="299"/>
      <c r="UDD483" s="299"/>
      <c r="UDE483" s="299"/>
      <c r="UDF483" s="299"/>
      <c r="UDG483" s="299"/>
      <c r="UDH483" s="299"/>
      <c r="UDI483" s="299"/>
      <c r="UDJ483" s="299"/>
      <c r="UDK483" s="299"/>
      <c r="UDL483" s="299"/>
      <c r="UDM483" s="299"/>
      <c r="UDN483" s="299"/>
      <c r="UDO483" s="299"/>
      <c r="UDP483" s="299"/>
      <c r="UDQ483" s="299"/>
      <c r="UDR483" s="299"/>
      <c r="UDS483" s="299"/>
      <c r="UDT483" s="299"/>
      <c r="UDU483" s="299"/>
      <c r="UDV483" s="299"/>
      <c r="UDW483" s="299"/>
      <c r="UDX483" s="299"/>
      <c r="UDY483" s="299"/>
      <c r="UDZ483" s="299"/>
      <c r="UEA483" s="299"/>
      <c r="UEB483" s="299"/>
      <c r="UEC483" s="299"/>
      <c r="UED483" s="299"/>
      <c r="UEE483" s="299"/>
      <c r="UEF483" s="299"/>
      <c r="UEG483" s="299"/>
      <c r="UEH483" s="299"/>
      <c r="UEI483" s="299"/>
      <c r="UEJ483" s="299"/>
      <c r="UEK483" s="299"/>
      <c r="UEL483" s="299"/>
      <c r="UEM483" s="299"/>
      <c r="UEN483" s="299"/>
      <c r="UEO483" s="299"/>
      <c r="UEP483" s="299"/>
      <c r="UEQ483" s="299"/>
      <c r="UER483" s="299"/>
      <c r="UES483" s="299"/>
      <c r="UET483" s="299"/>
      <c r="UEU483" s="299"/>
      <c r="UEV483" s="299"/>
      <c r="UEW483" s="299"/>
      <c r="UEX483" s="299"/>
      <c r="UEY483" s="299"/>
      <c r="UEZ483" s="299"/>
      <c r="UFA483" s="299"/>
      <c r="UFB483" s="299"/>
      <c r="UFC483" s="299"/>
      <c r="UFD483" s="299"/>
      <c r="UFE483" s="299"/>
      <c r="UFF483" s="299"/>
      <c r="UFG483" s="299"/>
      <c r="UFH483" s="299"/>
      <c r="UFI483" s="299"/>
      <c r="UFJ483" s="299"/>
      <c r="UFK483" s="299"/>
      <c r="UFL483" s="299"/>
      <c r="UFM483" s="299"/>
      <c r="UFN483" s="299"/>
      <c r="UFO483" s="299"/>
      <c r="UFP483" s="299"/>
      <c r="UFQ483" s="299"/>
      <c r="UFR483" s="299"/>
      <c r="UFS483" s="299"/>
      <c r="UFT483" s="299"/>
      <c r="UFU483" s="299"/>
      <c r="UFV483" s="299"/>
      <c r="UFW483" s="299"/>
      <c r="UFX483" s="299"/>
      <c r="UFY483" s="299"/>
      <c r="UFZ483" s="299"/>
      <c r="UGA483" s="299"/>
      <c r="UGB483" s="299"/>
      <c r="UGC483" s="299"/>
      <c r="UGD483" s="299"/>
      <c r="UGE483" s="299"/>
      <c r="UGF483" s="299"/>
      <c r="UGG483" s="299"/>
      <c r="UGH483" s="299"/>
      <c r="UGI483" s="299"/>
      <c r="UGJ483" s="299"/>
      <c r="UGK483" s="299"/>
      <c r="UGL483" s="299"/>
      <c r="UGM483" s="299"/>
      <c r="UGN483" s="299"/>
      <c r="UGO483" s="299"/>
      <c r="UGP483" s="299"/>
      <c r="UGQ483" s="299"/>
      <c r="UGR483" s="299"/>
      <c r="UGS483" s="299"/>
      <c r="UGT483" s="299"/>
      <c r="UGU483" s="299"/>
      <c r="UGV483" s="299"/>
      <c r="UGW483" s="299"/>
      <c r="UGX483" s="299"/>
      <c r="UGY483" s="299"/>
      <c r="UGZ483" s="299"/>
      <c r="UHA483" s="299"/>
      <c r="UHB483" s="299"/>
      <c r="UHC483" s="299"/>
      <c r="UHD483" s="299"/>
      <c r="UHE483" s="299"/>
      <c r="UHF483" s="299"/>
      <c r="UHG483" s="299"/>
      <c r="UHH483" s="299"/>
      <c r="UHI483" s="299"/>
      <c r="UHJ483" s="299"/>
      <c r="UHK483" s="299"/>
      <c r="UHL483" s="299"/>
      <c r="UHM483" s="299"/>
      <c r="UHN483" s="299"/>
      <c r="UHO483" s="299"/>
      <c r="UHP483" s="299"/>
      <c r="UHQ483" s="299"/>
      <c r="UHR483" s="299"/>
      <c r="UHS483" s="299"/>
      <c r="UHT483" s="299"/>
      <c r="UHU483" s="299"/>
      <c r="UHV483" s="299"/>
      <c r="UHW483" s="299"/>
      <c r="UHX483" s="299"/>
      <c r="UHY483" s="299"/>
      <c r="UHZ483" s="299"/>
      <c r="UIA483" s="299"/>
      <c r="UIB483" s="299"/>
      <c r="UIC483" s="299"/>
      <c r="UID483" s="299"/>
      <c r="UIE483" s="299"/>
      <c r="UIF483" s="299"/>
      <c r="UIG483" s="299"/>
      <c r="UIH483" s="299"/>
      <c r="UII483" s="299"/>
      <c r="UIJ483" s="299"/>
      <c r="UIK483" s="299"/>
      <c r="UIL483" s="299"/>
      <c r="UIM483" s="299"/>
      <c r="UIN483" s="299"/>
      <c r="UIO483" s="299"/>
      <c r="UIP483" s="299"/>
      <c r="UIQ483" s="299"/>
      <c r="UIR483" s="299"/>
      <c r="UIS483" s="299"/>
      <c r="UIT483" s="299"/>
      <c r="UIU483" s="299"/>
      <c r="UIV483" s="299"/>
      <c r="UIW483" s="299"/>
      <c r="UIX483" s="299"/>
      <c r="UIY483" s="299"/>
      <c r="UIZ483" s="299"/>
      <c r="UJA483" s="299"/>
      <c r="UJB483" s="299"/>
      <c r="UJC483" s="299"/>
      <c r="UJD483" s="299"/>
      <c r="UJE483" s="299"/>
      <c r="UJF483" s="299"/>
      <c r="UJG483" s="299"/>
      <c r="UJH483" s="299"/>
      <c r="UJI483" s="299"/>
      <c r="UJJ483" s="299"/>
      <c r="UJK483" s="299"/>
      <c r="UJL483" s="299"/>
      <c r="UJM483" s="299"/>
      <c r="UJN483" s="299"/>
      <c r="UJO483" s="299"/>
      <c r="UJP483" s="299"/>
      <c r="UJQ483" s="299"/>
      <c r="UJR483" s="299"/>
      <c r="UJS483" s="299"/>
      <c r="UJT483" s="299"/>
      <c r="UJU483" s="299"/>
      <c r="UJV483" s="299"/>
      <c r="UJW483" s="299"/>
      <c r="UJX483" s="299"/>
      <c r="UJY483" s="299"/>
      <c r="UJZ483" s="299"/>
      <c r="UKA483" s="299"/>
      <c r="UKB483" s="299"/>
      <c r="UKC483" s="299"/>
      <c r="UKD483" s="299"/>
      <c r="UKE483" s="299"/>
      <c r="UKF483" s="299"/>
      <c r="UKG483" s="299"/>
      <c r="UKH483" s="299"/>
      <c r="UKI483" s="299"/>
      <c r="UKJ483" s="299"/>
      <c r="UKK483" s="299"/>
      <c r="UKL483" s="299"/>
      <c r="UKM483" s="299"/>
      <c r="UKN483" s="299"/>
      <c r="UKO483" s="299"/>
      <c r="UKP483" s="299"/>
      <c r="UKQ483" s="299"/>
      <c r="UKR483" s="299"/>
      <c r="UKS483" s="299"/>
      <c r="UKT483" s="299"/>
      <c r="UKU483" s="299"/>
      <c r="UKV483" s="299"/>
      <c r="UKW483" s="299"/>
      <c r="UKX483" s="299"/>
      <c r="UKY483" s="299"/>
      <c r="UKZ483" s="299"/>
      <c r="ULA483" s="299"/>
      <c r="ULB483" s="299"/>
      <c r="ULC483" s="299"/>
      <c r="ULD483" s="299"/>
      <c r="ULE483" s="299"/>
      <c r="ULF483" s="299"/>
      <c r="ULG483" s="299"/>
      <c r="ULH483" s="299"/>
      <c r="ULI483" s="299"/>
      <c r="ULJ483" s="299"/>
      <c r="ULK483" s="299"/>
      <c r="ULL483" s="299"/>
      <c r="ULM483" s="299"/>
      <c r="ULN483" s="299"/>
      <c r="ULO483" s="299"/>
      <c r="ULP483" s="299"/>
      <c r="ULQ483" s="299"/>
      <c r="ULR483" s="299"/>
      <c r="ULS483" s="299"/>
      <c r="ULT483" s="299"/>
      <c r="ULU483" s="299"/>
      <c r="ULV483" s="299"/>
      <c r="ULW483" s="299"/>
      <c r="ULX483" s="299"/>
      <c r="ULY483" s="299"/>
      <c r="ULZ483" s="299"/>
      <c r="UMA483" s="299"/>
      <c r="UMB483" s="299"/>
      <c r="UMC483" s="299"/>
      <c r="UMD483" s="299"/>
      <c r="UME483" s="299"/>
      <c r="UMF483" s="299"/>
      <c r="UMG483" s="299"/>
      <c r="UMH483" s="299"/>
      <c r="UMI483" s="299"/>
      <c r="UMJ483" s="299"/>
      <c r="UMK483" s="299"/>
      <c r="UML483" s="299"/>
      <c r="UMM483" s="299"/>
      <c r="UMN483" s="299"/>
      <c r="UMO483" s="299"/>
      <c r="UMP483" s="299"/>
      <c r="UMQ483" s="299"/>
      <c r="UMR483" s="299"/>
      <c r="UMS483" s="299"/>
      <c r="UMT483" s="299"/>
      <c r="UMU483" s="299"/>
      <c r="UMV483" s="299"/>
      <c r="UMW483" s="299"/>
      <c r="UMX483" s="299"/>
      <c r="UMY483" s="299"/>
      <c r="UMZ483" s="299"/>
      <c r="UNA483" s="299"/>
      <c r="UNB483" s="299"/>
      <c r="UNC483" s="299"/>
      <c r="UND483" s="299"/>
      <c r="UNE483" s="299"/>
      <c r="UNF483" s="299"/>
      <c r="UNG483" s="299"/>
      <c r="UNH483" s="299"/>
      <c r="UNI483" s="299"/>
      <c r="UNJ483" s="299"/>
      <c r="UNK483" s="299"/>
      <c r="UNL483" s="299"/>
      <c r="UNM483" s="299"/>
      <c r="UNN483" s="299"/>
      <c r="UNO483" s="299"/>
      <c r="UNP483" s="299"/>
      <c r="UNQ483" s="299"/>
      <c r="UNR483" s="299"/>
      <c r="UNS483" s="299"/>
      <c r="UNT483" s="299"/>
      <c r="UNU483" s="299"/>
      <c r="UNV483" s="299"/>
      <c r="UNW483" s="299"/>
      <c r="UNX483" s="299"/>
      <c r="UNY483" s="299"/>
      <c r="UNZ483" s="299"/>
      <c r="UOA483" s="299"/>
      <c r="UOB483" s="299"/>
      <c r="UOC483" s="299"/>
      <c r="UOD483" s="299"/>
      <c r="UOE483" s="299"/>
      <c r="UOF483" s="299"/>
      <c r="UOG483" s="299"/>
      <c r="UOH483" s="299"/>
      <c r="UOI483" s="299"/>
      <c r="UOJ483" s="299"/>
      <c r="UOK483" s="299"/>
      <c r="UOL483" s="299"/>
      <c r="UOM483" s="299"/>
      <c r="UON483" s="299"/>
      <c r="UOO483" s="299"/>
      <c r="UOP483" s="299"/>
      <c r="UOQ483" s="299"/>
      <c r="UOR483" s="299"/>
      <c r="UOS483" s="299"/>
      <c r="UOT483" s="299"/>
      <c r="UOU483" s="299"/>
      <c r="UOV483" s="299"/>
      <c r="UOW483" s="299"/>
      <c r="UOX483" s="299"/>
      <c r="UOY483" s="299"/>
      <c r="UOZ483" s="299"/>
      <c r="UPA483" s="299"/>
      <c r="UPB483" s="299"/>
      <c r="UPC483" s="299"/>
      <c r="UPD483" s="299"/>
      <c r="UPE483" s="299"/>
      <c r="UPF483" s="299"/>
      <c r="UPG483" s="299"/>
      <c r="UPH483" s="299"/>
      <c r="UPI483" s="299"/>
      <c r="UPJ483" s="299"/>
      <c r="UPK483" s="299"/>
      <c r="UPL483" s="299"/>
      <c r="UPM483" s="299"/>
      <c r="UPN483" s="299"/>
      <c r="UPO483" s="299"/>
      <c r="UPP483" s="299"/>
      <c r="UPQ483" s="299"/>
      <c r="UPR483" s="299"/>
      <c r="UPS483" s="299"/>
      <c r="UPT483" s="299"/>
      <c r="UPU483" s="299"/>
      <c r="UPV483" s="299"/>
      <c r="UPW483" s="299"/>
      <c r="UPX483" s="299"/>
      <c r="UPY483" s="299"/>
      <c r="UPZ483" s="299"/>
      <c r="UQA483" s="299"/>
      <c r="UQB483" s="299"/>
      <c r="UQC483" s="299"/>
      <c r="UQD483" s="299"/>
      <c r="UQE483" s="299"/>
      <c r="UQF483" s="299"/>
      <c r="UQG483" s="299"/>
      <c r="UQH483" s="299"/>
      <c r="UQI483" s="299"/>
      <c r="UQJ483" s="299"/>
      <c r="UQK483" s="299"/>
      <c r="UQL483" s="299"/>
      <c r="UQM483" s="299"/>
      <c r="UQN483" s="299"/>
      <c r="UQO483" s="299"/>
      <c r="UQP483" s="299"/>
      <c r="UQQ483" s="299"/>
      <c r="UQR483" s="299"/>
      <c r="UQS483" s="299"/>
      <c r="UQT483" s="299"/>
      <c r="UQU483" s="299"/>
      <c r="UQV483" s="299"/>
      <c r="UQW483" s="299"/>
      <c r="UQX483" s="299"/>
      <c r="UQY483" s="299"/>
      <c r="UQZ483" s="299"/>
      <c r="URA483" s="299"/>
      <c r="URB483" s="299"/>
      <c r="URC483" s="299"/>
      <c r="URD483" s="299"/>
      <c r="URE483" s="299"/>
      <c r="URF483" s="299"/>
      <c r="URG483" s="299"/>
      <c r="URH483" s="299"/>
      <c r="URI483" s="299"/>
      <c r="URJ483" s="299"/>
      <c r="URK483" s="299"/>
      <c r="URL483" s="299"/>
      <c r="URM483" s="299"/>
      <c r="URN483" s="299"/>
      <c r="URO483" s="299"/>
      <c r="URP483" s="299"/>
      <c r="URQ483" s="299"/>
      <c r="URR483" s="299"/>
      <c r="URS483" s="299"/>
      <c r="URT483" s="299"/>
      <c r="URU483" s="299"/>
      <c r="URV483" s="299"/>
      <c r="URW483" s="299"/>
      <c r="URX483" s="299"/>
      <c r="URY483" s="299"/>
      <c r="URZ483" s="299"/>
      <c r="USA483" s="299"/>
      <c r="USB483" s="299"/>
      <c r="USC483" s="299"/>
      <c r="USD483" s="299"/>
      <c r="USE483" s="299"/>
      <c r="USF483" s="299"/>
      <c r="USG483" s="299"/>
      <c r="USH483" s="299"/>
      <c r="USI483" s="299"/>
      <c r="USJ483" s="299"/>
      <c r="USK483" s="299"/>
      <c r="USL483" s="299"/>
      <c r="USM483" s="299"/>
      <c r="USN483" s="299"/>
      <c r="USO483" s="299"/>
      <c r="USP483" s="299"/>
      <c r="USQ483" s="299"/>
      <c r="USR483" s="299"/>
      <c r="USS483" s="299"/>
      <c r="UST483" s="299"/>
      <c r="USU483" s="299"/>
      <c r="USV483" s="299"/>
      <c r="USW483" s="299"/>
      <c r="USX483" s="299"/>
      <c r="USY483" s="299"/>
      <c r="USZ483" s="299"/>
      <c r="UTA483" s="299"/>
      <c r="UTB483" s="299"/>
      <c r="UTC483" s="299"/>
      <c r="UTD483" s="299"/>
      <c r="UTE483" s="299"/>
      <c r="UTF483" s="299"/>
      <c r="UTG483" s="299"/>
      <c r="UTH483" s="299"/>
      <c r="UTI483" s="299"/>
      <c r="UTJ483" s="299"/>
      <c r="UTK483" s="299"/>
      <c r="UTL483" s="299"/>
      <c r="UTM483" s="299"/>
      <c r="UTN483" s="299"/>
      <c r="UTO483" s="299"/>
      <c r="UTP483" s="299"/>
      <c r="UTQ483" s="299"/>
      <c r="UTR483" s="299"/>
      <c r="UTS483" s="299"/>
      <c r="UTT483" s="299"/>
      <c r="UTU483" s="299"/>
      <c r="UTV483" s="299"/>
      <c r="UTW483" s="299"/>
      <c r="UTX483" s="299"/>
      <c r="UTY483" s="299"/>
      <c r="UTZ483" s="299"/>
      <c r="UUA483" s="299"/>
      <c r="UUB483" s="299"/>
      <c r="UUC483" s="299"/>
      <c r="UUD483" s="299"/>
      <c r="UUE483" s="299"/>
      <c r="UUF483" s="299"/>
      <c r="UUG483" s="299"/>
      <c r="UUH483" s="299"/>
      <c r="UUI483" s="299"/>
      <c r="UUJ483" s="299"/>
      <c r="UUK483" s="299"/>
      <c r="UUL483" s="299"/>
      <c r="UUM483" s="299"/>
      <c r="UUN483" s="299"/>
      <c r="UUO483" s="299"/>
      <c r="UUP483" s="299"/>
      <c r="UUQ483" s="299"/>
      <c r="UUR483" s="299"/>
      <c r="UUS483" s="299"/>
      <c r="UUT483" s="299"/>
      <c r="UUU483" s="299"/>
      <c r="UUV483" s="299"/>
      <c r="UUW483" s="299"/>
      <c r="UUX483" s="299"/>
      <c r="UUY483" s="299"/>
      <c r="UUZ483" s="299"/>
      <c r="UVA483" s="299"/>
      <c r="UVB483" s="299"/>
      <c r="UVC483" s="299"/>
      <c r="UVD483" s="299"/>
      <c r="UVE483" s="299"/>
      <c r="UVF483" s="299"/>
      <c r="UVG483" s="299"/>
      <c r="UVH483" s="299"/>
      <c r="UVI483" s="299"/>
      <c r="UVJ483" s="299"/>
      <c r="UVK483" s="299"/>
      <c r="UVL483" s="299"/>
      <c r="UVM483" s="299"/>
      <c r="UVN483" s="299"/>
      <c r="UVO483" s="299"/>
      <c r="UVP483" s="299"/>
      <c r="UVQ483" s="299"/>
      <c r="UVR483" s="299"/>
      <c r="UVS483" s="299"/>
      <c r="UVT483" s="299"/>
      <c r="UVU483" s="299"/>
      <c r="UVV483" s="299"/>
      <c r="UVW483" s="299"/>
      <c r="UVX483" s="299"/>
      <c r="UVY483" s="299"/>
      <c r="UVZ483" s="299"/>
      <c r="UWA483" s="299"/>
      <c r="UWB483" s="299"/>
      <c r="UWC483" s="299"/>
      <c r="UWD483" s="299"/>
      <c r="UWE483" s="299"/>
      <c r="UWF483" s="299"/>
      <c r="UWG483" s="299"/>
      <c r="UWH483" s="299"/>
      <c r="UWI483" s="299"/>
      <c r="UWJ483" s="299"/>
      <c r="UWK483" s="299"/>
      <c r="UWL483" s="299"/>
      <c r="UWM483" s="299"/>
      <c r="UWN483" s="299"/>
      <c r="UWO483" s="299"/>
      <c r="UWP483" s="299"/>
      <c r="UWQ483" s="299"/>
      <c r="UWR483" s="299"/>
      <c r="UWS483" s="299"/>
      <c r="UWT483" s="299"/>
      <c r="UWU483" s="299"/>
      <c r="UWV483" s="299"/>
      <c r="UWW483" s="299"/>
      <c r="UWX483" s="299"/>
      <c r="UWY483" s="299"/>
      <c r="UWZ483" s="299"/>
      <c r="UXA483" s="299"/>
      <c r="UXB483" s="299"/>
      <c r="UXC483" s="299"/>
      <c r="UXD483" s="299"/>
      <c r="UXE483" s="299"/>
      <c r="UXF483" s="299"/>
      <c r="UXG483" s="299"/>
      <c r="UXH483" s="299"/>
      <c r="UXI483" s="299"/>
      <c r="UXJ483" s="299"/>
      <c r="UXK483" s="299"/>
      <c r="UXL483" s="299"/>
      <c r="UXM483" s="299"/>
      <c r="UXN483" s="299"/>
      <c r="UXO483" s="299"/>
      <c r="UXP483" s="299"/>
      <c r="UXQ483" s="299"/>
      <c r="UXR483" s="299"/>
      <c r="UXS483" s="299"/>
      <c r="UXT483" s="299"/>
      <c r="UXU483" s="299"/>
      <c r="UXV483" s="299"/>
      <c r="UXW483" s="299"/>
      <c r="UXX483" s="299"/>
      <c r="UXY483" s="299"/>
      <c r="UXZ483" s="299"/>
      <c r="UYA483" s="299"/>
      <c r="UYB483" s="299"/>
      <c r="UYC483" s="299"/>
      <c r="UYD483" s="299"/>
      <c r="UYE483" s="299"/>
      <c r="UYF483" s="299"/>
      <c r="UYG483" s="299"/>
      <c r="UYH483" s="299"/>
      <c r="UYI483" s="299"/>
      <c r="UYJ483" s="299"/>
      <c r="UYK483" s="299"/>
      <c r="UYL483" s="299"/>
      <c r="UYM483" s="299"/>
      <c r="UYN483" s="299"/>
      <c r="UYO483" s="299"/>
      <c r="UYP483" s="299"/>
      <c r="UYQ483" s="299"/>
      <c r="UYR483" s="299"/>
      <c r="UYS483" s="299"/>
      <c r="UYT483" s="299"/>
      <c r="UYU483" s="299"/>
      <c r="UYV483" s="299"/>
      <c r="UYW483" s="299"/>
      <c r="UYX483" s="299"/>
      <c r="UYY483" s="299"/>
      <c r="UYZ483" s="299"/>
      <c r="UZA483" s="299"/>
      <c r="UZB483" s="299"/>
      <c r="UZC483" s="299"/>
      <c r="UZD483" s="299"/>
      <c r="UZE483" s="299"/>
      <c r="UZF483" s="299"/>
      <c r="UZG483" s="299"/>
      <c r="UZH483" s="299"/>
      <c r="UZI483" s="299"/>
      <c r="UZJ483" s="299"/>
      <c r="UZK483" s="299"/>
      <c r="UZL483" s="299"/>
      <c r="UZM483" s="299"/>
      <c r="UZN483" s="299"/>
      <c r="UZO483" s="299"/>
      <c r="UZP483" s="299"/>
      <c r="UZQ483" s="299"/>
      <c r="UZR483" s="299"/>
      <c r="UZS483" s="299"/>
      <c r="UZT483" s="299"/>
      <c r="UZU483" s="299"/>
      <c r="UZV483" s="299"/>
      <c r="UZW483" s="299"/>
      <c r="UZX483" s="299"/>
      <c r="UZY483" s="299"/>
      <c r="UZZ483" s="299"/>
      <c r="VAA483" s="299"/>
      <c r="VAB483" s="299"/>
      <c r="VAC483" s="299"/>
      <c r="VAD483" s="299"/>
      <c r="VAE483" s="299"/>
      <c r="VAF483" s="299"/>
      <c r="VAG483" s="299"/>
      <c r="VAH483" s="299"/>
      <c r="VAI483" s="299"/>
      <c r="VAJ483" s="299"/>
      <c r="VAK483" s="299"/>
      <c r="VAL483" s="299"/>
      <c r="VAM483" s="299"/>
      <c r="VAN483" s="299"/>
      <c r="VAO483" s="299"/>
      <c r="VAP483" s="299"/>
      <c r="VAQ483" s="299"/>
      <c r="VAR483" s="299"/>
      <c r="VAS483" s="299"/>
      <c r="VAT483" s="299"/>
      <c r="VAU483" s="299"/>
      <c r="VAV483" s="299"/>
      <c r="VAW483" s="299"/>
      <c r="VAX483" s="299"/>
      <c r="VAY483" s="299"/>
      <c r="VAZ483" s="299"/>
      <c r="VBA483" s="299"/>
      <c r="VBB483" s="299"/>
      <c r="VBC483" s="299"/>
      <c r="VBD483" s="299"/>
      <c r="VBE483" s="299"/>
      <c r="VBF483" s="299"/>
      <c r="VBG483" s="299"/>
      <c r="VBH483" s="299"/>
      <c r="VBI483" s="299"/>
      <c r="VBJ483" s="299"/>
      <c r="VBK483" s="299"/>
      <c r="VBL483" s="299"/>
      <c r="VBM483" s="299"/>
      <c r="VBN483" s="299"/>
      <c r="VBO483" s="299"/>
      <c r="VBP483" s="299"/>
      <c r="VBQ483" s="299"/>
      <c r="VBR483" s="299"/>
      <c r="VBS483" s="299"/>
      <c r="VBT483" s="299"/>
      <c r="VBU483" s="299"/>
      <c r="VBV483" s="299"/>
      <c r="VBW483" s="299"/>
      <c r="VBX483" s="299"/>
      <c r="VBY483" s="299"/>
      <c r="VBZ483" s="299"/>
      <c r="VCA483" s="299"/>
      <c r="VCB483" s="299"/>
      <c r="VCC483" s="299"/>
      <c r="VCD483" s="299"/>
      <c r="VCE483" s="299"/>
      <c r="VCF483" s="299"/>
      <c r="VCG483" s="299"/>
      <c r="VCH483" s="299"/>
      <c r="VCI483" s="299"/>
      <c r="VCJ483" s="299"/>
      <c r="VCK483" s="299"/>
      <c r="VCL483" s="299"/>
      <c r="VCM483" s="299"/>
      <c r="VCN483" s="299"/>
      <c r="VCO483" s="299"/>
      <c r="VCP483" s="299"/>
      <c r="VCQ483" s="299"/>
      <c r="VCR483" s="299"/>
      <c r="VCS483" s="299"/>
      <c r="VCT483" s="299"/>
      <c r="VCU483" s="299"/>
      <c r="VCV483" s="299"/>
      <c r="VCW483" s="299"/>
      <c r="VCX483" s="299"/>
      <c r="VCY483" s="299"/>
      <c r="VCZ483" s="299"/>
      <c r="VDA483" s="299"/>
      <c r="VDB483" s="299"/>
      <c r="VDC483" s="299"/>
      <c r="VDD483" s="299"/>
      <c r="VDE483" s="299"/>
      <c r="VDF483" s="299"/>
      <c r="VDG483" s="299"/>
      <c r="VDH483" s="299"/>
      <c r="VDI483" s="299"/>
      <c r="VDJ483" s="299"/>
      <c r="VDK483" s="299"/>
      <c r="VDL483" s="299"/>
      <c r="VDM483" s="299"/>
      <c r="VDN483" s="299"/>
      <c r="VDO483" s="299"/>
      <c r="VDP483" s="299"/>
      <c r="VDQ483" s="299"/>
      <c r="VDR483" s="299"/>
      <c r="VDS483" s="299"/>
      <c r="VDT483" s="299"/>
      <c r="VDU483" s="299"/>
      <c r="VDV483" s="299"/>
      <c r="VDW483" s="299"/>
      <c r="VDX483" s="299"/>
      <c r="VDY483" s="299"/>
      <c r="VDZ483" s="299"/>
      <c r="VEA483" s="299"/>
      <c r="VEB483" s="299"/>
      <c r="VEC483" s="299"/>
      <c r="VED483" s="299"/>
      <c r="VEE483" s="299"/>
      <c r="VEF483" s="299"/>
      <c r="VEG483" s="299"/>
      <c r="VEH483" s="299"/>
      <c r="VEI483" s="299"/>
      <c r="VEJ483" s="299"/>
      <c r="VEK483" s="299"/>
      <c r="VEL483" s="299"/>
      <c r="VEM483" s="299"/>
      <c r="VEN483" s="299"/>
      <c r="VEO483" s="299"/>
      <c r="VEP483" s="299"/>
      <c r="VEQ483" s="299"/>
      <c r="VER483" s="299"/>
      <c r="VES483" s="299"/>
      <c r="VET483" s="299"/>
      <c r="VEU483" s="299"/>
      <c r="VEV483" s="299"/>
      <c r="VEW483" s="299"/>
      <c r="VEX483" s="299"/>
      <c r="VEY483" s="299"/>
      <c r="VEZ483" s="299"/>
      <c r="VFA483" s="299"/>
      <c r="VFB483" s="299"/>
      <c r="VFC483" s="299"/>
      <c r="VFD483" s="299"/>
      <c r="VFE483" s="299"/>
      <c r="VFF483" s="299"/>
      <c r="VFG483" s="299"/>
      <c r="VFH483" s="299"/>
      <c r="VFI483" s="299"/>
      <c r="VFJ483" s="299"/>
      <c r="VFK483" s="299"/>
      <c r="VFL483" s="299"/>
      <c r="VFM483" s="299"/>
      <c r="VFN483" s="299"/>
      <c r="VFO483" s="299"/>
      <c r="VFP483" s="299"/>
      <c r="VFQ483" s="299"/>
      <c r="VFR483" s="299"/>
      <c r="VFS483" s="299"/>
      <c r="VFT483" s="299"/>
      <c r="VFU483" s="299"/>
      <c r="VFV483" s="299"/>
      <c r="VFW483" s="299"/>
      <c r="VFX483" s="299"/>
      <c r="VFY483" s="299"/>
      <c r="VFZ483" s="299"/>
      <c r="VGA483" s="299"/>
      <c r="VGB483" s="299"/>
      <c r="VGC483" s="299"/>
      <c r="VGD483" s="299"/>
      <c r="VGE483" s="299"/>
      <c r="VGF483" s="299"/>
      <c r="VGG483" s="299"/>
      <c r="VGH483" s="299"/>
      <c r="VGI483" s="299"/>
      <c r="VGJ483" s="299"/>
      <c r="VGK483" s="299"/>
      <c r="VGL483" s="299"/>
      <c r="VGM483" s="299"/>
      <c r="VGN483" s="299"/>
      <c r="VGO483" s="299"/>
      <c r="VGP483" s="299"/>
      <c r="VGQ483" s="299"/>
      <c r="VGR483" s="299"/>
      <c r="VGS483" s="299"/>
      <c r="VGT483" s="299"/>
      <c r="VGU483" s="299"/>
      <c r="VGV483" s="299"/>
      <c r="VGW483" s="299"/>
      <c r="VGX483" s="299"/>
      <c r="VGY483" s="299"/>
      <c r="VGZ483" s="299"/>
      <c r="VHA483" s="299"/>
      <c r="VHB483" s="299"/>
      <c r="VHC483" s="299"/>
      <c r="VHD483" s="299"/>
      <c r="VHE483" s="299"/>
      <c r="VHF483" s="299"/>
      <c r="VHG483" s="299"/>
      <c r="VHH483" s="299"/>
      <c r="VHI483" s="299"/>
      <c r="VHJ483" s="299"/>
      <c r="VHK483" s="299"/>
      <c r="VHL483" s="299"/>
      <c r="VHM483" s="299"/>
      <c r="VHN483" s="299"/>
      <c r="VHO483" s="299"/>
      <c r="VHP483" s="299"/>
      <c r="VHQ483" s="299"/>
      <c r="VHR483" s="299"/>
      <c r="VHS483" s="299"/>
      <c r="VHT483" s="299"/>
      <c r="VHU483" s="299"/>
      <c r="VHV483" s="299"/>
      <c r="VHW483" s="299"/>
      <c r="VHX483" s="299"/>
      <c r="VHY483" s="299"/>
      <c r="VHZ483" s="299"/>
      <c r="VIA483" s="299"/>
      <c r="VIB483" s="299"/>
      <c r="VIC483" s="299"/>
      <c r="VID483" s="299"/>
      <c r="VIE483" s="299"/>
      <c r="VIF483" s="299"/>
      <c r="VIG483" s="299"/>
      <c r="VIH483" s="299"/>
      <c r="VII483" s="299"/>
      <c r="VIJ483" s="299"/>
      <c r="VIK483" s="299"/>
      <c r="VIL483" s="299"/>
      <c r="VIM483" s="299"/>
      <c r="VIN483" s="299"/>
      <c r="VIO483" s="299"/>
      <c r="VIP483" s="299"/>
      <c r="VIQ483" s="299"/>
      <c r="VIR483" s="299"/>
      <c r="VIS483" s="299"/>
      <c r="VIT483" s="299"/>
      <c r="VIU483" s="299"/>
      <c r="VIV483" s="299"/>
      <c r="VIW483" s="299"/>
      <c r="VIX483" s="299"/>
      <c r="VIY483" s="299"/>
      <c r="VIZ483" s="299"/>
      <c r="VJA483" s="299"/>
      <c r="VJB483" s="299"/>
      <c r="VJC483" s="299"/>
      <c r="VJD483" s="299"/>
      <c r="VJE483" s="299"/>
      <c r="VJF483" s="299"/>
      <c r="VJG483" s="299"/>
      <c r="VJH483" s="299"/>
      <c r="VJI483" s="299"/>
      <c r="VJJ483" s="299"/>
      <c r="VJK483" s="299"/>
      <c r="VJL483" s="299"/>
      <c r="VJM483" s="299"/>
      <c r="VJN483" s="299"/>
      <c r="VJO483" s="299"/>
      <c r="VJP483" s="299"/>
      <c r="VJQ483" s="299"/>
      <c r="VJR483" s="299"/>
      <c r="VJS483" s="299"/>
      <c r="VJT483" s="299"/>
      <c r="VJU483" s="299"/>
      <c r="VJV483" s="299"/>
      <c r="VJW483" s="299"/>
      <c r="VJX483" s="299"/>
      <c r="VJY483" s="299"/>
      <c r="VJZ483" s="299"/>
      <c r="VKA483" s="299"/>
      <c r="VKB483" s="299"/>
      <c r="VKC483" s="299"/>
      <c r="VKD483" s="299"/>
      <c r="VKE483" s="299"/>
      <c r="VKF483" s="299"/>
      <c r="VKG483" s="299"/>
      <c r="VKH483" s="299"/>
      <c r="VKI483" s="299"/>
      <c r="VKJ483" s="299"/>
      <c r="VKK483" s="299"/>
      <c r="VKL483" s="299"/>
      <c r="VKM483" s="299"/>
      <c r="VKN483" s="299"/>
      <c r="VKO483" s="299"/>
      <c r="VKP483" s="299"/>
      <c r="VKQ483" s="299"/>
      <c r="VKR483" s="299"/>
      <c r="VKS483" s="299"/>
      <c r="VKT483" s="299"/>
      <c r="VKU483" s="299"/>
      <c r="VKV483" s="299"/>
      <c r="VKW483" s="299"/>
      <c r="VKX483" s="299"/>
      <c r="VKY483" s="299"/>
      <c r="VKZ483" s="299"/>
      <c r="VLA483" s="299"/>
      <c r="VLB483" s="299"/>
      <c r="VLC483" s="299"/>
      <c r="VLD483" s="299"/>
      <c r="VLE483" s="299"/>
      <c r="VLF483" s="299"/>
      <c r="VLG483" s="299"/>
      <c r="VLH483" s="299"/>
      <c r="VLI483" s="299"/>
      <c r="VLJ483" s="299"/>
      <c r="VLK483" s="299"/>
      <c r="VLL483" s="299"/>
      <c r="VLM483" s="299"/>
      <c r="VLN483" s="299"/>
      <c r="VLO483" s="299"/>
      <c r="VLP483" s="299"/>
      <c r="VLQ483" s="299"/>
      <c r="VLR483" s="299"/>
      <c r="VLS483" s="299"/>
      <c r="VLT483" s="299"/>
      <c r="VLU483" s="299"/>
      <c r="VLV483" s="299"/>
      <c r="VLW483" s="299"/>
      <c r="VLX483" s="299"/>
      <c r="VLY483" s="299"/>
      <c r="VLZ483" s="299"/>
      <c r="VMA483" s="299"/>
      <c r="VMB483" s="299"/>
      <c r="VMC483" s="299"/>
      <c r="VMD483" s="299"/>
      <c r="VME483" s="299"/>
      <c r="VMF483" s="299"/>
      <c r="VMG483" s="299"/>
      <c r="VMH483" s="299"/>
      <c r="VMI483" s="299"/>
      <c r="VMJ483" s="299"/>
      <c r="VMK483" s="299"/>
      <c r="VML483" s="299"/>
      <c r="VMM483" s="299"/>
      <c r="VMN483" s="299"/>
      <c r="VMO483" s="299"/>
      <c r="VMP483" s="299"/>
      <c r="VMQ483" s="299"/>
      <c r="VMR483" s="299"/>
      <c r="VMS483" s="299"/>
      <c r="VMT483" s="299"/>
      <c r="VMU483" s="299"/>
      <c r="VMV483" s="299"/>
      <c r="VMW483" s="299"/>
      <c r="VMX483" s="299"/>
      <c r="VMY483" s="299"/>
      <c r="VMZ483" s="299"/>
      <c r="VNA483" s="299"/>
      <c r="VNB483" s="299"/>
      <c r="VNC483" s="299"/>
      <c r="VND483" s="299"/>
      <c r="VNE483" s="299"/>
      <c r="VNF483" s="299"/>
      <c r="VNG483" s="299"/>
      <c r="VNH483" s="299"/>
      <c r="VNI483" s="299"/>
      <c r="VNJ483" s="299"/>
      <c r="VNK483" s="299"/>
      <c r="VNL483" s="299"/>
      <c r="VNM483" s="299"/>
      <c r="VNN483" s="299"/>
      <c r="VNO483" s="299"/>
      <c r="VNP483" s="299"/>
      <c r="VNQ483" s="299"/>
      <c r="VNR483" s="299"/>
      <c r="VNS483" s="299"/>
      <c r="VNT483" s="299"/>
      <c r="VNU483" s="299"/>
      <c r="VNV483" s="299"/>
      <c r="VNW483" s="299"/>
      <c r="VNX483" s="299"/>
      <c r="VNY483" s="299"/>
      <c r="VNZ483" s="299"/>
      <c r="VOA483" s="299"/>
      <c r="VOB483" s="299"/>
      <c r="VOC483" s="299"/>
      <c r="VOD483" s="299"/>
      <c r="VOE483" s="299"/>
      <c r="VOF483" s="299"/>
      <c r="VOG483" s="299"/>
      <c r="VOH483" s="299"/>
      <c r="VOI483" s="299"/>
      <c r="VOJ483" s="299"/>
      <c r="VOK483" s="299"/>
      <c r="VOL483" s="299"/>
      <c r="VOM483" s="299"/>
      <c r="VON483" s="299"/>
      <c r="VOO483" s="299"/>
      <c r="VOP483" s="299"/>
      <c r="VOQ483" s="299"/>
      <c r="VOR483" s="299"/>
      <c r="VOS483" s="299"/>
      <c r="VOT483" s="299"/>
      <c r="VOU483" s="299"/>
      <c r="VOV483" s="299"/>
      <c r="VOW483" s="299"/>
      <c r="VOX483" s="299"/>
      <c r="VOY483" s="299"/>
      <c r="VOZ483" s="299"/>
      <c r="VPA483" s="299"/>
      <c r="VPB483" s="299"/>
      <c r="VPC483" s="299"/>
      <c r="VPD483" s="299"/>
      <c r="VPE483" s="299"/>
      <c r="VPF483" s="299"/>
      <c r="VPG483" s="299"/>
      <c r="VPH483" s="299"/>
      <c r="VPI483" s="299"/>
      <c r="VPJ483" s="299"/>
      <c r="VPK483" s="299"/>
      <c r="VPL483" s="299"/>
      <c r="VPM483" s="299"/>
      <c r="VPN483" s="299"/>
      <c r="VPO483" s="299"/>
      <c r="VPP483" s="299"/>
      <c r="VPQ483" s="299"/>
      <c r="VPR483" s="299"/>
      <c r="VPS483" s="299"/>
      <c r="VPT483" s="299"/>
      <c r="VPU483" s="299"/>
      <c r="VPV483" s="299"/>
      <c r="VPW483" s="299"/>
      <c r="VPX483" s="299"/>
      <c r="VPY483" s="299"/>
      <c r="VPZ483" s="299"/>
      <c r="VQA483" s="299"/>
      <c r="VQB483" s="299"/>
      <c r="VQC483" s="299"/>
      <c r="VQD483" s="299"/>
      <c r="VQE483" s="299"/>
      <c r="VQF483" s="299"/>
      <c r="VQG483" s="299"/>
      <c r="VQH483" s="299"/>
      <c r="VQI483" s="299"/>
      <c r="VQJ483" s="299"/>
      <c r="VQK483" s="299"/>
      <c r="VQL483" s="299"/>
      <c r="VQM483" s="299"/>
      <c r="VQN483" s="299"/>
      <c r="VQO483" s="299"/>
      <c r="VQP483" s="299"/>
      <c r="VQQ483" s="299"/>
      <c r="VQR483" s="299"/>
      <c r="VQS483" s="299"/>
      <c r="VQT483" s="299"/>
      <c r="VQU483" s="299"/>
      <c r="VQV483" s="299"/>
      <c r="VQW483" s="299"/>
      <c r="VQX483" s="299"/>
      <c r="VQY483" s="299"/>
      <c r="VQZ483" s="299"/>
      <c r="VRA483" s="299"/>
      <c r="VRB483" s="299"/>
      <c r="VRC483" s="299"/>
      <c r="VRD483" s="299"/>
      <c r="VRE483" s="299"/>
      <c r="VRF483" s="299"/>
      <c r="VRG483" s="299"/>
      <c r="VRH483" s="299"/>
      <c r="VRI483" s="299"/>
      <c r="VRJ483" s="299"/>
      <c r="VRK483" s="299"/>
      <c r="VRL483" s="299"/>
      <c r="VRM483" s="299"/>
      <c r="VRN483" s="299"/>
      <c r="VRO483" s="299"/>
      <c r="VRP483" s="299"/>
      <c r="VRQ483" s="299"/>
      <c r="VRR483" s="299"/>
      <c r="VRS483" s="299"/>
      <c r="VRT483" s="299"/>
      <c r="VRU483" s="299"/>
      <c r="VRV483" s="299"/>
      <c r="VRW483" s="299"/>
      <c r="VRX483" s="299"/>
      <c r="VRY483" s="299"/>
      <c r="VRZ483" s="299"/>
      <c r="VSA483" s="299"/>
      <c r="VSB483" s="299"/>
      <c r="VSC483" s="299"/>
      <c r="VSD483" s="299"/>
      <c r="VSE483" s="299"/>
      <c r="VSF483" s="299"/>
      <c r="VSG483" s="299"/>
      <c r="VSH483" s="299"/>
      <c r="VSI483" s="299"/>
      <c r="VSJ483" s="299"/>
      <c r="VSK483" s="299"/>
      <c r="VSL483" s="299"/>
      <c r="VSM483" s="299"/>
      <c r="VSN483" s="299"/>
      <c r="VSO483" s="299"/>
      <c r="VSP483" s="299"/>
      <c r="VSQ483" s="299"/>
      <c r="VSR483" s="299"/>
      <c r="VSS483" s="299"/>
      <c r="VST483" s="299"/>
      <c r="VSU483" s="299"/>
      <c r="VSV483" s="299"/>
      <c r="VSW483" s="299"/>
      <c r="VSX483" s="299"/>
      <c r="VSY483" s="299"/>
      <c r="VSZ483" s="299"/>
      <c r="VTA483" s="299"/>
      <c r="VTB483" s="299"/>
      <c r="VTC483" s="299"/>
      <c r="VTD483" s="299"/>
      <c r="VTE483" s="299"/>
      <c r="VTF483" s="299"/>
      <c r="VTG483" s="299"/>
      <c r="VTH483" s="299"/>
      <c r="VTI483" s="299"/>
      <c r="VTJ483" s="299"/>
      <c r="VTK483" s="299"/>
      <c r="VTL483" s="299"/>
      <c r="VTM483" s="299"/>
      <c r="VTN483" s="299"/>
      <c r="VTO483" s="299"/>
      <c r="VTP483" s="299"/>
      <c r="VTQ483" s="299"/>
      <c r="VTR483" s="299"/>
      <c r="VTS483" s="299"/>
      <c r="VTT483" s="299"/>
      <c r="VTU483" s="299"/>
      <c r="VTV483" s="299"/>
      <c r="VTW483" s="299"/>
      <c r="VTX483" s="299"/>
      <c r="VTY483" s="299"/>
      <c r="VTZ483" s="299"/>
      <c r="VUA483" s="299"/>
      <c r="VUB483" s="299"/>
      <c r="VUC483" s="299"/>
      <c r="VUD483" s="299"/>
      <c r="VUE483" s="299"/>
      <c r="VUF483" s="299"/>
      <c r="VUG483" s="299"/>
      <c r="VUH483" s="299"/>
      <c r="VUI483" s="299"/>
      <c r="VUJ483" s="299"/>
      <c r="VUK483" s="299"/>
      <c r="VUL483" s="299"/>
      <c r="VUM483" s="299"/>
      <c r="VUN483" s="299"/>
      <c r="VUO483" s="299"/>
      <c r="VUP483" s="299"/>
      <c r="VUQ483" s="299"/>
      <c r="VUR483" s="299"/>
      <c r="VUS483" s="299"/>
      <c r="VUT483" s="299"/>
      <c r="VUU483" s="299"/>
      <c r="VUV483" s="299"/>
      <c r="VUW483" s="299"/>
      <c r="VUX483" s="299"/>
      <c r="VUY483" s="299"/>
      <c r="VUZ483" s="299"/>
      <c r="VVA483" s="299"/>
      <c r="VVB483" s="299"/>
      <c r="VVC483" s="299"/>
      <c r="VVD483" s="299"/>
      <c r="VVE483" s="299"/>
      <c r="VVF483" s="299"/>
      <c r="VVG483" s="299"/>
      <c r="VVH483" s="299"/>
      <c r="VVI483" s="299"/>
      <c r="VVJ483" s="299"/>
      <c r="VVK483" s="299"/>
      <c r="VVL483" s="299"/>
      <c r="VVM483" s="299"/>
      <c r="VVN483" s="299"/>
      <c r="VVO483" s="299"/>
      <c r="VVP483" s="299"/>
      <c r="VVQ483" s="299"/>
      <c r="VVR483" s="299"/>
      <c r="VVS483" s="299"/>
      <c r="VVT483" s="299"/>
      <c r="VVU483" s="299"/>
      <c r="VVV483" s="299"/>
      <c r="VVW483" s="299"/>
      <c r="VVX483" s="299"/>
      <c r="VVY483" s="299"/>
      <c r="VVZ483" s="299"/>
      <c r="VWA483" s="299"/>
      <c r="VWB483" s="299"/>
      <c r="VWC483" s="299"/>
      <c r="VWD483" s="299"/>
      <c r="VWE483" s="299"/>
      <c r="VWF483" s="299"/>
      <c r="VWG483" s="299"/>
      <c r="VWH483" s="299"/>
      <c r="VWI483" s="299"/>
      <c r="VWJ483" s="299"/>
      <c r="VWK483" s="299"/>
      <c r="VWL483" s="299"/>
      <c r="VWM483" s="299"/>
      <c r="VWN483" s="299"/>
      <c r="VWO483" s="299"/>
      <c r="VWP483" s="299"/>
      <c r="VWQ483" s="299"/>
      <c r="VWR483" s="299"/>
      <c r="VWS483" s="299"/>
      <c r="VWT483" s="299"/>
      <c r="VWU483" s="299"/>
      <c r="VWV483" s="299"/>
      <c r="VWW483" s="299"/>
      <c r="VWX483" s="299"/>
      <c r="VWY483" s="299"/>
      <c r="VWZ483" s="299"/>
      <c r="VXA483" s="299"/>
      <c r="VXB483" s="299"/>
      <c r="VXC483" s="299"/>
      <c r="VXD483" s="299"/>
      <c r="VXE483" s="299"/>
      <c r="VXF483" s="299"/>
      <c r="VXG483" s="299"/>
      <c r="VXH483" s="299"/>
      <c r="VXI483" s="299"/>
      <c r="VXJ483" s="299"/>
      <c r="VXK483" s="299"/>
      <c r="VXL483" s="299"/>
      <c r="VXM483" s="299"/>
      <c r="VXN483" s="299"/>
      <c r="VXO483" s="299"/>
      <c r="VXP483" s="299"/>
      <c r="VXQ483" s="299"/>
      <c r="VXR483" s="299"/>
      <c r="VXS483" s="299"/>
      <c r="VXT483" s="299"/>
      <c r="VXU483" s="299"/>
      <c r="VXV483" s="299"/>
      <c r="VXW483" s="299"/>
      <c r="VXX483" s="299"/>
      <c r="VXY483" s="299"/>
      <c r="VXZ483" s="299"/>
      <c r="VYA483" s="299"/>
      <c r="VYB483" s="299"/>
      <c r="VYC483" s="299"/>
      <c r="VYD483" s="299"/>
      <c r="VYE483" s="299"/>
      <c r="VYF483" s="299"/>
      <c r="VYG483" s="299"/>
      <c r="VYH483" s="299"/>
      <c r="VYI483" s="299"/>
      <c r="VYJ483" s="299"/>
      <c r="VYK483" s="299"/>
      <c r="VYL483" s="299"/>
      <c r="VYM483" s="299"/>
      <c r="VYN483" s="299"/>
      <c r="VYO483" s="299"/>
      <c r="VYP483" s="299"/>
      <c r="VYQ483" s="299"/>
      <c r="VYR483" s="299"/>
      <c r="VYS483" s="299"/>
      <c r="VYT483" s="299"/>
      <c r="VYU483" s="299"/>
      <c r="VYV483" s="299"/>
      <c r="VYW483" s="299"/>
      <c r="VYX483" s="299"/>
      <c r="VYY483" s="299"/>
      <c r="VYZ483" s="299"/>
      <c r="VZA483" s="299"/>
      <c r="VZB483" s="299"/>
      <c r="VZC483" s="299"/>
      <c r="VZD483" s="299"/>
      <c r="VZE483" s="299"/>
      <c r="VZF483" s="299"/>
      <c r="VZG483" s="299"/>
      <c r="VZH483" s="299"/>
      <c r="VZI483" s="299"/>
      <c r="VZJ483" s="299"/>
      <c r="VZK483" s="299"/>
      <c r="VZL483" s="299"/>
      <c r="VZM483" s="299"/>
      <c r="VZN483" s="299"/>
      <c r="VZO483" s="299"/>
      <c r="VZP483" s="299"/>
      <c r="VZQ483" s="299"/>
      <c r="VZR483" s="299"/>
      <c r="VZS483" s="299"/>
      <c r="VZT483" s="299"/>
      <c r="VZU483" s="299"/>
      <c r="VZV483" s="299"/>
      <c r="VZW483" s="299"/>
      <c r="VZX483" s="299"/>
      <c r="VZY483" s="299"/>
      <c r="VZZ483" s="299"/>
      <c r="WAA483" s="299"/>
      <c r="WAB483" s="299"/>
      <c r="WAC483" s="299"/>
      <c r="WAD483" s="299"/>
      <c r="WAE483" s="299"/>
      <c r="WAF483" s="299"/>
      <c r="WAG483" s="299"/>
      <c r="WAH483" s="299"/>
      <c r="WAI483" s="299"/>
      <c r="WAJ483" s="299"/>
      <c r="WAK483" s="299"/>
      <c r="WAL483" s="299"/>
      <c r="WAM483" s="299"/>
      <c r="WAN483" s="299"/>
      <c r="WAO483" s="299"/>
      <c r="WAP483" s="299"/>
      <c r="WAQ483" s="299"/>
      <c r="WAR483" s="299"/>
      <c r="WAS483" s="299"/>
      <c r="WAT483" s="299"/>
      <c r="WAU483" s="299"/>
      <c r="WAV483" s="299"/>
      <c r="WAW483" s="299"/>
      <c r="WAX483" s="299"/>
      <c r="WAY483" s="299"/>
      <c r="WAZ483" s="299"/>
      <c r="WBA483" s="299"/>
      <c r="WBB483" s="299"/>
      <c r="WBC483" s="299"/>
      <c r="WBD483" s="299"/>
      <c r="WBE483" s="299"/>
      <c r="WBF483" s="299"/>
      <c r="WBG483" s="299"/>
      <c r="WBH483" s="299"/>
      <c r="WBI483" s="299"/>
      <c r="WBJ483" s="299"/>
      <c r="WBK483" s="299"/>
      <c r="WBL483" s="299"/>
      <c r="WBM483" s="299"/>
      <c r="WBN483" s="299"/>
      <c r="WBO483" s="299"/>
      <c r="WBP483" s="299"/>
      <c r="WBQ483" s="299"/>
      <c r="WBR483" s="299"/>
      <c r="WBS483" s="299"/>
      <c r="WBT483" s="299"/>
      <c r="WBU483" s="299"/>
      <c r="WBV483" s="299"/>
      <c r="WBW483" s="299"/>
      <c r="WBX483" s="299"/>
      <c r="WBY483" s="299"/>
      <c r="WBZ483" s="299"/>
      <c r="WCA483" s="299"/>
      <c r="WCB483" s="299"/>
      <c r="WCC483" s="299"/>
      <c r="WCD483" s="299"/>
      <c r="WCE483" s="299"/>
      <c r="WCF483" s="299"/>
      <c r="WCG483" s="299"/>
      <c r="WCH483" s="299"/>
      <c r="WCI483" s="299"/>
      <c r="WCJ483" s="299"/>
      <c r="WCK483" s="299"/>
      <c r="WCL483" s="299"/>
      <c r="WCM483" s="299"/>
      <c r="WCN483" s="299"/>
      <c r="WCO483" s="299"/>
      <c r="WCP483" s="299"/>
      <c r="WCQ483" s="299"/>
      <c r="WCR483" s="299"/>
      <c r="WCS483" s="299"/>
      <c r="WCT483" s="299"/>
      <c r="WCU483" s="299"/>
      <c r="WCV483" s="299"/>
      <c r="WCW483" s="299"/>
      <c r="WCX483" s="299"/>
      <c r="WCY483" s="299"/>
      <c r="WCZ483" s="299"/>
      <c r="WDA483" s="299"/>
      <c r="WDB483" s="299"/>
      <c r="WDC483" s="299"/>
      <c r="WDD483" s="299"/>
      <c r="WDE483" s="299"/>
      <c r="WDF483" s="299"/>
      <c r="WDG483" s="299"/>
      <c r="WDH483" s="299"/>
      <c r="WDI483" s="299"/>
      <c r="WDJ483" s="299"/>
      <c r="WDK483" s="299"/>
      <c r="WDL483" s="299"/>
      <c r="WDM483" s="299"/>
      <c r="WDN483" s="299"/>
      <c r="WDO483" s="299"/>
      <c r="WDP483" s="299"/>
      <c r="WDQ483" s="299"/>
      <c r="WDR483" s="299"/>
      <c r="WDS483" s="299"/>
      <c r="WDT483" s="299"/>
      <c r="WDU483" s="299"/>
      <c r="WDV483" s="299"/>
      <c r="WDW483" s="299"/>
      <c r="WDX483" s="299"/>
      <c r="WDY483" s="299"/>
      <c r="WDZ483" s="299"/>
      <c r="WEA483" s="299"/>
      <c r="WEB483" s="299"/>
      <c r="WEC483" s="299"/>
      <c r="WED483" s="299"/>
      <c r="WEE483" s="299"/>
      <c r="WEF483" s="299"/>
      <c r="WEG483" s="299"/>
      <c r="WEH483" s="299"/>
      <c r="WEI483" s="299"/>
      <c r="WEJ483" s="299"/>
      <c r="WEK483" s="299"/>
      <c r="WEL483" s="299"/>
      <c r="WEM483" s="299"/>
      <c r="WEN483" s="299"/>
      <c r="WEO483" s="299"/>
      <c r="WEP483" s="299"/>
      <c r="WEQ483" s="299"/>
      <c r="WER483" s="299"/>
      <c r="WES483" s="299"/>
      <c r="WET483" s="299"/>
      <c r="WEU483" s="299"/>
      <c r="WEV483" s="299"/>
      <c r="WEW483" s="299"/>
      <c r="WEX483" s="299"/>
      <c r="WEY483" s="299"/>
      <c r="WEZ483" s="299"/>
      <c r="WFA483" s="299"/>
      <c r="WFB483" s="299"/>
      <c r="WFC483" s="299"/>
      <c r="WFD483" s="299"/>
      <c r="WFE483" s="299"/>
      <c r="WFF483" s="299"/>
      <c r="WFG483" s="299"/>
      <c r="WFH483" s="299"/>
      <c r="WFI483" s="299"/>
      <c r="WFJ483" s="299"/>
      <c r="WFK483" s="299"/>
      <c r="WFL483" s="299"/>
      <c r="WFM483" s="299"/>
      <c r="WFN483" s="299"/>
      <c r="WFO483" s="299"/>
      <c r="WFP483" s="299"/>
      <c r="WFQ483" s="299"/>
      <c r="WFR483" s="299"/>
      <c r="WFS483" s="299"/>
      <c r="WFT483" s="299"/>
      <c r="WFU483" s="299"/>
      <c r="WFV483" s="299"/>
      <c r="WFW483" s="299"/>
      <c r="WFX483" s="299"/>
      <c r="WFY483" s="299"/>
      <c r="WFZ483" s="299"/>
      <c r="WGA483" s="299"/>
      <c r="WGB483" s="299"/>
      <c r="WGC483" s="299"/>
      <c r="WGD483" s="299"/>
      <c r="WGE483" s="299"/>
      <c r="WGF483" s="299"/>
      <c r="WGG483" s="299"/>
      <c r="WGH483" s="299"/>
      <c r="WGI483" s="299"/>
      <c r="WGJ483" s="299"/>
      <c r="WGK483" s="299"/>
      <c r="WGL483" s="299"/>
      <c r="WGM483" s="299"/>
      <c r="WGN483" s="299"/>
      <c r="WGO483" s="299"/>
      <c r="WGP483" s="299"/>
      <c r="WGQ483" s="299"/>
      <c r="WGR483" s="299"/>
      <c r="WGS483" s="299"/>
      <c r="WGT483" s="299"/>
      <c r="WGU483" s="299"/>
      <c r="WGV483" s="299"/>
      <c r="WGW483" s="299"/>
      <c r="WGX483" s="299"/>
      <c r="WGY483" s="299"/>
      <c r="WGZ483" s="299"/>
      <c r="WHA483" s="299"/>
      <c r="WHB483" s="299"/>
      <c r="WHC483" s="299"/>
      <c r="WHD483" s="299"/>
      <c r="WHE483" s="299"/>
      <c r="WHF483" s="299"/>
      <c r="WHG483" s="299"/>
      <c r="WHH483" s="299"/>
      <c r="WHI483" s="299"/>
      <c r="WHJ483" s="299"/>
      <c r="WHK483" s="299"/>
      <c r="WHL483" s="299"/>
      <c r="WHM483" s="299"/>
      <c r="WHN483" s="299"/>
      <c r="WHO483" s="299"/>
      <c r="WHP483" s="299"/>
      <c r="WHQ483" s="299"/>
      <c r="WHR483" s="299"/>
      <c r="WHS483" s="299"/>
      <c r="WHT483" s="299"/>
      <c r="WHU483" s="299"/>
      <c r="WHV483" s="299"/>
      <c r="WHW483" s="299"/>
      <c r="WHX483" s="299"/>
      <c r="WHY483" s="299"/>
      <c r="WHZ483" s="299"/>
      <c r="WIA483" s="299"/>
      <c r="WIB483" s="299"/>
      <c r="WIC483" s="299"/>
      <c r="WID483" s="299"/>
      <c r="WIE483" s="299"/>
      <c r="WIF483" s="299"/>
      <c r="WIG483" s="299"/>
      <c r="WIH483" s="299"/>
      <c r="WII483" s="299"/>
      <c r="WIJ483" s="299"/>
      <c r="WIK483" s="299"/>
      <c r="WIL483" s="299"/>
      <c r="WIM483" s="299"/>
      <c r="WIN483" s="299"/>
      <c r="WIO483" s="299"/>
      <c r="WIP483" s="299"/>
      <c r="WIQ483" s="299"/>
      <c r="WIR483" s="299"/>
      <c r="WIS483" s="299"/>
      <c r="WIT483" s="299"/>
      <c r="WIU483" s="299"/>
      <c r="WIV483" s="299"/>
      <c r="WIW483" s="299"/>
      <c r="WIX483" s="299"/>
      <c r="WIY483" s="299"/>
      <c r="WIZ483" s="299"/>
      <c r="WJA483" s="299"/>
      <c r="WJB483" s="299"/>
      <c r="WJC483" s="299"/>
      <c r="WJD483" s="299"/>
      <c r="WJE483" s="299"/>
      <c r="WJF483" s="299"/>
      <c r="WJG483" s="299"/>
      <c r="WJH483" s="299"/>
      <c r="WJI483" s="299"/>
      <c r="WJJ483" s="299"/>
      <c r="WJK483" s="299"/>
      <c r="WJL483" s="299"/>
      <c r="WJM483" s="299"/>
      <c r="WJN483" s="299"/>
      <c r="WJO483" s="299"/>
      <c r="WJP483" s="299"/>
      <c r="WJQ483" s="299"/>
      <c r="WJR483" s="299"/>
      <c r="WJS483" s="299"/>
      <c r="WJT483" s="299"/>
      <c r="WJU483" s="299"/>
      <c r="WJV483" s="299"/>
      <c r="WJW483" s="299"/>
      <c r="WJX483" s="299"/>
      <c r="WJY483" s="299"/>
      <c r="WJZ483" s="299"/>
      <c r="WKA483" s="299"/>
      <c r="WKB483" s="299"/>
      <c r="WKC483" s="299"/>
      <c r="WKD483" s="299"/>
      <c r="WKE483" s="299"/>
      <c r="WKF483" s="299"/>
      <c r="WKG483" s="299"/>
      <c r="WKH483" s="299"/>
      <c r="WKI483" s="299"/>
      <c r="WKJ483" s="299"/>
      <c r="WKK483" s="299"/>
      <c r="WKL483" s="299"/>
      <c r="WKM483" s="299"/>
      <c r="WKN483" s="299"/>
      <c r="WKO483" s="299"/>
      <c r="WKP483" s="299"/>
      <c r="WKQ483" s="299"/>
      <c r="WKR483" s="299"/>
      <c r="WKS483" s="299"/>
      <c r="WKT483" s="299"/>
      <c r="WKU483" s="299"/>
      <c r="WKV483" s="299"/>
      <c r="WKW483" s="299"/>
      <c r="WKX483" s="299"/>
      <c r="WKY483" s="299"/>
      <c r="WKZ483" s="299"/>
      <c r="WLA483" s="299"/>
      <c r="WLB483" s="299"/>
      <c r="WLC483" s="299"/>
      <c r="WLD483" s="299"/>
      <c r="WLE483" s="299"/>
      <c r="WLF483" s="299"/>
      <c r="WLG483" s="299"/>
      <c r="WLH483" s="299"/>
      <c r="WLI483" s="299"/>
      <c r="WLJ483" s="299"/>
      <c r="WLK483" s="299"/>
      <c r="WLL483" s="299"/>
      <c r="WLM483" s="299"/>
      <c r="WLN483" s="299"/>
      <c r="WLO483" s="299"/>
      <c r="WLP483" s="299"/>
      <c r="WLQ483" s="299"/>
      <c r="WLR483" s="299"/>
      <c r="WLS483" s="299"/>
      <c r="WLT483" s="299"/>
      <c r="WLU483" s="299"/>
      <c r="WLV483" s="299"/>
      <c r="WLW483" s="299"/>
      <c r="WLX483" s="299"/>
      <c r="WLY483" s="299"/>
      <c r="WLZ483" s="299"/>
      <c r="WMA483" s="299"/>
      <c r="WMB483" s="299"/>
      <c r="WMC483" s="299"/>
      <c r="WMD483" s="299"/>
      <c r="WME483" s="299"/>
      <c r="WMF483" s="299"/>
      <c r="WMG483" s="299"/>
      <c r="WMH483" s="299"/>
      <c r="WMI483" s="299"/>
      <c r="WMJ483" s="299"/>
      <c r="WMK483" s="299"/>
      <c r="WML483" s="299"/>
      <c r="WMM483" s="299"/>
      <c r="WMN483" s="299"/>
      <c r="WMO483" s="299"/>
      <c r="WMP483" s="299"/>
      <c r="WMQ483" s="299"/>
      <c r="WMR483" s="299"/>
      <c r="WMS483" s="299"/>
      <c r="WMT483" s="299"/>
      <c r="WMU483" s="299"/>
      <c r="WMV483" s="299"/>
      <c r="WMW483" s="299"/>
      <c r="WMX483" s="299"/>
      <c r="WMY483" s="299"/>
      <c r="WMZ483" s="299"/>
      <c r="WNA483" s="299"/>
      <c r="WNB483" s="299"/>
      <c r="WNC483" s="299"/>
      <c r="WND483" s="299"/>
      <c r="WNE483" s="299"/>
      <c r="WNF483" s="299"/>
      <c r="WNG483" s="299"/>
      <c r="WNH483" s="299"/>
      <c r="WNI483" s="299"/>
      <c r="WNJ483" s="299"/>
      <c r="WNK483" s="299"/>
      <c r="WNL483" s="299"/>
      <c r="WNM483" s="299"/>
      <c r="WNN483" s="299"/>
      <c r="WNO483" s="299"/>
      <c r="WNP483" s="299"/>
      <c r="WNQ483" s="299"/>
      <c r="WNR483" s="299"/>
      <c r="WNS483" s="299"/>
      <c r="WNT483" s="299"/>
      <c r="WNU483" s="299"/>
      <c r="WNV483" s="299"/>
      <c r="WNW483" s="299"/>
      <c r="WNX483" s="299"/>
      <c r="WNY483" s="299"/>
      <c r="WNZ483" s="299"/>
      <c r="WOA483" s="299"/>
      <c r="WOB483" s="299"/>
      <c r="WOC483" s="299"/>
      <c r="WOD483" s="299"/>
      <c r="WOE483" s="299"/>
      <c r="WOF483" s="299"/>
      <c r="WOG483" s="299"/>
      <c r="WOH483" s="299"/>
      <c r="WOI483" s="299"/>
      <c r="WOJ483" s="299"/>
      <c r="WOK483" s="299"/>
      <c r="WOL483" s="299"/>
      <c r="WOM483" s="299"/>
      <c r="WON483" s="299"/>
      <c r="WOO483" s="299"/>
      <c r="WOP483" s="299"/>
      <c r="WOQ483" s="299"/>
      <c r="WOR483" s="299"/>
      <c r="WOS483" s="299"/>
      <c r="WOT483" s="299"/>
      <c r="WOU483" s="299"/>
      <c r="WOV483" s="299"/>
      <c r="WOW483" s="299"/>
      <c r="WOX483" s="299"/>
      <c r="WOY483" s="299"/>
      <c r="WOZ483" s="299"/>
      <c r="WPA483" s="299"/>
      <c r="WPB483" s="299"/>
      <c r="WPC483" s="299"/>
      <c r="WPD483" s="299"/>
      <c r="WPE483" s="299"/>
      <c r="WPF483" s="299"/>
      <c r="WPG483" s="299"/>
      <c r="WPH483" s="299"/>
      <c r="WPI483" s="299"/>
      <c r="WPJ483" s="299"/>
      <c r="WPK483" s="299"/>
      <c r="WPL483" s="299"/>
      <c r="WPM483" s="299"/>
      <c r="WPN483" s="299"/>
      <c r="WPO483" s="299"/>
      <c r="WPP483" s="299"/>
      <c r="WPQ483" s="299"/>
      <c r="WPR483" s="299"/>
      <c r="WPS483" s="299"/>
      <c r="WPT483" s="299"/>
      <c r="WPU483" s="299"/>
      <c r="WPV483" s="299"/>
      <c r="WPW483" s="299"/>
      <c r="WPX483" s="299"/>
      <c r="WPY483" s="299"/>
      <c r="WPZ483" s="299"/>
      <c r="WQA483" s="299"/>
      <c r="WQB483" s="299"/>
      <c r="WQC483" s="299"/>
      <c r="WQD483" s="299"/>
      <c r="WQE483" s="299"/>
      <c r="WQF483" s="299"/>
      <c r="WQG483" s="299"/>
      <c r="WQH483" s="299"/>
      <c r="WQI483" s="299"/>
      <c r="WQJ483" s="299"/>
      <c r="WQK483" s="299"/>
      <c r="WQL483" s="299"/>
      <c r="WQM483" s="299"/>
      <c r="WQN483" s="299"/>
      <c r="WQO483" s="299"/>
      <c r="WQP483" s="299"/>
      <c r="WQQ483" s="299"/>
      <c r="WQR483" s="299"/>
      <c r="WQS483" s="299"/>
      <c r="WQT483" s="299"/>
      <c r="WQU483" s="299"/>
      <c r="WQV483" s="299"/>
      <c r="WQW483" s="299"/>
      <c r="WQX483" s="299"/>
      <c r="WQY483" s="299"/>
      <c r="WQZ483" s="299"/>
      <c r="WRA483" s="299"/>
      <c r="WRB483" s="299"/>
      <c r="WRC483" s="299"/>
      <c r="WRD483" s="299"/>
      <c r="WRE483" s="299"/>
      <c r="WRF483" s="299"/>
      <c r="WRG483" s="299"/>
      <c r="WRH483" s="299"/>
      <c r="WRI483" s="299"/>
      <c r="WRJ483" s="299"/>
      <c r="WRK483" s="299"/>
      <c r="WRL483" s="299"/>
      <c r="WRM483" s="299"/>
      <c r="WRN483" s="299"/>
      <c r="WRO483" s="299"/>
      <c r="WRP483" s="299"/>
      <c r="WRQ483" s="299"/>
      <c r="WRR483" s="299"/>
      <c r="WRS483" s="299"/>
      <c r="WRT483" s="299"/>
      <c r="WRU483" s="299"/>
      <c r="WRV483" s="299"/>
      <c r="WRW483" s="299"/>
      <c r="WRX483" s="299"/>
      <c r="WRY483" s="299"/>
      <c r="WRZ483" s="299"/>
      <c r="WSA483" s="299"/>
      <c r="WSB483" s="299"/>
      <c r="WSC483" s="299"/>
      <c r="WSD483" s="299"/>
      <c r="WSE483" s="299"/>
      <c r="WSF483" s="299"/>
      <c r="WSG483" s="299"/>
      <c r="WSH483" s="299"/>
      <c r="WSI483" s="299"/>
      <c r="WSJ483" s="299"/>
      <c r="WSK483" s="299"/>
      <c r="WSL483" s="299"/>
      <c r="WSM483" s="299"/>
      <c r="WSN483" s="299"/>
      <c r="WSO483" s="299"/>
      <c r="WSP483" s="299"/>
      <c r="WSQ483" s="299"/>
      <c r="WSR483" s="299"/>
      <c r="WSS483" s="299"/>
      <c r="WST483" s="299"/>
      <c r="WSU483" s="299"/>
      <c r="WSV483" s="299"/>
      <c r="WSW483" s="299"/>
      <c r="WSX483" s="299"/>
      <c r="WSY483" s="299"/>
      <c r="WSZ483" s="299"/>
      <c r="WTA483" s="299"/>
      <c r="WTB483" s="299"/>
      <c r="WTC483" s="299"/>
      <c r="WTD483" s="299"/>
      <c r="WTE483" s="299"/>
      <c r="WTF483" s="299"/>
      <c r="WTG483" s="299"/>
      <c r="WTH483" s="299"/>
      <c r="WTI483" s="299"/>
      <c r="WTJ483" s="299"/>
      <c r="WTK483" s="299"/>
      <c r="WTL483" s="299"/>
      <c r="WTM483" s="299"/>
      <c r="WTN483" s="299"/>
      <c r="WTO483" s="299"/>
      <c r="WTP483" s="299"/>
      <c r="WTQ483" s="299"/>
      <c r="WTR483" s="299"/>
      <c r="WTS483" s="299"/>
      <c r="WTT483" s="299"/>
      <c r="WTU483" s="299"/>
      <c r="WTV483" s="299"/>
      <c r="WTW483" s="299"/>
      <c r="WTX483" s="299"/>
      <c r="WTY483" s="299"/>
      <c r="WTZ483" s="299"/>
      <c r="WUA483" s="299"/>
      <c r="WUB483" s="299"/>
      <c r="WUC483" s="299"/>
      <c r="WUD483" s="299"/>
      <c r="WUE483" s="299"/>
      <c r="WUF483" s="299"/>
      <c r="WUG483" s="299"/>
      <c r="WUH483" s="299"/>
      <c r="WUI483" s="299"/>
      <c r="WUJ483" s="299"/>
      <c r="WUK483" s="299"/>
      <c r="WUL483" s="299"/>
      <c r="WUM483" s="299"/>
      <c r="WUN483" s="299"/>
      <c r="WUO483" s="299"/>
      <c r="WUP483" s="299"/>
      <c r="WUQ483" s="299"/>
      <c r="WUR483" s="299"/>
      <c r="WUS483" s="299"/>
      <c r="WUT483" s="299"/>
      <c r="WUU483" s="299"/>
      <c r="WUV483" s="299"/>
      <c r="WUW483" s="299"/>
      <c r="WUX483" s="299"/>
      <c r="WUY483" s="299"/>
      <c r="WUZ483" s="299"/>
      <c r="WVA483" s="299"/>
      <c r="WVB483" s="299"/>
      <c r="WVC483" s="299"/>
      <c r="WVD483" s="299"/>
      <c r="WVE483" s="299"/>
      <c r="WVF483" s="299"/>
      <c r="WVG483" s="299"/>
      <c r="WVH483" s="299"/>
      <c r="WVI483" s="299"/>
      <c r="WVJ483" s="299"/>
      <c r="WVK483" s="299"/>
      <c r="WVL483" s="299"/>
      <c r="WVM483" s="299"/>
      <c r="WVN483" s="299"/>
      <c r="WVO483" s="299"/>
      <c r="WVP483" s="299"/>
      <c r="WVQ483" s="299"/>
      <c r="WVR483" s="299"/>
      <c r="WVS483" s="299"/>
      <c r="WVT483" s="299"/>
      <c r="WVU483" s="299"/>
      <c r="WVV483" s="299"/>
      <c r="WVW483" s="299"/>
      <c r="WVX483" s="299"/>
      <c r="WVY483" s="299"/>
      <c r="WVZ483" s="299"/>
      <c r="WWA483" s="299"/>
      <c r="WWB483" s="299"/>
      <c r="WWC483" s="299"/>
      <c r="WWD483" s="299"/>
      <c r="WWE483" s="299"/>
      <c r="WWF483" s="299"/>
      <c r="WWG483" s="299"/>
      <c r="WWH483" s="299"/>
      <c r="WWI483" s="299"/>
      <c r="WWJ483" s="299"/>
      <c r="WWK483" s="299"/>
      <c r="WWL483" s="299"/>
      <c r="WWM483" s="299"/>
      <c r="WWN483" s="299"/>
      <c r="WWO483" s="299"/>
      <c r="WWP483" s="299"/>
      <c r="WWQ483" s="299"/>
      <c r="WWR483" s="299"/>
      <c r="WWS483" s="299"/>
      <c r="WWT483" s="299"/>
      <c r="WWU483" s="299"/>
      <c r="WWV483" s="299"/>
      <c r="WWW483" s="299"/>
      <c r="WWX483" s="299"/>
      <c r="WWY483" s="299"/>
      <c r="WWZ483" s="299"/>
      <c r="WXA483" s="299"/>
      <c r="WXB483" s="299"/>
      <c r="WXC483" s="299"/>
      <c r="WXD483" s="299"/>
      <c r="WXE483" s="299"/>
      <c r="WXF483" s="299"/>
      <c r="WXG483" s="299"/>
      <c r="WXH483" s="299"/>
      <c r="WXI483" s="299"/>
      <c r="WXJ483" s="299"/>
      <c r="WXK483" s="299"/>
      <c r="WXL483" s="299"/>
      <c r="WXM483" s="299"/>
      <c r="WXN483" s="299"/>
      <c r="WXO483" s="299"/>
      <c r="WXP483" s="299"/>
      <c r="WXQ483" s="299"/>
      <c r="WXR483" s="299"/>
      <c r="WXS483" s="299"/>
      <c r="WXT483" s="299"/>
      <c r="WXU483" s="299"/>
      <c r="WXV483" s="299"/>
      <c r="WXW483" s="299"/>
      <c r="WXX483" s="299"/>
      <c r="WXY483" s="299"/>
      <c r="WXZ483" s="299"/>
      <c r="WYA483" s="299"/>
      <c r="WYB483" s="299"/>
      <c r="WYC483" s="299"/>
      <c r="WYD483" s="299"/>
      <c r="WYE483" s="299"/>
      <c r="WYF483" s="299"/>
      <c r="WYG483" s="299"/>
      <c r="WYH483" s="299"/>
      <c r="WYI483" s="299"/>
      <c r="WYJ483" s="299"/>
      <c r="WYK483" s="299"/>
      <c r="WYL483" s="299"/>
      <c r="WYM483" s="299"/>
      <c r="WYN483" s="299"/>
      <c r="WYO483" s="299"/>
      <c r="WYP483" s="299"/>
      <c r="WYQ483" s="299"/>
      <c r="WYR483" s="299"/>
      <c r="WYS483" s="299"/>
      <c r="WYT483" s="299"/>
      <c r="WYU483" s="299"/>
      <c r="WYV483" s="299"/>
      <c r="WYW483" s="299"/>
      <c r="WYX483" s="299"/>
      <c r="WYY483" s="299"/>
      <c r="WYZ483" s="299"/>
      <c r="WZA483" s="299"/>
      <c r="WZB483" s="299"/>
      <c r="WZC483" s="299"/>
      <c r="WZD483" s="299"/>
      <c r="WZE483" s="299"/>
      <c r="WZF483" s="299"/>
      <c r="WZG483" s="299"/>
      <c r="WZH483" s="299"/>
      <c r="WZI483" s="299"/>
      <c r="WZJ483" s="299"/>
      <c r="WZK483" s="299"/>
      <c r="WZL483" s="299"/>
      <c r="WZM483" s="299"/>
      <c r="WZN483" s="299"/>
      <c r="WZO483" s="299"/>
      <c r="WZP483" s="299"/>
      <c r="WZQ483" s="299"/>
      <c r="WZR483" s="299"/>
      <c r="WZS483" s="299"/>
      <c r="WZT483" s="299"/>
      <c r="WZU483" s="299"/>
      <c r="WZV483" s="299"/>
      <c r="WZW483" s="299"/>
      <c r="WZX483" s="299"/>
      <c r="WZY483" s="299"/>
      <c r="WZZ483" s="299"/>
      <c r="XAA483" s="299"/>
      <c r="XAB483" s="299"/>
      <c r="XAC483" s="299"/>
      <c r="XAD483" s="299"/>
      <c r="XAE483" s="299"/>
      <c r="XAF483" s="299"/>
      <c r="XAG483" s="299"/>
      <c r="XAH483" s="299"/>
      <c r="XAI483" s="299"/>
      <c r="XAJ483" s="299"/>
      <c r="XAK483" s="299"/>
      <c r="XAL483" s="299"/>
      <c r="XAM483" s="299"/>
      <c r="XAN483" s="299"/>
      <c r="XAO483" s="299"/>
      <c r="XAP483" s="299"/>
      <c r="XAQ483" s="299"/>
      <c r="XAR483" s="299"/>
      <c r="XAS483" s="299"/>
      <c r="XAT483" s="299"/>
      <c r="XAU483" s="299"/>
      <c r="XAV483" s="299"/>
      <c r="XAW483" s="299"/>
      <c r="XAX483" s="299"/>
      <c r="XAY483" s="299"/>
      <c r="XAZ483" s="299"/>
      <c r="XBA483" s="299"/>
      <c r="XBB483" s="299"/>
      <c r="XBC483" s="299"/>
      <c r="XBD483" s="299"/>
      <c r="XBE483" s="299"/>
      <c r="XBF483" s="299"/>
      <c r="XBG483" s="299"/>
      <c r="XBH483" s="299"/>
      <c r="XBI483" s="299"/>
      <c r="XBJ483" s="299"/>
      <c r="XBK483" s="299"/>
      <c r="XBL483" s="299"/>
      <c r="XBM483" s="299"/>
      <c r="XBN483" s="299"/>
      <c r="XBO483" s="299"/>
      <c r="XBP483" s="299"/>
      <c r="XBQ483" s="299"/>
      <c r="XBR483" s="299"/>
      <c r="XBS483" s="299"/>
      <c r="XBT483" s="299"/>
      <c r="XBU483" s="299"/>
      <c r="XBV483" s="299"/>
      <c r="XBW483" s="299"/>
      <c r="XBX483" s="299"/>
      <c r="XBY483" s="299"/>
      <c r="XBZ483" s="299"/>
      <c r="XCA483" s="299"/>
      <c r="XCB483" s="299"/>
      <c r="XCC483" s="299"/>
      <c r="XCD483" s="299"/>
      <c r="XCE483" s="299"/>
      <c r="XCF483" s="299"/>
    </row>
  </sheetData>
  <sheetProtection formatCells="0" formatColumns="0" formatRows="0" insertColumns="0" insertRows="0" insertHyperlinks="0" selectLockedCells="1" sort="0" autoFilter="0" pivotTables="0"/>
  <mergeCells count="22">
    <mergeCell ref="B238:B244"/>
    <mergeCell ref="C238:H238"/>
    <mergeCell ref="B185:B191"/>
    <mergeCell ref="C185:H185"/>
    <mergeCell ref="B216:B222"/>
    <mergeCell ref="C216:H216"/>
    <mergeCell ref="B227:B233"/>
    <mergeCell ref="C227:H227"/>
    <mergeCell ref="O163:R163"/>
    <mergeCell ref="O216:R216"/>
    <mergeCell ref="F63:O63"/>
    <mergeCell ref="B109:B115"/>
    <mergeCell ref="C109:H109"/>
    <mergeCell ref="B120:B126"/>
    <mergeCell ref="C120:H120"/>
    <mergeCell ref="O109:R109"/>
    <mergeCell ref="B131:B137"/>
    <mergeCell ref="C131:H131"/>
    <mergeCell ref="B163:B169"/>
    <mergeCell ref="C163:H163"/>
    <mergeCell ref="B174:B180"/>
    <mergeCell ref="C174:H174"/>
  </mergeCells>
  <phoneticPr fontId="4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XFD40"/>
  <sheetViews>
    <sheetView zoomScale="67" workbookViewId="0">
      <selection activeCell="C24" sqref="C24:H27"/>
    </sheetView>
  </sheetViews>
  <sheetFormatPr baseColWidth="10" defaultRowHeight="16"/>
  <cols>
    <col min="2" max="2" width="40.28515625" bestFit="1" customWidth="1"/>
    <col min="5" max="5" width="10.7109375" bestFit="1" customWidth="1"/>
    <col min="6" max="6" width="16.28515625" customWidth="1"/>
    <col min="7" max="7" width="12.42578125" customWidth="1"/>
    <col min="8" max="8" width="12.140625" customWidth="1"/>
    <col min="13" max="13" width="26.7109375" bestFit="1" customWidth="1"/>
  </cols>
  <sheetData>
    <row r="2" spans="2:16384" ht="21" thickBot="1">
      <c r="B2" s="38" t="s">
        <v>175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5" spans="2:16384">
      <c r="B5" s="227" t="s">
        <v>176</v>
      </c>
      <c r="C5" s="228"/>
      <c r="D5" s="228"/>
      <c r="E5" s="228"/>
      <c r="F5" s="25"/>
      <c r="G5" s="227" t="s">
        <v>177</v>
      </c>
      <c r="H5" s="228"/>
      <c r="I5" s="228"/>
      <c r="J5" s="228"/>
      <c r="K5" s="228"/>
      <c r="L5" s="25"/>
      <c r="M5" s="227" t="s">
        <v>176</v>
      </c>
      <c r="N5" s="228"/>
      <c r="O5" s="228"/>
      <c r="P5" s="228"/>
    </row>
    <row r="6" spans="2:16384">
      <c r="B6" s="229" t="s">
        <v>178</v>
      </c>
      <c r="C6" s="25"/>
      <c r="D6" s="25"/>
      <c r="E6" s="25"/>
      <c r="F6" s="25"/>
      <c r="G6" s="230"/>
      <c r="H6" s="231">
        <f>DCF!E5</f>
        <v>2023</v>
      </c>
      <c r="I6" s="232">
        <f>DCF!F5</f>
        <v>2024</v>
      </c>
      <c r="J6" s="25"/>
      <c r="K6" s="25"/>
      <c r="L6" s="25"/>
      <c r="M6" s="229" t="s">
        <v>178</v>
      </c>
      <c r="N6" s="25"/>
      <c r="O6" s="25"/>
      <c r="P6" s="25"/>
    </row>
    <row r="7" spans="2:16384">
      <c r="B7" s="233"/>
      <c r="C7" s="234"/>
      <c r="D7" s="234"/>
      <c r="E7" s="234"/>
      <c r="F7" s="234"/>
      <c r="G7" s="234"/>
      <c r="H7" s="25"/>
      <c r="I7" s="25"/>
      <c r="J7" s="25"/>
      <c r="K7" s="25"/>
      <c r="L7" s="25"/>
      <c r="M7" s="233"/>
      <c r="N7" s="234"/>
      <c r="O7" s="234"/>
      <c r="P7" s="234"/>
    </row>
    <row r="8" spans="2:16384">
      <c r="B8" s="233" t="s">
        <v>179</v>
      </c>
      <c r="C8" s="25"/>
      <c r="D8" s="25"/>
      <c r="E8" s="235" vm="1">
        <f ca="1">'Information from Python'!F5</f>
        <v>213.49</v>
      </c>
      <c r="F8" s="234"/>
      <c r="G8" s="234" t="s">
        <v>180</v>
      </c>
      <c r="H8" s="236">
        <f>DCF!E6</f>
        <v>96773</v>
      </c>
      <c r="I8" s="236">
        <f>DCF!F6</f>
        <v>106450.3</v>
      </c>
      <c r="J8" s="25"/>
      <c r="K8" s="25"/>
      <c r="L8" s="25"/>
      <c r="M8" s="25" t="s">
        <v>181</v>
      </c>
      <c r="N8" s="237">
        <f>High_Share_Price</f>
        <v>280</v>
      </c>
      <c r="O8" s="25" t="s">
        <v>182</v>
      </c>
      <c r="P8" s="25"/>
    </row>
    <row r="9" spans="2:16384">
      <c r="B9" s="233" t="s">
        <v>183</v>
      </c>
      <c r="C9" s="25"/>
      <c r="D9" s="25"/>
      <c r="E9" s="238">
        <f>Shares_Outstanding / 1000000</f>
        <v>15171.99</v>
      </c>
      <c r="F9" s="234"/>
      <c r="G9" s="234" t="s">
        <v>184</v>
      </c>
      <c r="H9" s="236">
        <f>DCF!E15</f>
        <v>14796</v>
      </c>
      <c r="I9" s="236">
        <f>DCF!F15</f>
        <v>21407.782397665589</v>
      </c>
      <c r="J9" s="25"/>
      <c r="K9" s="25"/>
      <c r="L9" s="25"/>
      <c r="M9" s="25" t="s">
        <v>185</v>
      </c>
      <c r="N9" s="237">
        <f>Low_Share_Price</f>
        <v>120</v>
      </c>
      <c r="O9" s="25" t="s">
        <v>186</v>
      </c>
      <c r="P9" s="25"/>
    </row>
    <row r="10" spans="2:16384">
      <c r="B10" s="233" t="s">
        <v>187</v>
      </c>
      <c r="C10" s="233"/>
      <c r="D10" s="233"/>
      <c r="E10" s="239">
        <f ca="1">E8 * E9</f>
        <v>3239068.1451000003</v>
      </c>
      <c r="F10" s="234"/>
      <c r="G10" s="240" t="s">
        <v>188</v>
      </c>
      <c r="H10" s="241">
        <f ca="1">$E$13/H8</f>
        <v>33.276731579056147</v>
      </c>
      <c r="I10" s="241">
        <f ca="1">$E$13/I8</f>
        <v>30.251574162778311</v>
      </c>
      <c r="J10" s="25"/>
      <c r="K10" s="25"/>
      <c r="L10" s="25"/>
      <c r="M10" s="25"/>
      <c r="N10" s="25"/>
      <c r="O10" s="25"/>
      <c r="P10" s="25"/>
    </row>
    <row r="11" spans="2:16384">
      <c r="B11" s="233" t="s">
        <v>189</v>
      </c>
      <c r="C11" s="233"/>
      <c r="D11" s="233"/>
      <c r="E11" s="242">
        <f>'Balance Sheet Historic'!C62</f>
        <v>9573</v>
      </c>
      <c r="F11" s="234"/>
      <c r="G11" s="234" t="s">
        <v>190</v>
      </c>
      <c r="H11" s="241">
        <f ca="1">$E$13/H9</f>
        <v>217.64592762233039</v>
      </c>
      <c r="I11" s="241">
        <f ca="1">$E$13/I9</f>
        <v>150.42609670075666</v>
      </c>
      <c r="J11" s="25"/>
      <c r="K11" s="25"/>
      <c r="L11" s="25"/>
      <c r="M11" s="25"/>
      <c r="N11" s="25"/>
      <c r="O11" s="25"/>
      <c r="P11" s="25"/>
    </row>
    <row r="12" spans="2:16384">
      <c r="B12" s="233" t="s">
        <v>191</v>
      </c>
      <c r="C12" s="233"/>
      <c r="D12" s="233"/>
      <c r="E12" s="242">
        <f>'Balance Sheet Historic'!C53</f>
        <v>28352</v>
      </c>
      <c r="F12" s="234"/>
      <c r="G12" s="233"/>
      <c r="H12" s="234"/>
      <c r="I12" s="234"/>
      <c r="J12" s="25"/>
      <c r="K12" s="25"/>
      <c r="L12" s="25"/>
      <c r="M12" s="25"/>
      <c r="N12" s="25"/>
      <c r="O12" s="25"/>
      <c r="P12" s="25"/>
    </row>
    <row r="13" spans="2:16384">
      <c r="B13" s="243" t="s">
        <v>176</v>
      </c>
      <c r="C13" s="243"/>
      <c r="D13" s="243"/>
      <c r="E13" s="244">
        <f ca="1">E10+E11-E12</f>
        <v>3220289.1451000003</v>
      </c>
      <c r="F13" s="234"/>
      <c r="G13" s="234"/>
      <c r="H13" s="234"/>
      <c r="I13" s="234"/>
      <c r="J13" s="25"/>
      <c r="K13" s="25"/>
      <c r="L13" s="25"/>
      <c r="M13" s="25"/>
      <c r="N13" s="25"/>
      <c r="O13" s="25"/>
      <c r="P13" s="25"/>
    </row>
    <row r="14" spans="2:16384">
      <c r="B14" s="23"/>
      <c r="C14" s="23"/>
      <c r="D14" s="23"/>
      <c r="E14" s="23"/>
      <c r="F14" s="87"/>
      <c r="G14" s="87"/>
      <c r="H14" s="87"/>
      <c r="I14" s="87"/>
      <c r="J14" s="23"/>
      <c r="K14" s="23"/>
      <c r="L14" s="23"/>
      <c r="M14" s="23"/>
      <c r="N14" s="23"/>
      <c r="O14" s="23"/>
      <c r="P14" s="23"/>
    </row>
    <row r="15" spans="2:16384"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</row>
    <row r="17" spans="2:16384" ht="21" thickBot="1">
      <c r="B17" s="38" t="s">
        <v>204</v>
      </c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7"/>
      <c r="NK17" s="37"/>
      <c r="NL17" s="37"/>
      <c r="NM17" s="37"/>
      <c r="NN17" s="37"/>
      <c r="NO17" s="37"/>
      <c r="NP17" s="37"/>
      <c r="NQ17" s="37"/>
      <c r="NR17" s="37"/>
      <c r="NS17" s="37"/>
      <c r="NT17" s="37"/>
      <c r="NU17" s="37"/>
      <c r="NV17" s="37"/>
      <c r="NW17" s="37"/>
      <c r="NX17" s="37"/>
      <c r="NY17" s="37"/>
      <c r="NZ17" s="37"/>
      <c r="OA17" s="37"/>
      <c r="OB17" s="37"/>
      <c r="OC17" s="37"/>
      <c r="OD17" s="37"/>
      <c r="OE17" s="37"/>
      <c r="OF17" s="37"/>
      <c r="OG17" s="37"/>
      <c r="OH17" s="37"/>
      <c r="OI17" s="37"/>
      <c r="OJ17" s="37"/>
      <c r="OK17" s="37"/>
      <c r="OL17" s="37"/>
      <c r="OM17" s="37"/>
      <c r="ON17" s="37"/>
      <c r="OO17" s="37"/>
      <c r="OP17" s="37"/>
      <c r="OQ17" s="37"/>
      <c r="OR17" s="37"/>
      <c r="OS17" s="37"/>
      <c r="OT17" s="37"/>
      <c r="OU17" s="37"/>
      <c r="OV17" s="37"/>
      <c r="OW17" s="37"/>
      <c r="OX17" s="37"/>
      <c r="OY17" s="37"/>
      <c r="OZ17" s="37"/>
      <c r="PA17" s="37"/>
      <c r="PB17" s="37"/>
      <c r="PC17" s="37"/>
      <c r="PD17" s="37"/>
      <c r="PE17" s="37"/>
      <c r="PF17" s="37"/>
      <c r="PG17" s="37"/>
      <c r="PH17" s="37"/>
      <c r="PI17" s="37"/>
      <c r="PJ17" s="37"/>
      <c r="PK17" s="37"/>
      <c r="PL17" s="37"/>
      <c r="PM17" s="37"/>
      <c r="PN17" s="37"/>
      <c r="PO17" s="37"/>
      <c r="PP17" s="37"/>
      <c r="PQ17" s="37"/>
      <c r="PR17" s="37"/>
      <c r="PS17" s="37"/>
      <c r="PT17" s="37"/>
      <c r="PU17" s="37"/>
      <c r="PV17" s="37"/>
      <c r="PW17" s="37"/>
      <c r="PX17" s="37"/>
      <c r="PY17" s="37"/>
      <c r="PZ17" s="37"/>
      <c r="QA17" s="37"/>
      <c r="QB17" s="37"/>
      <c r="QC17" s="37"/>
      <c r="QD17" s="37"/>
      <c r="QE17" s="37"/>
      <c r="QF17" s="37"/>
      <c r="QG17" s="37"/>
      <c r="QH17" s="37"/>
      <c r="QI17" s="37"/>
      <c r="QJ17" s="37"/>
      <c r="QK17" s="37"/>
      <c r="QL17" s="37"/>
      <c r="QM17" s="37"/>
      <c r="QN17" s="37"/>
      <c r="QO17" s="37"/>
      <c r="QP17" s="37"/>
      <c r="QQ17" s="37"/>
      <c r="QR17" s="37"/>
      <c r="QS17" s="37"/>
      <c r="QT17" s="37"/>
      <c r="QU17" s="37"/>
      <c r="QV17" s="37"/>
      <c r="QW17" s="37"/>
      <c r="QX17" s="37"/>
      <c r="QY17" s="37"/>
      <c r="QZ17" s="37"/>
      <c r="RA17" s="37"/>
      <c r="RB17" s="37"/>
      <c r="RC17" s="37"/>
      <c r="RD17" s="37"/>
      <c r="RE17" s="37"/>
      <c r="RF17" s="37"/>
      <c r="RG17" s="37"/>
      <c r="RH17" s="37"/>
      <c r="RI17" s="37"/>
      <c r="RJ17" s="37"/>
      <c r="RK17" s="37"/>
      <c r="RL17" s="37"/>
      <c r="RM17" s="37"/>
      <c r="RN17" s="37"/>
      <c r="RO17" s="37"/>
      <c r="RP17" s="37"/>
      <c r="RQ17" s="37"/>
      <c r="RR17" s="37"/>
      <c r="RS17" s="37"/>
      <c r="RT17" s="37"/>
      <c r="RU17" s="37"/>
      <c r="RV17" s="37"/>
      <c r="RW17" s="37"/>
      <c r="RX17" s="37"/>
      <c r="RY17" s="37"/>
      <c r="RZ17" s="37"/>
      <c r="SA17" s="37"/>
      <c r="SB17" s="37"/>
      <c r="SC17" s="37"/>
      <c r="SD17" s="37"/>
      <c r="SE17" s="37"/>
      <c r="SF17" s="37"/>
      <c r="SG17" s="37"/>
      <c r="SH17" s="37"/>
      <c r="SI17" s="37"/>
      <c r="SJ17" s="37"/>
      <c r="SK17" s="37"/>
      <c r="SL17" s="37"/>
      <c r="SM17" s="37"/>
      <c r="SN17" s="37"/>
      <c r="SO17" s="37"/>
      <c r="SP17" s="37"/>
      <c r="SQ17" s="37"/>
      <c r="SR17" s="37"/>
      <c r="SS17" s="37"/>
      <c r="ST17" s="37"/>
      <c r="SU17" s="37"/>
      <c r="SV17" s="37"/>
      <c r="SW17" s="37"/>
      <c r="SX17" s="37"/>
      <c r="SY17" s="37"/>
      <c r="SZ17" s="37"/>
      <c r="TA17" s="37"/>
      <c r="TB17" s="37"/>
      <c r="TC17" s="37"/>
      <c r="TD17" s="37"/>
      <c r="TE17" s="37"/>
      <c r="TF17" s="37"/>
      <c r="TG17" s="37"/>
      <c r="TH17" s="37"/>
      <c r="TI17" s="37"/>
      <c r="TJ17" s="37"/>
      <c r="TK17" s="37"/>
      <c r="TL17" s="37"/>
      <c r="TM17" s="37"/>
      <c r="TN17" s="37"/>
      <c r="TO17" s="37"/>
      <c r="TP17" s="37"/>
      <c r="TQ17" s="37"/>
      <c r="TR17" s="37"/>
      <c r="TS17" s="37"/>
      <c r="TT17" s="37"/>
      <c r="TU17" s="37"/>
      <c r="TV17" s="37"/>
      <c r="TW17" s="37"/>
      <c r="TX17" s="37"/>
      <c r="TY17" s="37"/>
      <c r="TZ17" s="37"/>
      <c r="UA17" s="37"/>
      <c r="UB17" s="37"/>
      <c r="UC17" s="37"/>
      <c r="UD17" s="37"/>
      <c r="UE17" s="37"/>
      <c r="UF17" s="37"/>
      <c r="UG17" s="37"/>
      <c r="UH17" s="37"/>
      <c r="UI17" s="37"/>
      <c r="UJ17" s="37"/>
      <c r="UK17" s="37"/>
      <c r="UL17" s="37"/>
      <c r="UM17" s="37"/>
      <c r="UN17" s="37"/>
      <c r="UO17" s="37"/>
      <c r="UP17" s="37"/>
      <c r="UQ17" s="37"/>
      <c r="UR17" s="37"/>
      <c r="US17" s="37"/>
      <c r="UT17" s="37"/>
      <c r="UU17" s="37"/>
      <c r="UV17" s="37"/>
      <c r="UW17" s="37"/>
      <c r="UX17" s="37"/>
      <c r="UY17" s="37"/>
      <c r="UZ17" s="37"/>
      <c r="VA17" s="37"/>
      <c r="VB17" s="37"/>
      <c r="VC17" s="37"/>
      <c r="VD17" s="37"/>
      <c r="VE17" s="37"/>
      <c r="VF17" s="37"/>
      <c r="VG17" s="37"/>
      <c r="VH17" s="37"/>
      <c r="VI17" s="37"/>
      <c r="VJ17" s="37"/>
      <c r="VK17" s="37"/>
      <c r="VL17" s="37"/>
      <c r="VM17" s="37"/>
      <c r="VN17" s="37"/>
      <c r="VO17" s="37"/>
      <c r="VP17" s="37"/>
      <c r="VQ17" s="37"/>
      <c r="VR17" s="37"/>
      <c r="VS17" s="37"/>
      <c r="VT17" s="37"/>
      <c r="VU17" s="37"/>
      <c r="VV17" s="37"/>
      <c r="VW17" s="37"/>
      <c r="VX17" s="37"/>
      <c r="VY17" s="37"/>
      <c r="VZ17" s="37"/>
      <c r="WA17" s="37"/>
      <c r="WB17" s="37"/>
      <c r="WC17" s="37"/>
      <c r="WD17" s="37"/>
      <c r="WE17" s="37"/>
      <c r="WF17" s="37"/>
      <c r="WG17" s="37"/>
      <c r="WH17" s="37"/>
      <c r="WI17" s="37"/>
      <c r="WJ17" s="37"/>
      <c r="WK17" s="37"/>
      <c r="WL17" s="37"/>
      <c r="WM17" s="37"/>
      <c r="WN17" s="37"/>
      <c r="WO17" s="37"/>
      <c r="WP17" s="37"/>
      <c r="WQ17" s="37"/>
      <c r="WR17" s="37"/>
      <c r="WS17" s="37"/>
      <c r="WT17" s="37"/>
      <c r="WU17" s="37"/>
      <c r="WV17" s="37"/>
      <c r="WW17" s="37"/>
      <c r="WX17" s="37"/>
      <c r="WY17" s="37"/>
      <c r="WZ17" s="37"/>
      <c r="XA17" s="37"/>
      <c r="XB17" s="37"/>
      <c r="XC17" s="37"/>
      <c r="XD17" s="37"/>
      <c r="XE17" s="37"/>
      <c r="XF17" s="37"/>
      <c r="XG17" s="37"/>
      <c r="XH17" s="37"/>
      <c r="XI17" s="37"/>
      <c r="XJ17" s="37"/>
      <c r="XK17" s="37"/>
      <c r="XL17" s="37"/>
      <c r="XM17" s="37"/>
      <c r="XN17" s="37"/>
      <c r="XO17" s="37"/>
      <c r="XP17" s="37"/>
      <c r="XQ17" s="37"/>
      <c r="XR17" s="37"/>
      <c r="XS17" s="37"/>
      <c r="XT17" s="37"/>
      <c r="XU17" s="37"/>
      <c r="XV17" s="37"/>
      <c r="XW17" s="37"/>
      <c r="XX17" s="37"/>
      <c r="XY17" s="37"/>
      <c r="XZ17" s="37"/>
      <c r="YA17" s="37"/>
      <c r="YB17" s="37"/>
      <c r="YC17" s="37"/>
      <c r="YD17" s="37"/>
      <c r="YE17" s="37"/>
      <c r="YF17" s="37"/>
      <c r="YG17" s="37"/>
      <c r="YH17" s="37"/>
      <c r="YI17" s="37"/>
      <c r="YJ17" s="37"/>
      <c r="YK17" s="37"/>
      <c r="YL17" s="37"/>
      <c r="YM17" s="37"/>
      <c r="YN17" s="37"/>
      <c r="YO17" s="37"/>
      <c r="YP17" s="37"/>
      <c r="YQ17" s="37"/>
      <c r="YR17" s="37"/>
      <c r="YS17" s="37"/>
      <c r="YT17" s="37"/>
      <c r="YU17" s="37"/>
      <c r="YV17" s="37"/>
      <c r="YW17" s="37"/>
      <c r="YX17" s="37"/>
      <c r="YY17" s="37"/>
      <c r="YZ17" s="37"/>
      <c r="ZA17" s="37"/>
      <c r="ZB17" s="37"/>
      <c r="ZC17" s="37"/>
      <c r="ZD17" s="37"/>
      <c r="ZE17" s="37"/>
      <c r="ZF17" s="37"/>
      <c r="ZG17" s="37"/>
      <c r="ZH17" s="37"/>
      <c r="ZI17" s="37"/>
      <c r="ZJ17" s="37"/>
      <c r="ZK17" s="37"/>
      <c r="ZL17" s="37"/>
      <c r="ZM17" s="37"/>
      <c r="ZN17" s="37"/>
      <c r="ZO17" s="37"/>
      <c r="ZP17" s="37"/>
      <c r="ZQ17" s="37"/>
      <c r="ZR17" s="37"/>
      <c r="ZS17" s="37"/>
      <c r="ZT17" s="37"/>
      <c r="ZU17" s="37"/>
      <c r="ZV17" s="37"/>
      <c r="ZW17" s="37"/>
      <c r="ZX17" s="37"/>
      <c r="ZY17" s="37"/>
      <c r="ZZ17" s="37"/>
      <c r="AAA17" s="37"/>
      <c r="AAB17" s="37"/>
      <c r="AAC17" s="37"/>
      <c r="AAD17" s="37"/>
      <c r="AAE17" s="37"/>
      <c r="AAF17" s="37"/>
      <c r="AAG17" s="37"/>
      <c r="AAH17" s="37"/>
      <c r="AAI17" s="37"/>
      <c r="AAJ17" s="37"/>
      <c r="AAK17" s="37"/>
      <c r="AAL17" s="37"/>
      <c r="AAM17" s="37"/>
      <c r="AAN17" s="37"/>
      <c r="AAO17" s="37"/>
      <c r="AAP17" s="37"/>
      <c r="AAQ17" s="37"/>
      <c r="AAR17" s="37"/>
      <c r="AAS17" s="37"/>
      <c r="AAT17" s="37"/>
      <c r="AAU17" s="37"/>
      <c r="AAV17" s="37"/>
      <c r="AAW17" s="37"/>
      <c r="AAX17" s="37"/>
      <c r="AAY17" s="37"/>
      <c r="AAZ17" s="37"/>
      <c r="ABA17" s="37"/>
      <c r="ABB17" s="37"/>
      <c r="ABC17" s="37"/>
      <c r="ABD17" s="37"/>
      <c r="ABE17" s="37"/>
      <c r="ABF17" s="37"/>
      <c r="ABG17" s="37"/>
      <c r="ABH17" s="37"/>
      <c r="ABI17" s="37"/>
      <c r="ABJ17" s="37"/>
      <c r="ABK17" s="37"/>
      <c r="ABL17" s="37"/>
      <c r="ABM17" s="37"/>
      <c r="ABN17" s="37"/>
      <c r="ABO17" s="37"/>
      <c r="ABP17" s="37"/>
      <c r="ABQ17" s="37"/>
      <c r="ABR17" s="37"/>
      <c r="ABS17" s="37"/>
      <c r="ABT17" s="37"/>
      <c r="ABU17" s="37"/>
      <c r="ABV17" s="37"/>
      <c r="ABW17" s="37"/>
      <c r="ABX17" s="37"/>
      <c r="ABY17" s="37"/>
      <c r="ABZ17" s="37"/>
      <c r="ACA17" s="37"/>
      <c r="ACB17" s="37"/>
      <c r="ACC17" s="37"/>
      <c r="ACD17" s="37"/>
      <c r="ACE17" s="37"/>
      <c r="ACF17" s="37"/>
      <c r="ACG17" s="37"/>
      <c r="ACH17" s="37"/>
      <c r="ACI17" s="37"/>
      <c r="ACJ17" s="37"/>
      <c r="ACK17" s="37"/>
      <c r="ACL17" s="37"/>
      <c r="ACM17" s="37"/>
      <c r="ACN17" s="37"/>
      <c r="ACO17" s="37"/>
      <c r="ACP17" s="37"/>
      <c r="ACQ17" s="37"/>
      <c r="ACR17" s="37"/>
      <c r="ACS17" s="37"/>
      <c r="ACT17" s="37"/>
      <c r="ACU17" s="37"/>
      <c r="ACV17" s="37"/>
      <c r="ACW17" s="37"/>
      <c r="ACX17" s="37"/>
      <c r="ACY17" s="37"/>
      <c r="ACZ17" s="37"/>
      <c r="ADA17" s="37"/>
      <c r="ADB17" s="37"/>
      <c r="ADC17" s="37"/>
      <c r="ADD17" s="37"/>
      <c r="ADE17" s="37"/>
      <c r="ADF17" s="37"/>
      <c r="ADG17" s="37"/>
      <c r="ADH17" s="37"/>
      <c r="ADI17" s="37"/>
      <c r="ADJ17" s="37"/>
      <c r="ADK17" s="37"/>
      <c r="ADL17" s="37"/>
      <c r="ADM17" s="37"/>
      <c r="ADN17" s="37"/>
      <c r="ADO17" s="37"/>
      <c r="ADP17" s="37"/>
      <c r="ADQ17" s="37"/>
      <c r="ADR17" s="37"/>
      <c r="ADS17" s="37"/>
      <c r="ADT17" s="37"/>
      <c r="ADU17" s="37"/>
      <c r="ADV17" s="37"/>
      <c r="ADW17" s="37"/>
      <c r="ADX17" s="37"/>
      <c r="ADY17" s="37"/>
      <c r="ADZ17" s="37"/>
      <c r="AEA17" s="37"/>
      <c r="AEB17" s="37"/>
      <c r="AEC17" s="37"/>
      <c r="AED17" s="37"/>
      <c r="AEE17" s="37"/>
      <c r="AEF17" s="37"/>
      <c r="AEG17" s="37"/>
      <c r="AEH17" s="37"/>
      <c r="AEI17" s="37"/>
      <c r="AEJ17" s="37"/>
      <c r="AEK17" s="37"/>
      <c r="AEL17" s="37"/>
      <c r="AEM17" s="37"/>
      <c r="AEN17" s="37"/>
      <c r="AEO17" s="37"/>
      <c r="AEP17" s="37"/>
      <c r="AEQ17" s="37"/>
      <c r="AER17" s="37"/>
      <c r="AES17" s="37"/>
      <c r="AET17" s="37"/>
      <c r="AEU17" s="37"/>
      <c r="AEV17" s="37"/>
      <c r="AEW17" s="37"/>
      <c r="AEX17" s="37"/>
      <c r="AEY17" s="37"/>
      <c r="AEZ17" s="37"/>
      <c r="AFA17" s="37"/>
      <c r="AFB17" s="37"/>
      <c r="AFC17" s="37"/>
      <c r="AFD17" s="37"/>
      <c r="AFE17" s="37"/>
      <c r="AFF17" s="37"/>
      <c r="AFG17" s="37"/>
      <c r="AFH17" s="37"/>
      <c r="AFI17" s="37"/>
      <c r="AFJ17" s="37"/>
      <c r="AFK17" s="37"/>
      <c r="AFL17" s="37"/>
      <c r="AFM17" s="37"/>
      <c r="AFN17" s="37"/>
      <c r="AFO17" s="37"/>
      <c r="AFP17" s="37"/>
      <c r="AFQ17" s="37"/>
      <c r="AFR17" s="37"/>
      <c r="AFS17" s="37"/>
      <c r="AFT17" s="37"/>
      <c r="AFU17" s="37"/>
      <c r="AFV17" s="37"/>
      <c r="AFW17" s="37"/>
      <c r="AFX17" s="37"/>
      <c r="AFY17" s="37"/>
      <c r="AFZ17" s="37"/>
      <c r="AGA17" s="37"/>
      <c r="AGB17" s="37"/>
      <c r="AGC17" s="37"/>
      <c r="AGD17" s="37"/>
      <c r="AGE17" s="37"/>
      <c r="AGF17" s="37"/>
      <c r="AGG17" s="37"/>
      <c r="AGH17" s="37"/>
      <c r="AGI17" s="37"/>
      <c r="AGJ17" s="37"/>
      <c r="AGK17" s="37"/>
      <c r="AGL17" s="37"/>
      <c r="AGM17" s="37"/>
      <c r="AGN17" s="37"/>
      <c r="AGO17" s="37"/>
      <c r="AGP17" s="37"/>
      <c r="AGQ17" s="37"/>
      <c r="AGR17" s="37"/>
      <c r="AGS17" s="37"/>
      <c r="AGT17" s="37"/>
      <c r="AGU17" s="37"/>
      <c r="AGV17" s="37"/>
      <c r="AGW17" s="37"/>
      <c r="AGX17" s="37"/>
      <c r="AGY17" s="37"/>
      <c r="AGZ17" s="37"/>
      <c r="AHA17" s="37"/>
      <c r="AHB17" s="37"/>
      <c r="AHC17" s="37"/>
      <c r="AHD17" s="37"/>
      <c r="AHE17" s="37"/>
      <c r="AHF17" s="37"/>
      <c r="AHG17" s="37"/>
      <c r="AHH17" s="37"/>
      <c r="AHI17" s="37"/>
      <c r="AHJ17" s="37"/>
      <c r="AHK17" s="37"/>
      <c r="AHL17" s="37"/>
      <c r="AHM17" s="37"/>
      <c r="AHN17" s="37"/>
      <c r="AHO17" s="37"/>
      <c r="AHP17" s="37"/>
      <c r="AHQ17" s="37"/>
      <c r="AHR17" s="37"/>
      <c r="AHS17" s="37"/>
      <c r="AHT17" s="37"/>
      <c r="AHU17" s="37"/>
      <c r="AHV17" s="37"/>
      <c r="AHW17" s="37"/>
      <c r="AHX17" s="37"/>
      <c r="AHY17" s="37"/>
      <c r="AHZ17" s="37"/>
      <c r="AIA17" s="37"/>
      <c r="AIB17" s="37"/>
      <c r="AIC17" s="37"/>
      <c r="AID17" s="37"/>
      <c r="AIE17" s="37"/>
      <c r="AIF17" s="37"/>
      <c r="AIG17" s="37"/>
      <c r="AIH17" s="37"/>
      <c r="AII17" s="37"/>
      <c r="AIJ17" s="37"/>
      <c r="AIK17" s="37"/>
      <c r="AIL17" s="37"/>
      <c r="AIM17" s="37"/>
      <c r="AIN17" s="37"/>
      <c r="AIO17" s="37"/>
      <c r="AIP17" s="37"/>
      <c r="AIQ17" s="37"/>
      <c r="AIR17" s="37"/>
      <c r="AIS17" s="37"/>
      <c r="AIT17" s="37"/>
      <c r="AIU17" s="37"/>
      <c r="AIV17" s="37"/>
      <c r="AIW17" s="37"/>
      <c r="AIX17" s="37"/>
      <c r="AIY17" s="37"/>
      <c r="AIZ17" s="37"/>
      <c r="AJA17" s="37"/>
      <c r="AJB17" s="37"/>
      <c r="AJC17" s="37"/>
      <c r="AJD17" s="37"/>
      <c r="AJE17" s="37"/>
      <c r="AJF17" s="37"/>
      <c r="AJG17" s="37"/>
      <c r="AJH17" s="37"/>
      <c r="AJI17" s="37"/>
      <c r="AJJ17" s="37"/>
      <c r="AJK17" s="37"/>
      <c r="AJL17" s="37"/>
      <c r="AJM17" s="37"/>
      <c r="AJN17" s="37"/>
      <c r="AJO17" s="37"/>
      <c r="AJP17" s="37"/>
      <c r="AJQ17" s="37"/>
      <c r="AJR17" s="37"/>
      <c r="AJS17" s="37"/>
      <c r="AJT17" s="37"/>
      <c r="AJU17" s="37"/>
      <c r="AJV17" s="37"/>
      <c r="AJW17" s="37"/>
      <c r="AJX17" s="37"/>
      <c r="AJY17" s="37"/>
      <c r="AJZ17" s="37"/>
      <c r="AKA17" s="37"/>
      <c r="AKB17" s="37"/>
      <c r="AKC17" s="37"/>
      <c r="AKD17" s="37"/>
      <c r="AKE17" s="37"/>
      <c r="AKF17" s="37"/>
      <c r="AKG17" s="37"/>
      <c r="AKH17" s="37"/>
      <c r="AKI17" s="37"/>
      <c r="AKJ17" s="37"/>
      <c r="AKK17" s="37"/>
      <c r="AKL17" s="37"/>
      <c r="AKM17" s="37"/>
      <c r="AKN17" s="37"/>
      <c r="AKO17" s="37"/>
      <c r="AKP17" s="37"/>
      <c r="AKQ17" s="37"/>
      <c r="AKR17" s="37"/>
      <c r="AKS17" s="37"/>
      <c r="AKT17" s="37"/>
      <c r="AKU17" s="37"/>
      <c r="AKV17" s="37"/>
      <c r="AKW17" s="37"/>
      <c r="AKX17" s="37"/>
      <c r="AKY17" s="37"/>
      <c r="AKZ17" s="37"/>
      <c r="ALA17" s="37"/>
      <c r="ALB17" s="37"/>
      <c r="ALC17" s="37"/>
      <c r="ALD17" s="37"/>
      <c r="ALE17" s="37"/>
      <c r="ALF17" s="37"/>
      <c r="ALG17" s="37"/>
      <c r="ALH17" s="37"/>
      <c r="ALI17" s="37"/>
      <c r="ALJ17" s="37"/>
      <c r="ALK17" s="37"/>
      <c r="ALL17" s="37"/>
      <c r="ALM17" s="37"/>
      <c r="ALN17" s="37"/>
      <c r="ALO17" s="37"/>
      <c r="ALP17" s="37"/>
      <c r="ALQ17" s="37"/>
      <c r="ALR17" s="37"/>
      <c r="ALS17" s="37"/>
      <c r="ALT17" s="37"/>
      <c r="ALU17" s="37"/>
      <c r="ALV17" s="37"/>
      <c r="ALW17" s="37"/>
      <c r="ALX17" s="37"/>
      <c r="ALY17" s="37"/>
      <c r="ALZ17" s="37"/>
      <c r="AMA17" s="37"/>
      <c r="AMB17" s="37"/>
      <c r="AMC17" s="37"/>
      <c r="AMD17" s="37"/>
      <c r="AME17" s="37"/>
      <c r="AMF17" s="37"/>
      <c r="AMG17" s="37"/>
      <c r="AMH17" s="37"/>
      <c r="AMI17" s="37"/>
      <c r="AMJ17" s="37"/>
      <c r="AMK17" s="37"/>
      <c r="AML17" s="37"/>
      <c r="AMM17" s="37"/>
      <c r="AMN17" s="37"/>
      <c r="AMO17" s="37"/>
      <c r="AMP17" s="37"/>
      <c r="AMQ17" s="37"/>
      <c r="AMR17" s="37"/>
      <c r="AMS17" s="37"/>
      <c r="AMT17" s="37"/>
      <c r="AMU17" s="37"/>
      <c r="AMV17" s="37"/>
      <c r="AMW17" s="37"/>
      <c r="AMX17" s="37"/>
      <c r="AMY17" s="37"/>
      <c r="AMZ17" s="37"/>
      <c r="ANA17" s="37"/>
      <c r="ANB17" s="37"/>
      <c r="ANC17" s="37"/>
      <c r="AND17" s="37"/>
      <c r="ANE17" s="37"/>
      <c r="ANF17" s="37"/>
      <c r="ANG17" s="37"/>
      <c r="ANH17" s="37"/>
      <c r="ANI17" s="37"/>
      <c r="ANJ17" s="37"/>
      <c r="ANK17" s="37"/>
      <c r="ANL17" s="37"/>
      <c r="ANM17" s="37"/>
      <c r="ANN17" s="37"/>
      <c r="ANO17" s="37"/>
      <c r="ANP17" s="37"/>
      <c r="ANQ17" s="37"/>
      <c r="ANR17" s="37"/>
      <c r="ANS17" s="37"/>
      <c r="ANT17" s="37"/>
      <c r="ANU17" s="37"/>
      <c r="ANV17" s="37"/>
      <c r="ANW17" s="37"/>
      <c r="ANX17" s="37"/>
      <c r="ANY17" s="37"/>
      <c r="ANZ17" s="37"/>
      <c r="AOA17" s="37"/>
      <c r="AOB17" s="37"/>
      <c r="AOC17" s="37"/>
      <c r="AOD17" s="37"/>
      <c r="AOE17" s="37"/>
      <c r="AOF17" s="37"/>
      <c r="AOG17" s="37"/>
      <c r="AOH17" s="37"/>
      <c r="AOI17" s="37"/>
      <c r="AOJ17" s="37"/>
      <c r="AOK17" s="37"/>
      <c r="AOL17" s="37"/>
      <c r="AOM17" s="37"/>
      <c r="AON17" s="37"/>
      <c r="AOO17" s="37"/>
      <c r="AOP17" s="37"/>
      <c r="AOQ17" s="37"/>
      <c r="AOR17" s="37"/>
      <c r="AOS17" s="37"/>
      <c r="AOT17" s="37"/>
      <c r="AOU17" s="37"/>
      <c r="AOV17" s="37"/>
      <c r="AOW17" s="37"/>
      <c r="AOX17" s="37"/>
      <c r="AOY17" s="37"/>
      <c r="AOZ17" s="37"/>
      <c r="APA17" s="37"/>
      <c r="APB17" s="37"/>
      <c r="APC17" s="37"/>
      <c r="APD17" s="37"/>
      <c r="APE17" s="37"/>
      <c r="APF17" s="37"/>
      <c r="APG17" s="37"/>
      <c r="APH17" s="37"/>
      <c r="API17" s="37"/>
      <c r="APJ17" s="37"/>
      <c r="APK17" s="37"/>
      <c r="APL17" s="37"/>
      <c r="APM17" s="37"/>
      <c r="APN17" s="37"/>
      <c r="APO17" s="37"/>
      <c r="APP17" s="37"/>
      <c r="APQ17" s="37"/>
      <c r="APR17" s="37"/>
      <c r="APS17" s="37"/>
      <c r="APT17" s="37"/>
      <c r="APU17" s="37"/>
      <c r="APV17" s="37"/>
      <c r="APW17" s="37"/>
      <c r="APX17" s="37"/>
      <c r="APY17" s="37"/>
      <c r="APZ17" s="37"/>
      <c r="AQA17" s="37"/>
      <c r="AQB17" s="37"/>
      <c r="AQC17" s="37"/>
      <c r="AQD17" s="37"/>
      <c r="AQE17" s="37"/>
      <c r="AQF17" s="37"/>
      <c r="AQG17" s="37"/>
      <c r="AQH17" s="37"/>
      <c r="AQI17" s="37"/>
      <c r="AQJ17" s="37"/>
      <c r="AQK17" s="37"/>
      <c r="AQL17" s="37"/>
      <c r="AQM17" s="37"/>
      <c r="AQN17" s="37"/>
      <c r="AQO17" s="37"/>
      <c r="AQP17" s="37"/>
      <c r="AQQ17" s="37"/>
      <c r="AQR17" s="37"/>
      <c r="AQS17" s="37"/>
      <c r="AQT17" s="37"/>
      <c r="AQU17" s="37"/>
      <c r="AQV17" s="37"/>
      <c r="AQW17" s="37"/>
      <c r="AQX17" s="37"/>
      <c r="AQY17" s="37"/>
      <c r="AQZ17" s="37"/>
      <c r="ARA17" s="37"/>
      <c r="ARB17" s="37"/>
      <c r="ARC17" s="37"/>
      <c r="ARD17" s="37"/>
      <c r="ARE17" s="37"/>
      <c r="ARF17" s="37"/>
      <c r="ARG17" s="37"/>
      <c r="ARH17" s="37"/>
      <c r="ARI17" s="37"/>
      <c r="ARJ17" s="37"/>
      <c r="ARK17" s="37"/>
      <c r="ARL17" s="37"/>
      <c r="ARM17" s="37"/>
      <c r="ARN17" s="37"/>
      <c r="ARO17" s="37"/>
      <c r="ARP17" s="37"/>
      <c r="ARQ17" s="37"/>
      <c r="ARR17" s="37"/>
      <c r="ARS17" s="37"/>
      <c r="ART17" s="37"/>
      <c r="ARU17" s="37"/>
      <c r="ARV17" s="37"/>
      <c r="ARW17" s="37"/>
      <c r="ARX17" s="37"/>
      <c r="ARY17" s="37"/>
      <c r="ARZ17" s="37"/>
      <c r="ASA17" s="37"/>
      <c r="ASB17" s="37"/>
      <c r="ASC17" s="37"/>
      <c r="ASD17" s="37"/>
      <c r="ASE17" s="37"/>
      <c r="ASF17" s="37"/>
      <c r="ASG17" s="37"/>
      <c r="ASH17" s="37"/>
      <c r="ASI17" s="37"/>
      <c r="ASJ17" s="37"/>
      <c r="ASK17" s="37"/>
      <c r="ASL17" s="37"/>
      <c r="ASM17" s="37"/>
      <c r="ASN17" s="37"/>
      <c r="ASO17" s="37"/>
      <c r="ASP17" s="37"/>
      <c r="ASQ17" s="37"/>
      <c r="ASR17" s="37"/>
      <c r="ASS17" s="37"/>
      <c r="AST17" s="37"/>
      <c r="ASU17" s="37"/>
      <c r="ASV17" s="37"/>
      <c r="ASW17" s="37"/>
      <c r="ASX17" s="37"/>
      <c r="ASY17" s="37"/>
      <c r="ASZ17" s="37"/>
      <c r="ATA17" s="37"/>
      <c r="ATB17" s="37"/>
      <c r="ATC17" s="37"/>
      <c r="ATD17" s="37"/>
      <c r="ATE17" s="37"/>
      <c r="ATF17" s="37"/>
      <c r="ATG17" s="37"/>
      <c r="ATH17" s="37"/>
      <c r="ATI17" s="37"/>
      <c r="ATJ17" s="37"/>
      <c r="ATK17" s="37"/>
      <c r="ATL17" s="37"/>
      <c r="ATM17" s="37"/>
      <c r="ATN17" s="37"/>
      <c r="ATO17" s="37"/>
      <c r="ATP17" s="37"/>
      <c r="ATQ17" s="37"/>
      <c r="ATR17" s="37"/>
      <c r="ATS17" s="37"/>
      <c r="ATT17" s="37"/>
      <c r="ATU17" s="37"/>
      <c r="ATV17" s="37"/>
      <c r="ATW17" s="37"/>
      <c r="ATX17" s="37"/>
      <c r="ATY17" s="37"/>
      <c r="ATZ17" s="37"/>
      <c r="AUA17" s="37"/>
      <c r="AUB17" s="37"/>
      <c r="AUC17" s="37"/>
      <c r="AUD17" s="37"/>
      <c r="AUE17" s="37"/>
      <c r="AUF17" s="37"/>
      <c r="AUG17" s="37"/>
      <c r="AUH17" s="37"/>
      <c r="AUI17" s="37"/>
      <c r="AUJ17" s="37"/>
      <c r="AUK17" s="37"/>
      <c r="AUL17" s="37"/>
      <c r="AUM17" s="37"/>
      <c r="AUN17" s="37"/>
      <c r="AUO17" s="37"/>
      <c r="AUP17" s="37"/>
      <c r="AUQ17" s="37"/>
      <c r="AUR17" s="37"/>
      <c r="AUS17" s="37"/>
      <c r="AUT17" s="37"/>
      <c r="AUU17" s="37"/>
      <c r="AUV17" s="37"/>
      <c r="AUW17" s="37"/>
      <c r="AUX17" s="37"/>
      <c r="AUY17" s="37"/>
      <c r="AUZ17" s="37"/>
      <c r="AVA17" s="37"/>
      <c r="AVB17" s="37"/>
      <c r="AVC17" s="37"/>
      <c r="AVD17" s="37"/>
      <c r="AVE17" s="37"/>
      <c r="AVF17" s="37"/>
      <c r="AVG17" s="37"/>
      <c r="AVH17" s="37"/>
      <c r="AVI17" s="37"/>
      <c r="AVJ17" s="37"/>
      <c r="AVK17" s="37"/>
      <c r="AVL17" s="37"/>
      <c r="AVM17" s="37"/>
      <c r="AVN17" s="37"/>
      <c r="AVO17" s="37"/>
      <c r="AVP17" s="37"/>
      <c r="AVQ17" s="37"/>
      <c r="AVR17" s="37"/>
      <c r="AVS17" s="37"/>
      <c r="AVT17" s="37"/>
      <c r="AVU17" s="37"/>
      <c r="AVV17" s="37"/>
      <c r="AVW17" s="37"/>
      <c r="AVX17" s="37"/>
      <c r="AVY17" s="37"/>
      <c r="AVZ17" s="37"/>
      <c r="AWA17" s="37"/>
      <c r="AWB17" s="37"/>
      <c r="AWC17" s="37"/>
      <c r="AWD17" s="37"/>
      <c r="AWE17" s="37"/>
      <c r="AWF17" s="37"/>
      <c r="AWG17" s="37"/>
      <c r="AWH17" s="37"/>
      <c r="AWI17" s="37"/>
      <c r="AWJ17" s="37"/>
      <c r="AWK17" s="37"/>
      <c r="AWL17" s="37"/>
      <c r="AWM17" s="37"/>
      <c r="AWN17" s="37"/>
      <c r="AWO17" s="37"/>
      <c r="AWP17" s="37"/>
      <c r="AWQ17" s="37"/>
      <c r="AWR17" s="37"/>
      <c r="AWS17" s="37"/>
      <c r="AWT17" s="37"/>
      <c r="AWU17" s="37"/>
      <c r="AWV17" s="37"/>
      <c r="AWW17" s="37"/>
      <c r="AWX17" s="37"/>
      <c r="AWY17" s="37"/>
      <c r="AWZ17" s="37"/>
      <c r="AXA17" s="37"/>
      <c r="AXB17" s="37"/>
      <c r="AXC17" s="37"/>
      <c r="AXD17" s="37"/>
      <c r="AXE17" s="37"/>
      <c r="AXF17" s="37"/>
      <c r="AXG17" s="37"/>
      <c r="AXH17" s="37"/>
      <c r="AXI17" s="37"/>
      <c r="AXJ17" s="37"/>
      <c r="AXK17" s="37"/>
      <c r="AXL17" s="37"/>
      <c r="AXM17" s="37"/>
      <c r="AXN17" s="37"/>
      <c r="AXO17" s="37"/>
      <c r="AXP17" s="37"/>
      <c r="AXQ17" s="37"/>
      <c r="AXR17" s="37"/>
      <c r="AXS17" s="37"/>
      <c r="AXT17" s="37"/>
      <c r="AXU17" s="37"/>
      <c r="AXV17" s="37"/>
      <c r="AXW17" s="37"/>
      <c r="AXX17" s="37"/>
      <c r="AXY17" s="37"/>
      <c r="AXZ17" s="37"/>
      <c r="AYA17" s="37"/>
      <c r="AYB17" s="37"/>
      <c r="AYC17" s="37"/>
      <c r="AYD17" s="37"/>
      <c r="AYE17" s="37"/>
      <c r="AYF17" s="37"/>
      <c r="AYG17" s="37"/>
      <c r="AYH17" s="37"/>
      <c r="AYI17" s="37"/>
      <c r="AYJ17" s="37"/>
      <c r="AYK17" s="37"/>
      <c r="AYL17" s="37"/>
      <c r="AYM17" s="37"/>
      <c r="AYN17" s="37"/>
      <c r="AYO17" s="37"/>
      <c r="AYP17" s="37"/>
      <c r="AYQ17" s="37"/>
      <c r="AYR17" s="37"/>
      <c r="AYS17" s="37"/>
      <c r="AYT17" s="37"/>
      <c r="AYU17" s="37"/>
      <c r="AYV17" s="37"/>
      <c r="AYW17" s="37"/>
      <c r="AYX17" s="37"/>
      <c r="AYY17" s="37"/>
      <c r="AYZ17" s="37"/>
      <c r="AZA17" s="37"/>
      <c r="AZB17" s="37"/>
      <c r="AZC17" s="37"/>
      <c r="AZD17" s="37"/>
      <c r="AZE17" s="37"/>
      <c r="AZF17" s="37"/>
      <c r="AZG17" s="37"/>
      <c r="AZH17" s="37"/>
      <c r="AZI17" s="37"/>
      <c r="AZJ17" s="37"/>
      <c r="AZK17" s="37"/>
      <c r="AZL17" s="37"/>
      <c r="AZM17" s="37"/>
      <c r="AZN17" s="37"/>
      <c r="AZO17" s="37"/>
      <c r="AZP17" s="37"/>
      <c r="AZQ17" s="37"/>
      <c r="AZR17" s="37"/>
      <c r="AZS17" s="37"/>
      <c r="AZT17" s="37"/>
      <c r="AZU17" s="37"/>
      <c r="AZV17" s="37"/>
      <c r="AZW17" s="37"/>
      <c r="AZX17" s="37"/>
      <c r="AZY17" s="37"/>
      <c r="AZZ17" s="37"/>
      <c r="BAA17" s="37"/>
      <c r="BAB17" s="37"/>
      <c r="BAC17" s="37"/>
      <c r="BAD17" s="37"/>
      <c r="BAE17" s="37"/>
      <c r="BAF17" s="37"/>
      <c r="BAG17" s="37"/>
      <c r="BAH17" s="37"/>
      <c r="BAI17" s="37"/>
      <c r="BAJ17" s="37"/>
      <c r="BAK17" s="37"/>
      <c r="BAL17" s="37"/>
      <c r="BAM17" s="37"/>
      <c r="BAN17" s="37"/>
      <c r="BAO17" s="37"/>
      <c r="BAP17" s="37"/>
      <c r="BAQ17" s="37"/>
      <c r="BAR17" s="37"/>
      <c r="BAS17" s="37"/>
      <c r="BAT17" s="37"/>
      <c r="BAU17" s="37"/>
      <c r="BAV17" s="37"/>
      <c r="BAW17" s="37"/>
      <c r="BAX17" s="37"/>
      <c r="BAY17" s="37"/>
      <c r="BAZ17" s="37"/>
      <c r="BBA17" s="37"/>
      <c r="BBB17" s="37"/>
      <c r="BBC17" s="37"/>
      <c r="BBD17" s="37"/>
      <c r="BBE17" s="37"/>
      <c r="BBF17" s="37"/>
      <c r="BBG17" s="37"/>
      <c r="BBH17" s="37"/>
      <c r="BBI17" s="37"/>
      <c r="BBJ17" s="37"/>
      <c r="BBK17" s="37"/>
      <c r="BBL17" s="37"/>
      <c r="BBM17" s="37"/>
      <c r="BBN17" s="37"/>
      <c r="BBO17" s="37"/>
      <c r="BBP17" s="37"/>
      <c r="BBQ17" s="37"/>
      <c r="BBR17" s="37"/>
      <c r="BBS17" s="37"/>
      <c r="BBT17" s="37"/>
      <c r="BBU17" s="37"/>
      <c r="BBV17" s="37"/>
      <c r="BBW17" s="37"/>
      <c r="BBX17" s="37"/>
      <c r="BBY17" s="37"/>
      <c r="BBZ17" s="37"/>
      <c r="BCA17" s="37"/>
      <c r="BCB17" s="37"/>
      <c r="BCC17" s="37"/>
      <c r="BCD17" s="37"/>
      <c r="BCE17" s="37"/>
      <c r="BCF17" s="37"/>
      <c r="BCG17" s="37"/>
      <c r="BCH17" s="37"/>
      <c r="BCI17" s="37"/>
      <c r="BCJ17" s="37"/>
      <c r="BCK17" s="37"/>
      <c r="BCL17" s="37"/>
      <c r="BCM17" s="37"/>
      <c r="BCN17" s="37"/>
      <c r="BCO17" s="37"/>
      <c r="BCP17" s="37"/>
      <c r="BCQ17" s="37"/>
      <c r="BCR17" s="37"/>
      <c r="BCS17" s="37"/>
      <c r="BCT17" s="37"/>
      <c r="BCU17" s="37"/>
      <c r="BCV17" s="37"/>
      <c r="BCW17" s="37"/>
      <c r="BCX17" s="37"/>
      <c r="BCY17" s="37"/>
      <c r="BCZ17" s="37"/>
      <c r="BDA17" s="37"/>
      <c r="BDB17" s="37"/>
      <c r="BDC17" s="37"/>
      <c r="BDD17" s="37"/>
      <c r="BDE17" s="37"/>
      <c r="BDF17" s="37"/>
      <c r="BDG17" s="37"/>
      <c r="BDH17" s="37"/>
      <c r="BDI17" s="37"/>
      <c r="BDJ17" s="37"/>
      <c r="BDK17" s="37"/>
      <c r="BDL17" s="37"/>
      <c r="BDM17" s="37"/>
      <c r="BDN17" s="37"/>
      <c r="BDO17" s="37"/>
      <c r="BDP17" s="37"/>
      <c r="BDQ17" s="37"/>
      <c r="BDR17" s="37"/>
      <c r="BDS17" s="37"/>
      <c r="BDT17" s="37"/>
      <c r="BDU17" s="37"/>
      <c r="BDV17" s="37"/>
      <c r="BDW17" s="37"/>
      <c r="BDX17" s="37"/>
      <c r="BDY17" s="37"/>
      <c r="BDZ17" s="37"/>
      <c r="BEA17" s="37"/>
      <c r="BEB17" s="37"/>
      <c r="BEC17" s="37"/>
      <c r="BED17" s="37"/>
      <c r="BEE17" s="37"/>
      <c r="BEF17" s="37"/>
      <c r="BEG17" s="37"/>
      <c r="BEH17" s="37"/>
      <c r="BEI17" s="37"/>
      <c r="BEJ17" s="37"/>
      <c r="BEK17" s="37"/>
      <c r="BEL17" s="37"/>
      <c r="BEM17" s="37"/>
      <c r="BEN17" s="37"/>
      <c r="BEO17" s="37"/>
      <c r="BEP17" s="37"/>
      <c r="BEQ17" s="37"/>
      <c r="BER17" s="37"/>
      <c r="BES17" s="37"/>
      <c r="BET17" s="37"/>
      <c r="BEU17" s="37"/>
      <c r="BEV17" s="37"/>
      <c r="BEW17" s="37"/>
      <c r="BEX17" s="37"/>
      <c r="BEY17" s="37"/>
      <c r="BEZ17" s="37"/>
      <c r="BFA17" s="37"/>
      <c r="BFB17" s="37"/>
      <c r="BFC17" s="37"/>
      <c r="BFD17" s="37"/>
      <c r="BFE17" s="37"/>
      <c r="BFF17" s="37"/>
      <c r="BFG17" s="37"/>
      <c r="BFH17" s="37"/>
      <c r="BFI17" s="37"/>
      <c r="BFJ17" s="37"/>
      <c r="BFK17" s="37"/>
      <c r="BFL17" s="37"/>
      <c r="BFM17" s="37"/>
      <c r="BFN17" s="37"/>
      <c r="BFO17" s="37"/>
      <c r="BFP17" s="37"/>
      <c r="BFQ17" s="37"/>
      <c r="BFR17" s="37"/>
      <c r="BFS17" s="37"/>
      <c r="BFT17" s="37"/>
      <c r="BFU17" s="37"/>
      <c r="BFV17" s="37"/>
      <c r="BFW17" s="37"/>
      <c r="BFX17" s="37"/>
      <c r="BFY17" s="37"/>
      <c r="BFZ17" s="37"/>
      <c r="BGA17" s="37"/>
      <c r="BGB17" s="37"/>
      <c r="BGC17" s="37"/>
      <c r="BGD17" s="37"/>
      <c r="BGE17" s="37"/>
      <c r="BGF17" s="37"/>
      <c r="BGG17" s="37"/>
      <c r="BGH17" s="37"/>
      <c r="BGI17" s="37"/>
      <c r="BGJ17" s="37"/>
      <c r="BGK17" s="37"/>
      <c r="BGL17" s="37"/>
      <c r="BGM17" s="37"/>
      <c r="BGN17" s="37"/>
      <c r="BGO17" s="37"/>
      <c r="BGP17" s="37"/>
      <c r="BGQ17" s="37"/>
      <c r="BGR17" s="37"/>
      <c r="BGS17" s="37"/>
      <c r="BGT17" s="37"/>
      <c r="BGU17" s="37"/>
      <c r="BGV17" s="37"/>
      <c r="BGW17" s="37"/>
      <c r="BGX17" s="37"/>
      <c r="BGY17" s="37"/>
      <c r="BGZ17" s="37"/>
      <c r="BHA17" s="37"/>
      <c r="BHB17" s="37"/>
      <c r="BHC17" s="37"/>
      <c r="BHD17" s="37"/>
      <c r="BHE17" s="37"/>
      <c r="BHF17" s="37"/>
      <c r="BHG17" s="37"/>
      <c r="BHH17" s="37"/>
      <c r="BHI17" s="37"/>
      <c r="BHJ17" s="37"/>
      <c r="BHK17" s="37"/>
      <c r="BHL17" s="37"/>
      <c r="BHM17" s="37"/>
      <c r="BHN17" s="37"/>
      <c r="BHO17" s="37"/>
      <c r="BHP17" s="37"/>
      <c r="BHQ17" s="37"/>
      <c r="BHR17" s="37"/>
      <c r="BHS17" s="37"/>
      <c r="BHT17" s="37"/>
      <c r="BHU17" s="37"/>
      <c r="BHV17" s="37"/>
      <c r="BHW17" s="37"/>
      <c r="BHX17" s="37"/>
      <c r="BHY17" s="37"/>
      <c r="BHZ17" s="37"/>
      <c r="BIA17" s="37"/>
      <c r="BIB17" s="37"/>
      <c r="BIC17" s="37"/>
      <c r="BID17" s="37"/>
      <c r="BIE17" s="37"/>
      <c r="BIF17" s="37"/>
      <c r="BIG17" s="37"/>
      <c r="BIH17" s="37"/>
      <c r="BII17" s="37"/>
      <c r="BIJ17" s="37"/>
      <c r="BIK17" s="37"/>
      <c r="BIL17" s="37"/>
      <c r="BIM17" s="37"/>
      <c r="BIN17" s="37"/>
      <c r="BIO17" s="37"/>
      <c r="BIP17" s="37"/>
      <c r="BIQ17" s="37"/>
      <c r="BIR17" s="37"/>
      <c r="BIS17" s="37"/>
      <c r="BIT17" s="37"/>
      <c r="BIU17" s="37"/>
      <c r="BIV17" s="37"/>
      <c r="BIW17" s="37"/>
      <c r="BIX17" s="37"/>
      <c r="BIY17" s="37"/>
      <c r="BIZ17" s="37"/>
      <c r="BJA17" s="37"/>
      <c r="BJB17" s="37"/>
      <c r="BJC17" s="37"/>
      <c r="BJD17" s="37"/>
      <c r="BJE17" s="37"/>
      <c r="BJF17" s="37"/>
      <c r="BJG17" s="37"/>
      <c r="BJH17" s="37"/>
      <c r="BJI17" s="37"/>
      <c r="BJJ17" s="37"/>
      <c r="BJK17" s="37"/>
      <c r="BJL17" s="37"/>
      <c r="BJM17" s="37"/>
      <c r="BJN17" s="37"/>
      <c r="BJO17" s="37"/>
      <c r="BJP17" s="37"/>
      <c r="BJQ17" s="37"/>
      <c r="BJR17" s="37"/>
      <c r="BJS17" s="37"/>
      <c r="BJT17" s="37"/>
      <c r="BJU17" s="37"/>
      <c r="BJV17" s="37"/>
      <c r="BJW17" s="37"/>
      <c r="BJX17" s="37"/>
      <c r="BJY17" s="37"/>
      <c r="BJZ17" s="37"/>
      <c r="BKA17" s="37"/>
      <c r="BKB17" s="37"/>
      <c r="BKC17" s="37"/>
      <c r="BKD17" s="37"/>
      <c r="BKE17" s="37"/>
      <c r="BKF17" s="37"/>
      <c r="BKG17" s="37"/>
      <c r="BKH17" s="37"/>
      <c r="BKI17" s="37"/>
      <c r="BKJ17" s="37"/>
      <c r="BKK17" s="37"/>
      <c r="BKL17" s="37"/>
      <c r="BKM17" s="37"/>
      <c r="BKN17" s="37"/>
      <c r="BKO17" s="37"/>
      <c r="BKP17" s="37"/>
      <c r="BKQ17" s="37"/>
      <c r="BKR17" s="37"/>
      <c r="BKS17" s="37"/>
      <c r="BKT17" s="37"/>
      <c r="BKU17" s="37"/>
      <c r="BKV17" s="37"/>
      <c r="BKW17" s="37"/>
      <c r="BKX17" s="37"/>
      <c r="BKY17" s="37"/>
      <c r="BKZ17" s="37"/>
      <c r="BLA17" s="37"/>
      <c r="BLB17" s="37"/>
      <c r="BLC17" s="37"/>
      <c r="BLD17" s="37"/>
      <c r="BLE17" s="37"/>
      <c r="BLF17" s="37"/>
      <c r="BLG17" s="37"/>
      <c r="BLH17" s="37"/>
      <c r="BLI17" s="37"/>
      <c r="BLJ17" s="37"/>
      <c r="BLK17" s="37"/>
      <c r="BLL17" s="37"/>
      <c r="BLM17" s="37"/>
      <c r="BLN17" s="37"/>
      <c r="BLO17" s="37"/>
      <c r="BLP17" s="37"/>
      <c r="BLQ17" s="37"/>
      <c r="BLR17" s="37"/>
      <c r="BLS17" s="37"/>
      <c r="BLT17" s="37"/>
      <c r="BLU17" s="37"/>
      <c r="BLV17" s="37"/>
      <c r="BLW17" s="37"/>
      <c r="BLX17" s="37"/>
      <c r="BLY17" s="37"/>
      <c r="BLZ17" s="37"/>
      <c r="BMA17" s="37"/>
      <c r="BMB17" s="37"/>
      <c r="BMC17" s="37"/>
      <c r="BMD17" s="37"/>
      <c r="BME17" s="37"/>
      <c r="BMF17" s="37"/>
      <c r="BMG17" s="37"/>
      <c r="BMH17" s="37"/>
      <c r="BMI17" s="37"/>
      <c r="BMJ17" s="37"/>
      <c r="BMK17" s="37"/>
      <c r="BML17" s="37"/>
      <c r="BMM17" s="37"/>
      <c r="BMN17" s="37"/>
      <c r="BMO17" s="37"/>
      <c r="BMP17" s="37"/>
      <c r="BMQ17" s="37"/>
      <c r="BMR17" s="37"/>
      <c r="BMS17" s="37"/>
      <c r="BMT17" s="37"/>
      <c r="BMU17" s="37"/>
      <c r="BMV17" s="37"/>
      <c r="BMW17" s="37"/>
      <c r="BMX17" s="37"/>
      <c r="BMY17" s="37"/>
      <c r="BMZ17" s="37"/>
      <c r="BNA17" s="37"/>
      <c r="BNB17" s="37"/>
      <c r="BNC17" s="37"/>
      <c r="BND17" s="37"/>
      <c r="BNE17" s="37"/>
      <c r="BNF17" s="37"/>
      <c r="BNG17" s="37"/>
      <c r="BNH17" s="37"/>
      <c r="BNI17" s="37"/>
      <c r="BNJ17" s="37"/>
      <c r="BNK17" s="37"/>
      <c r="BNL17" s="37"/>
      <c r="BNM17" s="37"/>
      <c r="BNN17" s="37"/>
      <c r="BNO17" s="37"/>
      <c r="BNP17" s="37"/>
      <c r="BNQ17" s="37"/>
      <c r="BNR17" s="37"/>
      <c r="BNS17" s="37"/>
      <c r="BNT17" s="37"/>
      <c r="BNU17" s="37"/>
      <c r="BNV17" s="37"/>
      <c r="BNW17" s="37"/>
      <c r="BNX17" s="37"/>
      <c r="BNY17" s="37"/>
      <c r="BNZ17" s="37"/>
      <c r="BOA17" s="37"/>
      <c r="BOB17" s="37"/>
      <c r="BOC17" s="37"/>
      <c r="BOD17" s="37"/>
      <c r="BOE17" s="37"/>
      <c r="BOF17" s="37"/>
      <c r="BOG17" s="37"/>
      <c r="BOH17" s="37"/>
      <c r="BOI17" s="37"/>
      <c r="BOJ17" s="37"/>
      <c r="BOK17" s="37"/>
      <c r="BOL17" s="37"/>
      <c r="BOM17" s="37"/>
      <c r="BON17" s="37"/>
      <c r="BOO17" s="37"/>
      <c r="BOP17" s="37"/>
      <c r="BOQ17" s="37"/>
      <c r="BOR17" s="37"/>
      <c r="BOS17" s="37"/>
      <c r="BOT17" s="37"/>
      <c r="BOU17" s="37"/>
      <c r="BOV17" s="37"/>
      <c r="BOW17" s="37"/>
      <c r="BOX17" s="37"/>
      <c r="BOY17" s="37"/>
      <c r="BOZ17" s="37"/>
      <c r="BPA17" s="37"/>
      <c r="BPB17" s="37"/>
      <c r="BPC17" s="37"/>
      <c r="BPD17" s="37"/>
      <c r="BPE17" s="37"/>
      <c r="BPF17" s="37"/>
      <c r="BPG17" s="37"/>
      <c r="BPH17" s="37"/>
      <c r="BPI17" s="37"/>
      <c r="BPJ17" s="37"/>
      <c r="BPK17" s="37"/>
      <c r="BPL17" s="37"/>
      <c r="BPM17" s="37"/>
      <c r="BPN17" s="37"/>
      <c r="BPO17" s="37"/>
      <c r="BPP17" s="37"/>
      <c r="BPQ17" s="37"/>
      <c r="BPR17" s="37"/>
      <c r="BPS17" s="37"/>
      <c r="BPT17" s="37"/>
      <c r="BPU17" s="37"/>
      <c r="BPV17" s="37"/>
      <c r="BPW17" s="37"/>
      <c r="BPX17" s="37"/>
      <c r="BPY17" s="37"/>
      <c r="BPZ17" s="37"/>
      <c r="BQA17" s="37"/>
      <c r="BQB17" s="37"/>
      <c r="BQC17" s="37"/>
      <c r="BQD17" s="37"/>
      <c r="BQE17" s="37"/>
      <c r="BQF17" s="37"/>
      <c r="BQG17" s="37"/>
      <c r="BQH17" s="37"/>
      <c r="BQI17" s="37"/>
      <c r="BQJ17" s="37"/>
      <c r="BQK17" s="37"/>
      <c r="BQL17" s="37"/>
      <c r="BQM17" s="37"/>
      <c r="BQN17" s="37"/>
      <c r="BQO17" s="37"/>
      <c r="BQP17" s="37"/>
      <c r="BQQ17" s="37"/>
      <c r="BQR17" s="37"/>
      <c r="BQS17" s="37"/>
      <c r="BQT17" s="37"/>
      <c r="BQU17" s="37"/>
      <c r="BQV17" s="37"/>
      <c r="BQW17" s="37"/>
      <c r="BQX17" s="37"/>
      <c r="BQY17" s="37"/>
      <c r="BQZ17" s="37"/>
      <c r="BRA17" s="37"/>
      <c r="BRB17" s="37"/>
      <c r="BRC17" s="37"/>
      <c r="BRD17" s="37"/>
      <c r="BRE17" s="37"/>
      <c r="BRF17" s="37"/>
      <c r="BRG17" s="37"/>
      <c r="BRH17" s="37"/>
      <c r="BRI17" s="37"/>
      <c r="BRJ17" s="37"/>
      <c r="BRK17" s="37"/>
      <c r="BRL17" s="37"/>
      <c r="BRM17" s="37"/>
      <c r="BRN17" s="37"/>
      <c r="BRO17" s="37"/>
      <c r="BRP17" s="37"/>
      <c r="BRQ17" s="37"/>
      <c r="BRR17" s="37"/>
      <c r="BRS17" s="37"/>
      <c r="BRT17" s="37"/>
      <c r="BRU17" s="37"/>
      <c r="BRV17" s="37"/>
      <c r="BRW17" s="37"/>
      <c r="BRX17" s="37"/>
      <c r="BRY17" s="37"/>
      <c r="BRZ17" s="37"/>
      <c r="BSA17" s="37"/>
      <c r="BSB17" s="37"/>
      <c r="BSC17" s="37"/>
      <c r="BSD17" s="37"/>
      <c r="BSE17" s="37"/>
      <c r="BSF17" s="37"/>
      <c r="BSG17" s="37"/>
      <c r="BSH17" s="37"/>
      <c r="BSI17" s="37"/>
      <c r="BSJ17" s="37"/>
      <c r="BSK17" s="37"/>
      <c r="BSL17" s="37"/>
      <c r="BSM17" s="37"/>
      <c r="BSN17" s="37"/>
      <c r="BSO17" s="37"/>
      <c r="BSP17" s="37"/>
      <c r="BSQ17" s="37"/>
      <c r="BSR17" s="37"/>
      <c r="BSS17" s="37"/>
      <c r="BST17" s="37"/>
      <c r="BSU17" s="37"/>
      <c r="BSV17" s="37"/>
      <c r="BSW17" s="37"/>
      <c r="BSX17" s="37"/>
      <c r="BSY17" s="37"/>
      <c r="BSZ17" s="37"/>
      <c r="BTA17" s="37"/>
      <c r="BTB17" s="37"/>
      <c r="BTC17" s="37"/>
      <c r="BTD17" s="37"/>
      <c r="BTE17" s="37"/>
      <c r="BTF17" s="37"/>
      <c r="BTG17" s="37"/>
      <c r="BTH17" s="37"/>
      <c r="BTI17" s="37"/>
      <c r="BTJ17" s="37"/>
      <c r="BTK17" s="37"/>
      <c r="BTL17" s="37"/>
      <c r="BTM17" s="37"/>
      <c r="BTN17" s="37"/>
      <c r="BTO17" s="37"/>
      <c r="BTP17" s="37"/>
      <c r="BTQ17" s="37"/>
      <c r="BTR17" s="37"/>
      <c r="BTS17" s="37"/>
      <c r="BTT17" s="37"/>
      <c r="BTU17" s="37"/>
      <c r="BTV17" s="37"/>
      <c r="BTW17" s="37"/>
      <c r="BTX17" s="37"/>
      <c r="BTY17" s="37"/>
      <c r="BTZ17" s="37"/>
      <c r="BUA17" s="37"/>
      <c r="BUB17" s="37"/>
      <c r="BUC17" s="37"/>
      <c r="BUD17" s="37"/>
      <c r="BUE17" s="37"/>
      <c r="BUF17" s="37"/>
      <c r="BUG17" s="37"/>
      <c r="BUH17" s="37"/>
      <c r="BUI17" s="37"/>
      <c r="BUJ17" s="37"/>
      <c r="BUK17" s="37"/>
      <c r="BUL17" s="37"/>
      <c r="BUM17" s="37"/>
      <c r="BUN17" s="37"/>
      <c r="BUO17" s="37"/>
      <c r="BUP17" s="37"/>
      <c r="BUQ17" s="37"/>
      <c r="BUR17" s="37"/>
      <c r="BUS17" s="37"/>
      <c r="BUT17" s="37"/>
      <c r="BUU17" s="37"/>
      <c r="BUV17" s="37"/>
      <c r="BUW17" s="37"/>
      <c r="BUX17" s="37"/>
      <c r="BUY17" s="37"/>
      <c r="BUZ17" s="37"/>
      <c r="BVA17" s="37"/>
      <c r="BVB17" s="37"/>
      <c r="BVC17" s="37"/>
      <c r="BVD17" s="37"/>
      <c r="BVE17" s="37"/>
      <c r="BVF17" s="37"/>
      <c r="BVG17" s="37"/>
      <c r="BVH17" s="37"/>
      <c r="BVI17" s="37"/>
      <c r="BVJ17" s="37"/>
      <c r="BVK17" s="37"/>
      <c r="BVL17" s="37"/>
      <c r="BVM17" s="37"/>
      <c r="BVN17" s="37"/>
      <c r="BVO17" s="37"/>
      <c r="BVP17" s="37"/>
      <c r="BVQ17" s="37"/>
      <c r="BVR17" s="37"/>
      <c r="BVS17" s="37"/>
      <c r="BVT17" s="37"/>
      <c r="BVU17" s="37"/>
      <c r="BVV17" s="37"/>
      <c r="BVW17" s="37"/>
      <c r="BVX17" s="37"/>
      <c r="BVY17" s="37"/>
      <c r="BVZ17" s="37"/>
      <c r="BWA17" s="37"/>
      <c r="BWB17" s="37"/>
      <c r="BWC17" s="37"/>
      <c r="BWD17" s="37"/>
      <c r="BWE17" s="37"/>
      <c r="BWF17" s="37"/>
      <c r="BWG17" s="37"/>
      <c r="BWH17" s="37"/>
      <c r="BWI17" s="37"/>
      <c r="BWJ17" s="37"/>
      <c r="BWK17" s="37"/>
      <c r="BWL17" s="37"/>
      <c r="BWM17" s="37"/>
      <c r="BWN17" s="37"/>
      <c r="BWO17" s="37"/>
      <c r="BWP17" s="37"/>
      <c r="BWQ17" s="37"/>
      <c r="BWR17" s="37"/>
      <c r="BWS17" s="37"/>
      <c r="BWT17" s="37"/>
      <c r="BWU17" s="37"/>
      <c r="BWV17" s="37"/>
      <c r="BWW17" s="37"/>
      <c r="BWX17" s="37"/>
      <c r="BWY17" s="37"/>
      <c r="BWZ17" s="37"/>
      <c r="BXA17" s="37"/>
      <c r="BXB17" s="37"/>
      <c r="BXC17" s="37"/>
      <c r="BXD17" s="37"/>
      <c r="BXE17" s="37"/>
      <c r="BXF17" s="37"/>
      <c r="BXG17" s="37"/>
      <c r="BXH17" s="37"/>
      <c r="BXI17" s="37"/>
      <c r="BXJ17" s="37"/>
      <c r="BXK17" s="37"/>
      <c r="BXL17" s="37"/>
      <c r="BXM17" s="37"/>
      <c r="BXN17" s="37"/>
      <c r="BXO17" s="37"/>
      <c r="BXP17" s="37"/>
      <c r="BXQ17" s="37"/>
      <c r="BXR17" s="37"/>
      <c r="BXS17" s="37"/>
      <c r="BXT17" s="37"/>
      <c r="BXU17" s="37"/>
      <c r="BXV17" s="37"/>
      <c r="BXW17" s="37"/>
      <c r="BXX17" s="37"/>
      <c r="BXY17" s="37"/>
      <c r="BXZ17" s="37"/>
      <c r="BYA17" s="37"/>
      <c r="BYB17" s="37"/>
      <c r="BYC17" s="37"/>
      <c r="BYD17" s="37"/>
      <c r="BYE17" s="37"/>
      <c r="BYF17" s="37"/>
      <c r="BYG17" s="37"/>
      <c r="BYH17" s="37"/>
      <c r="BYI17" s="37"/>
      <c r="BYJ17" s="37"/>
      <c r="BYK17" s="37"/>
      <c r="BYL17" s="37"/>
      <c r="BYM17" s="37"/>
      <c r="BYN17" s="37"/>
      <c r="BYO17" s="37"/>
      <c r="BYP17" s="37"/>
      <c r="BYQ17" s="37"/>
      <c r="BYR17" s="37"/>
      <c r="BYS17" s="37"/>
      <c r="BYT17" s="37"/>
      <c r="BYU17" s="37"/>
      <c r="BYV17" s="37"/>
      <c r="BYW17" s="37"/>
      <c r="BYX17" s="37"/>
      <c r="BYY17" s="37"/>
      <c r="BYZ17" s="37"/>
      <c r="BZA17" s="37"/>
      <c r="BZB17" s="37"/>
      <c r="BZC17" s="37"/>
      <c r="BZD17" s="37"/>
      <c r="BZE17" s="37"/>
      <c r="BZF17" s="37"/>
      <c r="BZG17" s="37"/>
      <c r="BZH17" s="37"/>
      <c r="BZI17" s="37"/>
      <c r="BZJ17" s="37"/>
      <c r="BZK17" s="37"/>
      <c r="BZL17" s="37"/>
      <c r="BZM17" s="37"/>
      <c r="BZN17" s="37"/>
      <c r="BZO17" s="37"/>
      <c r="BZP17" s="37"/>
      <c r="BZQ17" s="37"/>
      <c r="BZR17" s="37"/>
      <c r="BZS17" s="37"/>
      <c r="BZT17" s="37"/>
      <c r="BZU17" s="37"/>
      <c r="BZV17" s="37"/>
      <c r="BZW17" s="37"/>
      <c r="BZX17" s="37"/>
      <c r="BZY17" s="37"/>
      <c r="BZZ17" s="37"/>
      <c r="CAA17" s="37"/>
      <c r="CAB17" s="37"/>
      <c r="CAC17" s="37"/>
      <c r="CAD17" s="37"/>
      <c r="CAE17" s="37"/>
      <c r="CAF17" s="37"/>
      <c r="CAG17" s="37"/>
      <c r="CAH17" s="37"/>
      <c r="CAI17" s="37"/>
      <c r="CAJ17" s="37"/>
      <c r="CAK17" s="37"/>
      <c r="CAL17" s="37"/>
      <c r="CAM17" s="37"/>
      <c r="CAN17" s="37"/>
      <c r="CAO17" s="37"/>
      <c r="CAP17" s="37"/>
      <c r="CAQ17" s="37"/>
      <c r="CAR17" s="37"/>
      <c r="CAS17" s="37"/>
      <c r="CAT17" s="37"/>
      <c r="CAU17" s="37"/>
      <c r="CAV17" s="37"/>
      <c r="CAW17" s="37"/>
      <c r="CAX17" s="37"/>
      <c r="CAY17" s="37"/>
      <c r="CAZ17" s="37"/>
      <c r="CBA17" s="37"/>
      <c r="CBB17" s="37"/>
      <c r="CBC17" s="37"/>
      <c r="CBD17" s="37"/>
      <c r="CBE17" s="37"/>
      <c r="CBF17" s="37"/>
      <c r="CBG17" s="37"/>
      <c r="CBH17" s="37"/>
      <c r="CBI17" s="37"/>
      <c r="CBJ17" s="37"/>
      <c r="CBK17" s="37"/>
      <c r="CBL17" s="37"/>
      <c r="CBM17" s="37"/>
      <c r="CBN17" s="37"/>
      <c r="CBO17" s="37"/>
      <c r="CBP17" s="37"/>
      <c r="CBQ17" s="37"/>
      <c r="CBR17" s="37"/>
      <c r="CBS17" s="37"/>
      <c r="CBT17" s="37"/>
      <c r="CBU17" s="37"/>
      <c r="CBV17" s="37"/>
      <c r="CBW17" s="37"/>
      <c r="CBX17" s="37"/>
      <c r="CBY17" s="37"/>
      <c r="CBZ17" s="37"/>
      <c r="CCA17" s="37"/>
      <c r="CCB17" s="37"/>
      <c r="CCC17" s="37"/>
      <c r="CCD17" s="37"/>
      <c r="CCE17" s="37"/>
      <c r="CCF17" s="37"/>
      <c r="CCG17" s="37"/>
      <c r="CCH17" s="37"/>
      <c r="CCI17" s="37"/>
      <c r="CCJ17" s="37"/>
      <c r="CCK17" s="37"/>
      <c r="CCL17" s="37"/>
      <c r="CCM17" s="37"/>
      <c r="CCN17" s="37"/>
      <c r="CCO17" s="37"/>
      <c r="CCP17" s="37"/>
      <c r="CCQ17" s="37"/>
      <c r="CCR17" s="37"/>
      <c r="CCS17" s="37"/>
      <c r="CCT17" s="37"/>
      <c r="CCU17" s="37"/>
      <c r="CCV17" s="37"/>
      <c r="CCW17" s="37"/>
      <c r="CCX17" s="37"/>
      <c r="CCY17" s="37"/>
      <c r="CCZ17" s="37"/>
      <c r="CDA17" s="37"/>
      <c r="CDB17" s="37"/>
      <c r="CDC17" s="37"/>
      <c r="CDD17" s="37"/>
      <c r="CDE17" s="37"/>
      <c r="CDF17" s="37"/>
      <c r="CDG17" s="37"/>
      <c r="CDH17" s="37"/>
      <c r="CDI17" s="37"/>
      <c r="CDJ17" s="37"/>
      <c r="CDK17" s="37"/>
      <c r="CDL17" s="37"/>
      <c r="CDM17" s="37"/>
      <c r="CDN17" s="37"/>
      <c r="CDO17" s="37"/>
      <c r="CDP17" s="37"/>
      <c r="CDQ17" s="37"/>
      <c r="CDR17" s="37"/>
      <c r="CDS17" s="37"/>
      <c r="CDT17" s="37"/>
      <c r="CDU17" s="37"/>
      <c r="CDV17" s="37"/>
      <c r="CDW17" s="37"/>
      <c r="CDX17" s="37"/>
      <c r="CDY17" s="37"/>
      <c r="CDZ17" s="37"/>
      <c r="CEA17" s="37"/>
      <c r="CEB17" s="37"/>
      <c r="CEC17" s="37"/>
      <c r="CED17" s="37"/>
      <c r="CEE17" s="37"/>
      <c r="CEF17" s="37"/>
      <c r="CEG17" s="37"/>
      <c r="CEH17" s="37"/>
      <c r="CEI17" s="37"/>
      <c r="CEJ17" s="37"/>
      <c r="CEK17" s="37"/>
      <c r="CEL17" s="37"/>
      <c r="CEM17" s="37"/>
      <c r="CEN17" s="37"/>
      <c r="CEO17" s="37"/>
      <c r="CEP17" s="37"/>
      <c r="CEQ17" s="37"/>
      <c r="CER17" s="37"/>
      <c r="CES17" s="37"/>
      <c r="CET17" s="37"/>
      <c r="CEU17" s="37"/>
      <c r="CEV17" s="37"/>
      <c r="CEW17" s="37"/>
      <c r="CEX17" s="37"/>
      <c r="CEY17" s="37"/>
      <c r="CEZ17" s="37"/>
      <c r="CFA17" s="37"/>
      <c r="CFB17" s="37"/>
      <c r="CFC17" s="37"/>
      <c r="CFD17" s="37"/>
      <c r="CFE17" s="37"/>
      <c r="CFF17" s="37"/>
      <c r="CFG17" s="37"/>
      <c r="CFH17" s="37"/>
      <c r="CFI17" s="37"/>
      <c r="CFJ17" s="37"/>
      <c r="CFK17" s="37"/>
      <c r="CFL17" s="37"/>
      <c r="CFM17" s="37"/>
      <c r="CFN17" s="37"/>
      <c r="CFO17" s="37"/>
      <c r="CFP17" s="37"/>
      <c r="CFQ17" s="37"/>
      <c r="CFR17" s="37"/>
      <c r="CFS17" s="37"/>
      <c r="CFT17" s="37"/>
      <c r="CFU17" s="37"/>
      <c r="CFV17" s="37"/>
      <c r="CFW17" s="37"/>
      <c r="CFX17" s="37"/>
      <c r="CFY17" s="37"/>
      <c r="CFZ17" s="37"/>
      <c r="CGA17" s="37"/>
      <c r="CGB17" s="37"/>
      <c r="CGC17" s="37"/>
      <c r="CGD17" s="37"/>
      <c r="CGE17" s="37"/>
      <c r="CGF17" s="37"/>
      <c r="CGG17" s="37"/>
      <c r="CGH17" s="37"/>
      <c r="CGI17" s="37"/>
      <c r="CGJ17" s="37"/>
      <c r="CGK17" s="37"/>
      <c r="CGL17" s="37"/>
      <c r="CGM17" s="37"/>
      <c r="CGN17" s="37"/>
      <c r="CGO17" s="37"/>
      <c r="CGP17" s="37"/>
      <c r="CGQ17" s="37"/>
      <c r="CGR17" s="37"/>
      <c r="CGS17" s="37"/>
      <c r="CGT17" s="37"/>
      <c r="CGU17" s="37"/>
      <c r="CGV17" s="37"/>
      <c r="CGW17" s="37"/>
      <c r="CGX17" s="37"/>
      <c r="CGY17" s="37"/>
      <c r="CGZ17" s="37"/>
      <c r="CHA17" s="37"/>
      <c r="CHB17" s="37"/>
      <c r="CHC17" s="37"/>
      <c r="CHD17" s="37"/>
      <c r="CHE17" s="37"/>
      <c r="CHF17" s="37"/>
      <c r="CHG17" s="37"/>
      <c r="CHH17" s="37"/>
      <c r="CHI17" s="37"/>
      <c r="CHJ17" s="37"/>
      <c r="CHK17" s="37"/>
      <c r="CHL17" s="37"/>
      <c r="CHM17" s="37"/>
      <c r="CHN17" s="37"/>
      <c r="CHO17" s="37"/>
      <c r="CHP17" s="37"/>
      <c r="CHQ17" s="37"/>
      <c r="CHR17" s="37"/>
      <c r="CHS17" s="37"/>
      <c r="CHT17" s="37"/>
      <c r="CHU17" s="37"/>
      <c r="CHV17" s="37"/>
      <c r="CHW17" s="37"/>
      <c r="CHX17" s="37"/>
      <c r="CHY17" s="37"/>
      <c r="CHZ17" s="37"/>
      <c r="CIA17" s="37"/>
      <c r="CIB17" s="37"/>
      <c r="CIC17" s="37"/>
      <c r="CID17" s="37"/>
      <c r="CIE17" s="37"/>
      <c r="CIF17" s="37"/>
      <c r="CIG17" s="37"/>
      <c r="CIH17" s="37"/>
      <c r="CII17" s="37"/>
      <c r="CIJ17" s="37"/>
      <c r="CIK17" s="37"/>
      <c r="CIL17" s="37"/>
      <c r="CIM17" s="37"/>
      <c r="CIN17" s="37"/>
      <c r="CIO17" s="37"/>
      <c r="CIP17" s="37"/>
      <c r="CIQ17" s="37"/>
      <c r="CIR17" s="37"/>
      <c r="CIS17" s="37"/>
      <c r="CIT17" s="37"/>
      <c r="CIU17" s="37"/>
      <c r="CIV17" s="37"/>
      <c r="CIW17" s="37"/>
      <c r="CIX17" s="37"/>
      <c r="CIY17" s="37"/>
      <c r="CIZ17" s="37"/>
      <c r="CJA17" s="37"/>
      <c r="CJB17" s="37"/>
      <c r="CJC17" s="37"/>
      <c r="CJD17" s="37"/>
      <c r="CJE17" s="37"/>
      <c r="CJF17" s="37"/>
      <c r="CJG17" s="37"/>
      <c r="CJH17" s="37"/>
      <c r="CJI17" s="37"/>
      <c r="CJJ17" s="37"/>
      <c r="CJK17" s="37"/>
      <c r="CJL17" s="37"/>
      <c r="CJM17" s="37"/>
      <c r="CJN17" s="37"/>
      <c r="CJO17" s="37"/>
      <c r="CJP17" s="37"/>
      <c r="CJQ17" s="37"/>
      <c r="CJR17" s="37"/>
      <c r="CJS17" s="37"/>
      <c r="CJT17" s="37"/>
      <c r="CJU17" s="37"/>
      <c r="CJV17" s="37"/>
      <c r="CJW17" s="37"/>
      <c r="CJX17" s="37"/>
      <c r="CJY17" s="37"/>
      <c r="CJZ17" s="37"/>
      <c r="CKA17" s="37"/>
      <c r="CKB17" s="37"/>
      <c r="CKC17" s="37"/>
      <c r="CKD17" s="37"/>
      <c r="CKE17" s="37"/>
      <c r="CKF17" s="37"/>
      <c r="CKG17" s="37"/>
      <c r="CKH17" s="37"/>
      <c r="CKI17" s="37"/>
      <c r="CKJ17" s="37"/>
      <c r="CKK17" s="37"/>
      <c r="CKL17" s="37"/>
      <c r="CKM17" s="37"/>
      <c r="CKN17" s="37"/>
      <c r="CKO17" s="37"/>
      <c r="CKP17" s="37"/>
      <c r="CKQ17" s="37"/>
      <c r="CKR17" s="37"/>
      <c r="CKS17" s="37"/>
      <c r="CKT17" s="37"/>
      <c r="CKU17" s="37"/>
      <c r="CKV17" s="37"/>
      <c r="CKW17" s="37"/>
      <c r="CKX17" s="37"/>
      <c r="CKY17" s="37"/>
      <c r="CKZ17" s="37"/>
      <c r="CLA17" s="37"/>
      <c r="CLB17" s="37"/>
      <c r="CLC17" s="37"/>
      <c r="CLD17" s="37"/>
      <c r="CLE17" s="37"/>
      <c r="CLF17" s="37"/>
      <c r="CLG17" s="37"/>
      <c r="CLH17" s="37"/>
      <c r="CLI17" s="37"/>
      <c r="CLJ17" s="37"/>
      <c r="CLK17" s="37"/>
      <c r="CLL17" s="37"/>
      <c r="CLM17" s="37"/>
      <c r="CLN17" s="37"/>
      <c r="CLO17" s="37"/>
      <c r="CLP17" s="37"/>
      <c r="CLQ17" s="37"/>
      <c r="CLR17" s="37"/>
      <c r="CLS17" s="37"/>
      <c r="CLT17" s="37"/>
      <c r="CLU17" s="37"/>
      <c r="CLV17" s="37"/>
      <c r="CLW17" s="37"/>
      <c r="CLX17" s="37"/>
      <c r="CLY17" s="37"/>
      <c r="CLZ17" s="37"/>
      <c r="CMA17" s="37"/>
      <c r="CMB17" s="37"/>
      <c r="CMC17" s="37"/>
      <c r="CMD17" s="37"/>
      <c r="CME17" s="37"/>
      <c r="CMF17" s="37"/>
      <c r="CMG17" s="37"/>
      <c r="CMH17" s="37"/>
      <c r="CMI17" s="37"/>
      <c r="CMJ17" s="37"/>
      <c r="CMK17" s="37"/>
      <c r="CML17" s="37"/>
      <c r="CMM17" s="37"/>
      <c r="CMN17" s="37"/>
      <c r="CMO17" s="37"/>
      <c r="CMP17" s="37"/>
      <c r="CMQ17" s="37"/>
      <c r="CMR17" s="37"/>
      <c r="CMS17" s="37"/>
      <c r="CMT17" s="37"/>
      <c r="CMU17" s="37"/>
      <c r="CMV17" s="37"/>
      <c r="CMW17" s="37"/>
      <c r="CMX17" s="37"/>
      <c r="CMY17" s="37"/>
      <c r="CMZ17" s="37"/>
      <c r="CNA17" s="37"/>
      <c r="CNB17" s="37"/>
      <c r="CNC17" s="37"/>
      <c r="CND17" s="37"/>
      <c r="CNE17" s="37"/>
      <c r="CNF17" s="37"/>
      <c r="CNG17" s="37"/>
      <c r="CNH17" s="37"/>
      <c r="CNI17" s="37"/>
      <c r="CNJ17" s="37"/>
      <c r="CNK17" s="37"/>
      <c r="CNL17" s="37"/>
      <c r="CNM17" s="37"/>
      <c r="CNN17" s="37"/>
      <c r="CNO17" s="37"/>
      <c r="CNP17" s="37"/>
      <c r="CNQ17" s="37"/>
      <c r="CNR17" s="37"/>
      <c r="CNS17" s="37"/>
      <c r="CNT17" s="37"/>
      <c r="CNU17" s="37"/>
      <c r="CNV17" s="37"/>
      <c r="CNW17" s="37"/>
      <c r="CNX17" s="37"/>
      <c r="CNY17" s="37"/>
      <c r="CNZ17" s="37"/>
      <c r="COA17" s="37"/>
      <c r="COB17" s="37"/>
      <c r="COC17" s="37"/>
      <c r="COD17" s="37"/>
      <c r="COE17" s="37"/>
      <c r="COF17" s="37"/>
      <c r="COG17" s="37"/>
      <c r="COH17" s="37"/>
      <c r="COI17" s="37"/>
      <c r="COJ17" s="37"/>
      <c r="COK17" s="37"/>
      <c r="COL17" s="37"/>
      <c r="COM17" s="37"/>
      <c r="CON17" s="37"/>
      <c r="COO17" s="37"/>
      <c r="COP17" s="37"/>
      <c r="COQ17" s="37"/>
      <c r="COR17" s="37"/>
      <c r="COS17" s="37"/>
      <c r="COT17" s="37"/>
      <c r="COU17" s="37"/>
      <c r="COV17" s="37"/>
      <c r="COW17" s="37"/>
      <c r="COX17" s="37"/>
      <c r="COY17" s="37"/>
      <c r="COZ17" s="37"/>
      <c r="CPA17" s="37"/>
      <c r="CPB17" s="37"/>
      <c r="CPC17" s="37"/>
      <c r="CPD17" s="37"/>
      <c r="CPE17" s="37"/>
      <c r="CPF17" s="37"/>
      <c r="CPG17" s="37"/>
      <c r="CPH17" s="37"/>
      <c r="CPI17" s="37"/>
      <c r="CPJ17" s="37"/>
      <c r="CPK17" s="37"/>
      <c r="CPL17" s="37"/>
      <c r="CPM17" s="37"/>
      <c r="CPN17" s="37"/>
      <c r="CPO17" s="37"/>
      <c r="CPP17" s="37"/>
      <c r="CPQ17" s="37"/>
      <c r="CPR17" s="37"/>
      <c r="CPS17" s="37"/>
      <c r="CPT17" s="37"/>
      <c r="CPU17" s="37"/>
      <c r="CPV17" s="37"/>
      <c r="CPW17" s="37"/>
      <c r="CPX17" s="37"/>
      <c r="CPY17" s="37"/>
      <c r="CPZ17" s="37"/>
      <c r="CQA17" s="37"/>
      <c r="CQB17" s="37"/>
      <c r="CQC17" s="37"/>
      <c r="CQD17" s="37"/>
      <c r="CQE17" s="37"/>
      <c r="CQF17" s="37"/>
      <c r="CQG17" s="37"/>
      <c r="CQH17" s="37"/>
      <c r="CQI17" s="37"/>
      <c r="CQJ17" s="37"/>
      <c r="CQK17" s="37"/>
      <c r="CQL17" s="37"/>
      <c r="CQM17" s="37"/>
      <c r="CQN17" s="37"/>
      <c r="CQO17" s="37"/>
      <c r="CQP17" s="37"/>
      <c r="CQQ17" s="37"/>
      <c r="CQR17" s="37"/>
      <c r="CQS17" s="37"/>
      <c r="CQT17" s="37"/>
      <c r="CQU17" s="37"/>
      <c r="CQV17" s="37"/>
      <c r="CQW17" s="37"/>
      <c r="CQX17" s="37"/>
      <c r="CQY17" s="37"/>
      <c r="CQZ17" s="37"/>
      <c r="CRA17" s="37"/>
      <c r="CRB17" s="37"/>
      <c r="CRC17" s="37"/>
      <c r="CRD17" s="37"/>
      <c r="CRE17" s="37"/>
      <c r="CRF17" s="37"/>
      <c r="CRG17" s="37"/>
      <c r="CRH17" s="37"/>
      <c r="CRI17" s="37"/>
      <c r="CRJ17" s="37"/>
      <c r="CRK17" s="37"/>
      <c r="CRL17" s="37"/>
      <c r="CRM17" s="37"/>
      <c r="CRN17" s="37"/>
      <c r="CRO17" s="37"/>
      <c r="CRP17" s="37"/>
      <c r="CRQ17" s="37"/>
      <c r="CRR17" s="37"/>
      <c r="CRS17" s="37"/>
      <c r="CRT17" s="37"/>
      <c r="CRU17" s="37"/>
      <c r="CRV17" s="37"/>
      <c r="CRW17" s="37"/>
      <c r="CRX17" s="37"/>
      <c r="CRY17" s="37"/>
      <c r="CRZ17" s="37"/>
      <c r="CSA17" s="37"/>
      <c r="CSB17" s="37"/>
      <c r="CSC17" s="37"/>
      <c r="CSD17" s="37"/>
      <c r="CSE17" s="37"/>
      <c r="CSF17" s="37"/>
      <c r="CSG17" s="37"/>
      <c r="CSH17" s="37"/>
      <c r="CSI17" s="37"/>
      <c r="CSJ17" s="37"/>
      <c r="CSK17" s="37"/>
      <c r="CSL17" s="37"/>
      <c r="CSM17" s="37"/>
      <c r="CSN17" s="37"/>
      <c r="CSO17" s="37"/>
      <c r="CSP17" s="37"/>
      <c r="CSQ17" s="37"/>
      <c r="CSR17" s="37"/>
      <c r="CSS17" s="37"/>
      <c r="CST17" s="37"/>
      <c r="CSU17" s="37"/>
      <c r="CSV17" s="37"/>
      <c r="CSW17" s="37"/>
      <c r="CSX17" s="37"/>
      <c r="CSY17" s="37"/>
      <c r="CSZ17" s="37"/>
      <c r="CTA17" s="37"/>
      <c r="CTB17" s="37"/>
      <c r="CTC17" s="37"/>
      <c r="CTD17" s="37"/>
      <c r="CTE17" s="37"/>
      <c r="CTF17" s="37"/>
      <c r="CTG17" s="37"/>
      <c r="CTH17" s="37"/>
      <c r="CTI17" s="37"/>
      <c r="CTJ17" s="37"/>
      <c r="CTK17" s="37"/>
      <c r="CTL17" s="37"/>
      <c r="CTM17" s="37"/>
      <c r="CTN17" s="37"/>
      <c r="CTO17" s="37"/>
      <c r="CTP17" s="37"/>
      <c r="CTQ17" s="37"/>
      <c r="CTR17" s="37"/>
      <c r="CTS17" s="37"/>
      <c r="CTT17" s="37"/>
      <c r="CTU17" s="37"/>
      <c r="CTV17" s="37"/>
      <c r="CTW17" s="37"/>
      <c r="CTX17" s="37"/>
      <c r="CTY17" s="37"/>
      <c r="CTZ17" s="37"/>
      <c r="CUA17" s="37"/>
      <c r="CUB17" s="37"/>
      <c r="CUC17" s="37"/>
      <c r="CUD17" s="37"/>
      <c r="CUE17" s="37"/>
      <c r="CUF17" s="37"/>
      <c r="CUG17" s="37"/>
      <c r="CUH17" s="37"/>
      <c r="CUI17" s="37"/>
      <c r="CUJ17" s="37"/>
      <c r="CUK17" s="37"/>
      <c r="CUL17" s="37"/>
      <c r="CUM17" s="37"/>
      <c r="CUN17" s="37"/>
      <c r="CUO17" s="37"/>
      <c r="CUP17" s="37"/>
      <c r="CUQ17" s="37"/>
      <c r="CUR17" s="37"/>
      <c r="CUS17" s="37"/>
      <c r="CUT17" s="37"/>
      <c r="CUU17" s="37"/>
      <c r="CUV17" s="37"/>
      <c r="CUW17" s="37"/>
      <c r="CUX17" s="37"/>
      <c r="CUY17" s="37"/>
      <c r="CUZ17" s="37"/>
      <c r="CVA17" s="37"/>
      <c r="CVB17" s="37"/>
      <c r="CVC17" s="37"/>
      <c r="CVD17" s="37"/>
      <c r="CVE17" s="37"/>
      <c r="CVF17" s="37"/>
      <c r="CVG17" s="37"/>
      <c r="CVH17" s="37"/>
      <c r="CVI17" s="37"/>
      <c r="CVJ17" s="37"/>
      <c r="CVK17" s="37"/>
      <c r="CVL17" s="37"/>
      <c r="CVM17" s="37"/>
      <c r="CVN17" s="37"/>
      <c r="CVO17" s="37"/>
      <c r="CVP17" s="37"/>
      <c r="CVQ17" s="37"/>
      <c r="CVR17" s="37"/>
      <c r="CVS17" s="37"/>
      <c r="CVT17" s="37"/>
      <c r="CVU17" s="37"/>
      <c r="CVV17" s="37"/>
      <c r="CVW17" s="37"/>
      <c r="CVX17" s="37"/>
      <c r="CVY17" s="37"/>
      <c r="CVZ17" s="37"/>
      <c r="CWA17" s="37"/>
      <c r="CWB17" s="37"/>
      <c r="CWC17" s="37"/>
      <c r="CWD17" s="37"/>
      <c r="CWE17" s="37"/>
      <c r="CWF17" s="37"/>
      <c r="CWG17" s="37"/>
      <c r="CWH17" s="37"/>
      <c r="CWI17" s="37"/>
      <c r="CWJ17" s="37"/>
      <c r="CWK17" s="37"/>
      <c r="CWL17" s="37"/>
      <c r="CWM17" s="37"/>
      <c r="CWN17" s="37"/>
      <c r="CWO17" s="37"/>
      <c r="CWP17" s="37"/>
      <c r="CWQ17" s="37"/>
      <c r="CWR17" s="37"/>
      <c r="CWS17" s="37"/>
      <c r="CWT17" s="37"/>
      <c r="CWU17" s="37"/>
      <c r="CWV17" s="37"/>
      <c r="CWW17" s="37"/>
      <c r="CWX17" s="37"/>
      <c r="CWY17" s="37"/>
      <c r="CWZ17" s="37"/>
      <c r="CXA17" s="37"/>
      <c r="CXB17" s="37"/>
      <c r="CXC17" s="37"/>
      <c r="CXD17" s="37"/>
      <c r="CXE17" s="37"/>
      <c r="CXF17" s="37"/>
      <c r="CXG17" s="37"/>
      <c r="CXH17" s="37"/>
      <c r="CXI17" s="37"/>
      <c r="CXJ17" s="37"/>
      <c r="CXK17" s="37"/>
      <c r="CXL17" s="37"/>
      <c r="CXM17" s="37"/>
      <c r="CXN17" s="37"/>
      <c r="CXO17" s="37"/>
      <c r="CXP17" s="37"/>
      <c r="CXQ17" s="37"/>
      <c r="CXR17" s="37"/>
      <c r="CXS17" s="37"/>
      <c r="CXT17" s="37"/>
      <c r="CXU17" s="37"/>
      <c r="CXV17" s="37"/>
      <c r="CXW17" s="37"/>
      <c r="CXX17" s="37"/>
      <c r="CXY17" s="37"/>
      <c r="CXZ17" s="37"/>
      <c r="CYA17" s="37"/>
      <c r="CYB17" s="37"/>
      <c r="CYC17" s="37"/>
      <c r="CYD17" s="37"/>
      <c r="CYE17" s="37"/>
      <c r="CYF17" s="37"/>
      <c r="CYG17" s="37"/>
      <c r="CYH17" s="37"/>
      <c r="CYI17" s="37"/>
      <c r="CYJ17" s="37"/>
      <c r="CYK17" s="37"/>
      <c r="CYL17" s="37"/>
      <c r="CYM17" s="37"/>
      <c r="CYN17" s="37"/>
      <c r="CYO17" s="37"/>
      <c r="CYP17" s="37"/>
      <c r="CYQ17" s="37"/>
      <c r="CYR17" s="37"/>
      <c r="CYS17" s="37"/>
      <c r="CYT17" s="37"/>
      <c r="CYU17" s="37"/>
      <c r="CYV17" s="37"/>
      <c r="CYW17" s="37"/>
      <c r="CYX17" s="37"/>
      <c r="CYY17" s="37"/>
      <c r="CYZ17" s="37"/>
      <c r="CZA17" s="37"/>
      <c r="CZB17" s="37"/>
      <c r="CZC17" s="37"/>
      <c r="CZD17" s="37"/>
      <c r="CZE17" s="37"/>
      <c r="CZF17" s="37"/>
      <c r="CZG17" s="37"/>
      <c r="CZH17" s="37"/>
      <c r="CZI17" s="37"/>
      <c r="CZJ17" s="37"/>
      <c r="CZK17" s="37"/>
      <c r="CZL17" s="37"/>
      <c r="CZM17" s="37"/>
      <c r="CZN17" s="37"/>
      <c r="CZO17" s="37"/>
      <c r="CZP17" s="37"/>
      <c r="CZQ17" s="37"/>
      <c r="CZR17" s="37"/>
      <c r="CZS17" s="37"/>
      <c r="CZT17" s="37"/>
      <c r="CZU17" s="37"/>
      <c r="CZV17" s="37"/>
      <c r="CZW17" s="37"/>
      <c r="CZX17" s="37"/>
      <c r="CZY17" s="37"/>
      <c r="CZZ17" s="37"/>
      <c r="DAA17" s="37"/>
      <c r="DAB17" s="37"/>
      <c r="DAC17" s="37"/>
      <c r="DAD17" s="37"/>
      <c r="DAE17" s="37"/>
      <c r="DAF17" s="37"/>
      <c r="DAG17" s="37"/>
      <c r="DAH17" s="37"/>
      <c r="DAI17" s="37"/>
      <c r="DAJ17" s="37"/>
      <c r="DAK17" s="37"/>
      <c r="DAL17" s="37"/>
      <c r="DAM17" s="37"/>
      <c r="DAN17" s="37"/>
      <c r="DAO17" s="37"/>
      <c r="DAP17" s="37"/>
      <c r="DAQ17" s="37"/>
      <c r="DAR17" s="37"/>
      <c r="DAS17" s="37"/>
      <c r="DAT17" s="37"/>
      <c r="DAU17" s="37"/>
      <c r="DAV17" s="37"/>
      <c r="DAW17" s="37"/>
      <c r="DAX17" s="37"/>
      <c r="DAY17" s="37"/>
      <c r="DAZ17" s="37"/>
      <c r="DBA17" s="37"/>
      <c r="DBB17" s="37"/>
      <c r="DBC17" s="37"/>
      <c r="DBD17" s="37"/>
      <c r="DBE17" s="37"/>
      <c r="DBF17" s="37"/>
      <c r="DBG17" s="37"/>
      <c r="DBH17" s="37"/>
      <c r="DBI17" s="37"/>
      <c r="DBJ17" s="37"/>
      <c r="DBK17" s="37"/>
      <c r="DBL17" s="37"/>
      <c r="DBM17" s="37"/>
      <c r="DBN17" s="37"/>
      <c r="DBO17" s="37"/>
      <c r="DBP17" s="37"/>
      <c r="DBQ17" s="37"/>
      <c r="DBR17" s="37"/>
      <c r="DBS17" s="37"/>
      <c r="DBT17" s="37"/>
      <c r="DBU17" s="37"/>
      <c r="DBV17" s="37"/>
      <c r="DBW17" s="37"/>
      <c r="DBX17" s="37"/>
      <c r="DBY17" s="37"/>
      <c r="DBZ17" s="37"/>
      <c r="DCA17" s="37"/>
      <c r="DCB17" s="37"/>
      <c r="DCC17" s="37"/>
      <c r="DCD17" s="37"/>
      <c r="DCE17" s="37"/>
      <c r="DCF17" s="37"/>
      <c r="DCG17" s="37"/>
      <c r="DCH17" s="37"/>
      <c r="DCI17" s="37"/>
      <c r="DCJ17" s="37"/>
      <c r="DCK17" s="37"/>
      <c r="DCL17" s="37"/>
      <c r="DCM17" s="37"/>
      <c r="DCN17" s="37"/>
      <c r="DCO17" s="37"/>
      <c r="DCP17" s="37"/>
      <c r="DCQ17" s="37"/>
      <c r="DCR17" s="37"/>
      <c r="DCS17" s="37"/>
      <c r="DCT17" s="37"/>
      <c r="DCU17" s="37"/>
      <c r="DCV17" s="37"/>
      <c r="DCW17" s="37"/>
      <c r="DCX17" s="37"/>
      <c r="DCY17" s="37"/>
      <c r="DCZ17" s="37"/>
      <c r="DDA17" s="37"/>
      <c r="DDB17" s="37"/>
      <c r="DDC17" s="37"/>
      <c r="DDD17" s="37"/>
      <c r="DDE17" s="37"/>
      <c r="DDF17" s="37"/>
      <c r="DDG17" s="37"/>
      <c r="DDH17" s="37"/>
      <c r="DDI17" s="37"/>
      <c r="DDJ17" s="37"/>
      <c r="DDK17" s="37"/>
      <c r="DDL17" s="37"/>
      <c r="DDM17" s="37"/>
      <c r="DDN17" s="37"/>
      <c r="DDO17" s="37"/>
      <c r="DDP17" s="37"/>
      <c r="DDQ17" s="37"/>
      <c r="DDR17" s="37"/>
      <c r="DDS17" s="37"/>
      <c r="DDT17" s="37"/>
      <c r="DDU17" s="37"/>
      <c r="DDV17" s="37"/>
      <c r="DDW17" s="37"/>
      <c r="DDX17" s="37"/>
      <c r="DDY17" s="37"/>
      <c r="DDZ17" s="37"/>
      <c r="DEA17" s="37"/>
      <c r="DEB17" s="37"/>
      <c r="DEC17" s="37"/>
      <c r="DED17" s="37"/>
      <c r="DEE17" s="37"/>
      <c r="DEF17" s="37"/>
      <c r="DEG17" s="37"/>
      <c r="DEH17" s="37"/>
      <c r="DEI17" s="37"/>
      <c r="DEJ17" s="37"/>
      <c r="DEK17" s="37"/>
      <c r="DEL17" s="37"/>
      <c r="DEM17" s="37"/>
      <c r="DEN17" s="37"/>
      <c r="DEO17" s="37"/>
      <c r="DEP17" s="37"/>
      <c r="DEQ17" s="37"/>
      <c r="DER17" s="37"/>
      <c r="DES17" s="37"/>
      <c r="DET17" s="37"/>
      <c r="DEU17" s="37"/>
      <c r="DEV17" s="37"/>
      <c r="DEW17" s="37"/>
      <c r="DEX17" s="37"/>
      <c r="DEY17" s="37"/>
      <c r="DEZ17" s="37"/>
      <c r="DFA17" s="37"/>
      <c r="DFB17" s="37"/>
      <c r="DFC17" s="37"/>
      <c r="DFD17" s="37"/>
      <c r="DFE17" s="37"/>
      <c r="DFF17" s="37"/>
      <c r="DFG17" s="37"/>
      <c r="DFH17" s="37"/>
      <c r="DFI17" s="37"/>
      <c r="DFJ17" s="37"/>
      <c r="DFK17" s="37"/>
      <c r="DFL17" s="37"/>
      <c r="DFM17" s="37"/>
      <c r="DFN17" s="37"/>
      <c r="DFO17" s="37"/>
      <c r="DFP17" s="37"/>
      <c r="DFQ17" s="37"/>
      <c r="DFR17" s="37"/>
      <c r="DFS17" s="37"/>
      <c r="DFT17" s="37"/>
      <c r="DFU17" s="37"/>
      <c r="DFV17" s="37"/>
      <c r="DFW17" s="37"/>
      <c r="DFX17" s="37"/>
      <c r="DFY17" s="37"/>
      <c r="DFZ17" s="37"/>
      <c r="DGA17" s="37"/>
      <c r="DGB17" s="37"/>
      <c r="DGC17" s="37"/>
      <c r="DGD17" s="37"/>
      <c r="DGE17" s="37"/>
      <c r="DGF17" s="37"/>
      <c r="DGG17" s="37"/>
      <c r="DGH17" s="37"/>
      <c r="DGI17" s="37"/>
      <c r="DGJ17" s="37"/>
      <c r="DGK17" s="37"/>
      <c r="DGL17" s="37"/>
      <c r="DGM17" s="37"/>
      <c r="DGN17" s="37"/>
      <c r="DGO17" s="37"/>
      <c r="DGP17" s="37"/>
      <c r="DGQ17" s="37"/>
      <c r="DGR17" s="37"/>
      <c r="DGS17" s="37"/>
      <c r="DGT17" s="37"/>
      <c r="DGU17" s="37"/>
      <c r="DGV17" s="37"/>
      <c r="DGW17" s="37"/>
      <c r="DGX17" s="37"/>
      <c r="DGY17" s="37"/>
      <c r="DGZ17" s="37"/>
      <c r="DHA17" s="37"/>
      <c r="DHB17" s="37"/>
      <c r="DHC17" s="37"/>
      <c r="DHD17" s="37"/>
      <c r="DHE17" s="37"/>
      <c r="DHF17" s="37"/>
      <c r="DHG17" s="37"/>
      <c r="DHH17" s="37"/>
      <c r="DHI17" s="37"/>
      <c r="DHJ17" s="37"/>
      <c r="DHK17" s="37"/>
      <c r="DHL17" s="37"/>
      <c r="DHM17" s="37"/>
      <c r="DHN17" s="37"/>
      <c r="DHO17" s="37"/>
      <c r="DHP17" s="37"/>
      <c r="DHQ17" s="37"/>
      <c r="DHR17" s="37"/>
      <c r="DHS17" s="37"/>
      <c r="DHT17" s="37"/>
      <c r="DHU17" s="37"/>
      <c r="DHV17" s="37"/>
      <c r="DHW17" s="37"/>
      <c r="DHX17" s="37"/>
      <c r="DHY17" s="37"/>
      <c r="DHZ17" s="37"/>
      <c r="DIA17" s="37"/>
      <c r="DIB17" s="37"/>
      <c r="DIC17" s="37"/>
      <c r="DID17" s="37"/>
      <c r="DIE17" s="37"/>
      <c r="DIF17" s="37"/>
      <c r="DIG17" s="37"/>
      <c r="DIH17" s="37"/>
      <c r="DII17" s="37"/>
      <c r="DIJ17" s="37"/>
      <c r="DIK17" s="37"/>
      <c r="DIL17" s="37"/>
      <c r="DIM17" s="37"/>
      <c r="DIN17" s="37"/>
      <c r="DIO17" s="37"/>
      <c r="DIP17" s="37"/>
      <c r="DIQ17" s="37"/>
      <c r="DIR17" s="37"/>
      <c r="DIS17" s="37"/>
      <c r="DIT17" s="37"/>
      <c r="DIU17" s="37"/>
      <c r="DIV17" s="37"/>
      <c r="DIW17" s="37"/>
      <c r="DIX17" s="37"/>
      <c r="DIY17" s="37"/>
      <c r="DIZ17" s="37"/>
      <c r="DJA17" s="37"/>
      <c r="DJB17" s="37"/>
      <c r="DJC17" s="37"/>
      <c r="DJD17" s="37"/>
      <c r="DJE17" s="37"/>
      <c r="DJF17" s="37"/>
      <c r="DJG17" s="37"/>
      <c r="DJH17" s="37"/>
      <c r="DJI17" s="37"/>
      <c r="DJJ17" s="37"/>
      <c r="DJK17" s="37"/>
      <c r="DJL17" s="37"/>
      <c r="DJM17" s="37"/>
      <c r="DJN17" s="37"/>
      <c r="DJO17" s="37"/>
      <c r="DJP17" s="37"/>
      <c r="DJQ17" s="37"/>
      <c r="DJR17" s="37"/>
      <c r="DJS17" s="37"/>
      <c r="DJT17" s="37"/>
      <c r="DJU17" s="37"/>
      <c r="DJV17" s="37"/>
      <c r="DJW17" s="37"/>
      <c r="DJX17" s="37"/>
      <c r="DJY17" s="37"/>
      <c r="DJZ17" s="37"/>
      <c r="DKA17" s="37"/>
      <c r="DKB17" s="37"/>
      <c r="DKC17" s="37"/>
      <c r="DKD17" s="37"/>
      <c r="DKE17" s="37"/>
      <c r="DKF17" s="37"/>
      <c r="DKG17" s="37"/>
      <c r="DKH17" s="37"/>
      <c r="DKI17" s="37"/>
      <c r="DKJ17" s="37"/>
      <c r="DKK17" s="37"/>
      <c r="DKL17" s="37"/>
      <c r="DKM17" s="37"/>
      <c r="DKN17" s="37"/>
      <c r="DKO17" s="37"/>
      <c r="DKP17" s="37"/>
      <c r="DKQ17" s="37"/>
      <c r="DKR17" s="37"/>
      <c r="DKS17" s="37"/>
      <c r="DKT17" s="37"/>
      <c r="DKU17" s="37"/>
      <c r="DKV17" s="37"/>
      <c r="DKW17" s="37"/>
      <c r="DKX17" s="37"/>
      <c r="DKY17" s="37"/>
      <c r="DKZ17" s="37"/>
      <c r="DLA17" s="37"/>
      <c r="DLB17" s="37"/>
      <c r="DLC17" s="37"/>
      <c r="DLD17" s="37"/>
      <c r="DLE17" s="37"/>
      <c r="DLF17" s="37"/>
      <c r="DLG17" s="37"/>
      <c r="DLH17" s="37"/>
      <c r="DLI17" s="37"/>
      <c r="DLJ17" s="37"/>
      <c r="DLK17" s="37"/>
      <c r="DLL17" s="37"/>
      <c r="DLM17" s="37"/>
      <c r="DLN17" s="37"/>
      <c r="DLO17" s="37"/>
      <c r="DLP17" s="37"/>
      <c r="DLQ17" s="37"/>
      <c r="DLR17" s="37"/>
      <c r="DLS17" s="37"/>
      <c r="DLT17" s="37"/>
      <c r="DLU17" s="37"/>
      <c r="DLV17" s="37"/>
      <c r="DLW17" s="37"/>
      <c r="DLX17" s="37"/>
      <c r="DLY17" s="37"/>
      <c r="DLZ17" s="37"/>
      <c r="DMA17" s="37"/>
      <c r="DMB17" s="37"/>
      <c r="DMC17" s="37"/>
      <c r="DMD17" s="37"/>
      <c r="DME17" s="37"/>
      <c r="DMF17" s="37"/>
      <c r="DMG17" s="37"/>
      <c r="DMH17" s="37"/>
      <c r="DMI17" s="37"/>
      <c r="DMJ17" s="37"/>
      <c r="DMK17" s="37"/>
      <c r="DML17" s="37"/>
      <c r="DMM17" s="37"/>
      <c r="DMN17" s="37"/>
      <c r="DMO17" s="37"/>
      <c r="DMP17" s="37"/>
      <c r="DMQ17" s="37"/>
      <c r="DMR17" s="37"/>
      <c r="DMS17" s="37"/>
      <c r="DMT17" s="37"/>
      <c r="DMU17" s="37"/>
      <c r="DMV17" s="37"/>
      <c r="DMW17" s="37"/>
      <c r="DMX17" s="37"/>
      <c r="DMY17" s="37"/>
      <c r="DMZ17" s="37"/>
      <c r="DNA17" s="37"/>
      <c r="DNB17" s="37"/>
      <c r="DNC17" s="37"/>
      <c r="DND17" s="37"/>
      <c r="DNE17" s="37"/>
      <c r="DNF17" s="37"/>
      <c r="DNG17" s="37"/>
      <c r="DNH17" s="37"/>
      <c r="DNI17" s="37"/>
      <c r="DNJ17" s="37"/>
      <c r="DNK17" s="37"/>
      <c r="DNL17" s="37"/>
      <c r="DNM17" s="37"/>
      <c r="DNN17" s="37"/>
      <c r="DNO17" s="37"/>
      <c r="DNP17" s="37"/>
      <c r="DNQ17" s="37"/>
      <c r="DNR17" s="37"/>
      <c r="DNS17" s="37"/>
      <c r="DNT17" s="37"/>
      <c r="DNU17" s="37"/>
      <c r="DNV17" s="37"/>
      <c r="DNW17" s="37"/>
      <c r="DNX17" s="37"/>
      <c r="DNY17" s="37"/>
      <c r="DNZ17" s="37"/>
      <c r="DOA17" s="37"/>
      <c r="DOB17" s="37"/>
      <c r="DOC17" s="37"/>
      <c r="DOD17" s="37"/>
      <c r="DOE17" s="37"/>
      <c r="DOF17" s="37"/>
      <c r="DOG17" s="37"/>
      <c r="DOH17" s="37"/>
      <c r="DOI17" s="37"/>
      <c r="DOJ17" s="37"/>
      <c r="DOK17" s="37"/>
      <c r="DOL17" s="37"/>
      <c r="DOM17" s="37"/>
      <c r="DON17" s="37"/>
      <c r="DOO17" s="37"/>
      <c r="DOP17" s="37"/>
      <c r="DOQ17" s="37"/>
      <c r="DOR17" s="37"/>
      <c r="DOS17" s="37"/>
      <c r="DOT17" s="37"/>
      <c r="DOU17" s="37"/>
      <c r="DOV17" s="37"/>
      <c r="DOW17" s="37"/>
      <c r="DOX17" s="37"/>
      <c r="DOY17" s="37"/>
      <c r="DOZ17" s="37"/>
      <c r="DPA17" s="37"/>
      <c r="DPB17" s="37"/>
      <c r="DPC17" s="37"/>
      <c r="DPD17" s="37"/>
      <c r="DPE17" s="37"/>
      <c r="DPF17" s="37"/>
      <c r="DPG17" s="37"/>
      <c r="DPH17" s="37"/>
      <c r="DPI17" s="37"/>
      <c r="DPJ17" s="37"/>
      <c r="DPK17" s="37"/>
      <c r="DPL17" s="37"/>
      <c r="DPM17" s="37"/>
      <c r="DPN17" s="37"/>
      <c r="DPO17" s="37"/>
      <c r="DPP17" s="37"/>
      <c r="DPQ17" s="37"/>
      <c r="DPR17" s="37"/>
      <c r="DPS17" s="37"/>
      <c r="DPT17" s="37"/>
      <c r="DPU17" s="37"/>
      <c r="DPV17" s="37"/>
      <c r="DPW17" s="37"/>
      <c r="DPX17" s="37"/>
      <c r="DPY17" s="37"/>
      <c r="DPZ17" s="37"/>
      <c r="DQA17" s="37"/>
      <c r="DQB17" s="37"/>
      <c r="DQC17" s="37"/>
      <c r="DQD17" s="37"/>
      <c r="DQE17" s="37"/>
      <c r="DQF17" s="37"/>
      <c r="DQG17" s="37"/>
      <c r="DQH17" s="37"/>
      <c r="DQI17" s="37"/>
      <c r="DQJ17" s="37"/>
      <c r="DQK17" s="37"/>
      <c r="DQL17" s="37"/>
      <c r="DQM17" s="37"/>
      <c r="DQN17" s="37"/>
      <c r="DQO17" s="37"/>
      <c r="DQP17" s="37"/>
      <c r="DQQ17" s="37"/>
      <c r="DQR17" s="37"/>
      <c r="DQS17" s="37"/>
      <c r="DQT17" s="37"/>
      <c r="DQU17" s="37"/>
      <c r="DQV17" s="37"/>
      <c r="DQW17" s="37"/>
      <c r="DQX17" s="37"/>
      <c r="DQY17" s="37"/>
      <c r="DQZ17" s="37"/>
      <c r="DRA17" s="37"/>
      <c r="DRB17" s="37"/>
      <c r="DRC17" s="37"/>
      <c r="DRD17" s="37"/>
      <c r="DRE17" s="37"/>
      <c r="DRF17" s="37"/>
      <c r="DRG17" s="37"/>
      <c r="DRH17" s="37"/>
      <c r="DRI17" s="37"/>
      <c r="DRJ17" s="37"/>
      <c r="DRK17" s="37"/>
      <c r="DRL17" s="37"/>
      <c r="DRM17" s="37"/>
      <c r="DRN17" s="37"/>
      <c r="DRO17" s="37"/>
      <c r="DRP17" s="37"/>
      <c r="DRQ17" s="37"/>
      <c r="DRR17" s="37"/>
      <c r="DRS17" s="37"/>
      <c r="DRT17" s="37"/>
      <c r="DRU17" s="37"/>
      <c r="DRV17" s="37"/>
      <c r="DRW17" s="37"/>
      <c r="DRX17" s="37"/>
      <c r="DRY17" s="37"/>
      <c r="DRZ17" s="37"/>
      <c r="DSA17" s="37"/>
      <c r="DSB17" s="37"/>
      <c r="DSC17" s="37"/>
      <c r="DSD17" s="37"/>
      <c r="DSE17" s="37"/>
      <c r="DSF17" s="37"/>
      <c r="DSG17" s="37"/>
      <c r="DSH17" s="37"/>
      <c r="DSI17" s="37"/>
      <c r="DSJ17" s="37"/>
      <c r="DSK17" s="37"/>
      <c r="DSL17" s="37"/>
      <c r="DSM17" s="37"/>
      <c r="DSN17" s="37"/>
      <c r="DSO17" s="37"/>
      <c r="DSP17" s="37"/>
      <c r="DSQ17" s="37"/>
      <c r="DSR17" s="37"/>
      <c r="DSS17" s="37"/>
      <c r="DST17" s="37"/>
      <c r="DSU17" s="37"/>
      <c r="DSV17" s="37"/>
      <c r="DSW17" s="37"/>
      <c r="DSX17" s="37"/>
      <c r="DSY17" s="37"/>
      <c r="DSZ17" s="37"/>
      <c r="DTA17" s="37"/>
      <c r="DTB17" s="37"/>
      <c r="DTC17" s="37"/>
      <c r="DTD17" s="37"/>
      <c r="DTE17" s="37"/>
      <c r="DTF17" s="37"/>
      <c r="DTG17" s="37"/>
      <c r="DTH17" s="37"/>
      <c r="DTI17" s="37"/>
      <c r="DTJ17" s="37"/>
      <c r="DTK17" s="37"/>
      <c r="DTL17" s="37"/>
      <c r="DTM17" s="37"/>
      <c r="DTN17" s="37"/>
      <c r="DTO17" s="37"/>
      <c r="DTP17" s="37"/>
      <c r="DTQ17" s="37"/>
      <c r="DTR17" s="37"/>
      <c r="DTS17" s="37"/>
      <c r="DTT17" s="37"/>
      <c r="DTU17" s="37"/>
      <c r="DTV17" s="37"/>
      <c r="DTW17" s="37"/>
      <c r="DTX17" s="37"/>
      <c r="DTY17" s="37"/>
      <c r="DTZ17" s="37"/>
      <c r="DUA17" s="37"/>
      <c r="DUB17" s="37"/>
      <c r="DUC17" s="37"/>
      <c r="DUD17" s="37"/>
      <c r="DUE17" s="37"/>
      <c r="DUF17" s="37"/>
      <c r="DUG17" s="37"/>
      <c r="DUH17" s="37"/>
      <c r="DUI17" s="37"/>
      <c r="DUJ17" s="37"/>
      <c r="DUK17" s="37"/>
      <c r="DUL17" s="37"/>
      <c r="DUM17" s="37"/>
      <c r="DUN17" s="37"/>
      <c r="DUO17" s="37"/>
      <c r="DUP17" s="37"/>
      <c r="DUQ17" s="37"/>
      <c r="DUR17" s="37"/>
      <c r="DUS17" s="37"/>
      <c r="DUT17" s="37"/>
      <c r="DUU17" s="37"/>
      <c r="DUV17" s="37"/>
      <c r="DUW17" s="37"/>
      <c r="DUX17" s="37"/>
      <c r="DUY17" s="37"/>
      <c r="DUZ17" s="37"/>
      <c r="DVA17" s="37"/>
      <c r="DVB17" s="37"/>
      <c r="DVC17" s="37"/>
      <c r="DVD17" s="37"/>
      <c r="DVE17" s="37"/>
      <c r="DVF17" s="37"/>
      <c r="DVG17" s="37"/>
      <c r="DVH17" s="37"/>
      <c r="DVI17" s="37"/>
      <c r="DVJ17" s="37"/>
      <c r="DVK17" s="37"/>
      <c r="DVL17" s="37"/>
      <c r="DVM17" s="37"/>
      <c r="DVN17" s="37"/>
      <c r="DVO17" s="37"/>
      <c r="DVP17" s="37"/>
      <c r="DVQ17" s="37"/>
      <c r="DVR17" s="37"/>
      <c r="DVS17" s="37"/>
      <c r="DVT17" s="37"/>
      <c r="DVU17" s="37"/>
      <c r="DVV17" s="37"/>
      <c r="DVW17" s="37"/>
      <c r="DVX17" s="37"/>
      <c r="DVY17" s="37"/>
      <c r="DVZ17" s="37"/>
      <c r="DWA17" s="37"/>
      <c r="DWB17" s="37"/>
      <c r="DWC17" s="37"/>
      <c r="DWD17" s="37"/>
      <c r="DWE17" s="37"/>
      <c r="DWF17" s="37"/>
      <c r="DWG17" s="37"/>
      <c r="DWH17" s="37"/>
      <c r="DWI17" s="37"/>
      <c r="DWJ17" s="37"/>
      <c r="DWK17" s="37"/>
      <c r="DWL17" s="37"/>
      <c r="DWM17" s="37"/>
      <c r="DWN17" s="37"/>
      <c r="DWO17" s="37"/>
      <c r="DWP17" s="37"/>
      <c r="DWQ17" s="37"/>
      <c r="DWR17" s="37"/>
      <c r="DWS17" s="37"/>
      <c r="DWT17" s="37"/>
      <c r="DWU17" s="37"/>
      <c r="DWV17" s="37"/>
      <c r="DWW17" s="37"/>
      <c r="DWX17" s="37"/>
      <c r="DWY17" s="37"/>
      <c r="DWZ17" s="37"/>
      <c r="DXA17" s="37"/>
      <c r="DXB17" s="37"/>
      <c r="DXC17" s="37"/>
      <c r="DXD17" s="37"/>
      <c r="DXE17" s="37"/>
      <c r="DXF17" s="37"/>
      <c r="DXG17" s="37"/>
      <c r="DXH17" s="37"/>
      <c r="DXI17" s="37"/>
      <c r="DXJ17" s="37"/>
      <c r="DXK17" s="37"/>
      <c r="DXL17" s="37"/>
      <c r="DXM17" s="37"/>
      <c r="DXN17" s="37"/>
      <c r="DXO17" s="37"/>
      <c r="DXP17" s="37"/>
      <c r="DXQ17" s="37"/>
      <c r="DXR17" s="37"/>
      <c r="DXS17" s="37"/>
      <c r="DXT17" s="37"/>
      <c r="DXU17" s="37"/>
      <c r="DXV17" s="37"/>
      <c r="DXW17" s="37"/>
      <c r="DXX17" s="37"/>
      <c r="DXY17" s="37"/>
      <c r="DXZ17" s="37"/>
      <c r="DYA17" s="37"/>
      <c r="DYB17" s="37"/>
      <c r="DYC17" s="37"/>
      <c r="DYD17" s="37"/>
      <c r="DYE17" s="37"/>
      <c r="DYF17" s="37"/>
      <c r="DYG17" s="37"/>
      <c r="DYH17" s="37"/>
      <c r="DYI17" s="37"/>
      <c r="DYJ17" s="37"/>
      <c r="DYK17" s="37"/>
      <c r="DYL17" s="37"/>
      <c r="DYM17" s="37"/>
      <c r="DYN17" s="37"/>
      <c r="DYO17" s="37"/>
      <c r="DYP17" s="37"/>
      <c r="DYQ17" s="37"/>
      <c r="DYR17" s="37"/>
      <c r="DYS17" s="37"/>
      <c r="DYT17" s="37"/>
      <c r="DYU17" s="37"/>
      <c r="DYV17" s="37"/>
      <c r="DYW17" s="37"/>
      <c r="DYX17" s="37"/>
      <c r="DYY17" s="37"/>
      <c r="DYZ17" s="37"/>
      <c r="DZA17" s="37"/>
      <c r="DZB17" s="37"/>
      <c r="DZC17" s="37"/>
      <c r="DZD17" s="37"/>
      <c r="DZE17" s="37"/>
      <c r="DZF17" s="37"/>
      <c r="DZG17" s="37"/>
      <c r="DZH17" s="37"/>
      <c r="DZI17" s="37"/>
      <c r="DZJ17" s="37"/>
      <c r="DZK17" s="37"/>
      <c r="DZL17" s="37"/>
      <c r="DZM17" s="37"/>
      <c r="DZN17" s="37"/>
      <c r="DZO17" s="37"/>
      <c r="DZP17" s="37"/>
      <c r="DZQ17" s="37"/>
      <c r="DZR17" s="37"/>
      <c r="DZS17" s="37"/>
      <c r="DZT17" s="37"/>
      <c r="DZU17" s="37"/>
      <c r="DZV17" s="37"/>
      <c r="DZW17" s="37"/>
      <c r="DZX17" s="37"/>
      <c r="DZY17" s="37"/>
      <c r="DZZ17" s="37"/>
      <c r="EAA17" s="37"/>
      <c r="EAB17" s="37"/>
      <c r="EAC17" s="37"/>
      <c r="EAD17" s="37"/>
      <c r="EAE17" s="37"/>
      <c r="EAF17" s="37"/>
      <c r="EAG17" s="37"/>
      <c r="EAH17" s="37"/>
      <c r="EAI17" s="37"/>
      <c r="EAJ17" s="37"/>
      <c r="EAK17" s="37"/>
      <c r="EAL17" s="37"/>
      <c r="EAM17" s="37"/>
      <c r="EAN17" s="37"/>
      <c r="EAO17" s="37"/>
      <c r="EAP17" s="37"/>
      <c r="EAQ17" s="37"/>
      <c r="EAR17" s="37"/>
      <c r="EAS17" s="37"/>
      <c r="EAT17" s="37"/>
      <c r="EAU17" s="37"/>
      <c r="EAV17" s="37"/>
      <c r="EAW17" s="37"/>
      <c r="EAX17" s="37"/>
      <c r="EAY17" s="37"/>
      <c r="EAZ17" s="37"/>
      <c r="EBA17" s="37"/>
      <c r="EBB17" s="37"/>
      <c r="EBC17" s="37"/>
      <c r="EBD17" s="37"/>
      <c r="EBE17" s="37"/>
      <c r="EBF17" s="37"/>
      <c r="EBG17" s="37"/>
      <c r="EBH17" s="37"/>
      <c r="EBI17" s="37"/>
      <c r="EBJ17" s="37"/>
      <c r="EBK17" s="37"/>
      <c r="EBL17" s="37"/>
      <c r="EBM17" s="37"/>
      <c r="EBN17" s="37"/>
      <c r="EBO17" s="37"/>
      <c r="EBP17" s="37"/>
      <c r="EBQ17" s="37"/>
      <c r="EBR17" s="37"/>
      <c r="EBS17" s="37"/>
      <c r="EBT17" s="37"/>
      <c r="EBU17" s="37"/>
      <c r="EBV17" s="37"/>
      <c r="EBW17" s="37"/>
      <c r="EBX17" s="37"/>
      <c r="EBY17" s="37"/>
      <c r="EBZ17" s="37"/>
      <c r="ECA17" s="37"/>
      <c r="ECB17" s="37"/>
      <c r="ECC17" s="37"/>
      <c r="ECD17" s="37"/>
      <c r="ECE17" s="37"/>
      <c r="ECF17" s="37"/>
      <c r="ECG17" s="37"/>
      <c r="ECH17" s="37"/>
      <c r="ECI17" s="37"/>
      <c r="ECJ17" s="37"/>
      <c r="ECK17" s="37"/>
      <c r="ECL17" s="37"/>
      <c r="ECM17" s="37"/>
      <c r="ECN17" s="37"/>
      <c r="ECO17" s="37"/>
      <c r="ECP17" s="37"/>
      <c r="ECQ17" s="37"/>
      <c r="ECR17" s="37"/>
      <c r="ECS17" s="37"/>
      <c r="ECT17" s="37"/>
      <c r="ECU17" s="37"/>
      <c r="ECV17" s="37"/>
      <c r="ECW17" s="37"/>
      <c r="ECX17" s="37"/>
      <c r="ECY17" s="37"/>
      <c r="ECZ17" s="37"/>
      <c r="EDA17" s="37"/>
      <c r="EDB17" s="37"/>
      <c r="EDC17" s="37"/>
      <c r="EDD17" s="37"/>
      <c r="EDE17" s="37"/>
      <c r="EDF17" s="37"/>
      <c r="EDG17" s="37"/>
      <c r="EDH17" s="37"/>
      <c r="EDI17" s="37"/>
      <c r="EDJ17" s="37"/>
      <c r="EDK17" s="37"/>
      <c r="EDL17" s="37"/>
      <c r="EDM17" s="37"/>
      <c r="EDN17" s="37"/>
      <c r="EDO17" s="37"/>
      <c r="EDP17" s="37"/>
      <c r="EDQ17" s="37"/>
      <c r="EDR17" s="37"/>
      <c r="EDS17" s="37"/>
      <c r="EDT17" s="37"/>
      <c r="EDU17" s="37"/>
      <c r="EDV17" s="37"/>
      <c r="EDW17" s="37"/>
      <c r="EDX17" s="37"/>
      <c r="EDY17" s="37"/>
      <c r="EDZ17" s="37"/>
      <c r="EEA17" s="37"/>
      <c r="EEB17" s="37"/>
      <c r="EEC17" s="37"/>
      <c r="EED17" s="37"/>
      <c r="EEE17" s="37"/>
      <c r="EEF17" s="37"/>
      <c r="EEG17" s="37"/>
      <c r="EEH17" s="37"/>
      <c r="EEI17" s="37"/>
      <c r="EEJ17" s="37"/>
      <c r="EEK17" s="37"/>
      <c r="EEL17" s="37"/>
      <c r="EEM17" s="37"/>
      <c r="EEN17" s="37"/>
      <c r="EEO17" s="37"/>
      <c r="EEP17" s="37"/>
      <c r="EEQ17" s="37"/>
      <c r="EER17" s="37"/>
      <c r="EES17" s="37"/>
      <c r="EET17" s="37"/>
      <c r="EEU17" s="37"/>
      <c r="EEV17" s="37"/>
      <c r="EEW17" s="37"/>
      <c r="EEX17" s="37"/>
      <c r="EEY17" s="37"/>
      <c r="EEZ17" s="37"/>
      <c r="EFA17" s="37"/>
      <c r="EFB17" s="37"/>
      <c r="EFC17" s="37"/>
      <c r="EFD17" s="37"/>
      <c r="EFE17" s="37"/>
      <c r="EFF17" s="37"/>
      <c r="EFG17" s="37"/>
      <c r="EFH17" s="37"/>
      <c r="EFI17" s="37"/>
      <c r="EFJ17" s="37"/>
      <c r="EFK17" s="37"/>
      <c r="EFL17" s="37"/>
      <c r="EFM17" s="37"/>
      <c r="EFN17" s="37"/>
      <c r="EFO17" s="37"/>
      <c r="EFP17" s="37"/>
      <c r="EFQ17" s="37"/>
      <c r="EFR17" s="37"/>
      <c r="EFS17" s="37"/>
      <c r="EFT17" s="37"/>
      <c r="EFU17" s="37"/>
      <c r="EFV17" s="37"/>
      <c r="EFW17" s="37"/>
      <c r="EFX17" s="37"/>
      <c r="EFY17" s="37"/>
      <c r="EFZ17" s="37"/>
      <c r="EGA17" s="37"/>
      <c r="EGB17" s="37"/>
      <c r="EGC17" s="37"/>
      <c r="EGD17" s="37"/>
      <c r="EGE17" s="37"/>
      <c r="EGF17" s="37"/>
      <c r="EGG17" s="37"/>
      <c r="EGH17" s="37"/>
      <c r="EGI17" s="37"/>
      <c r="EGJ17" s="37"/>
      <c r="EGK17" s="37"/>
      <c r="EGL17" s="37"/>
      <c r="EGM17" s="37"/>
      <c r="EGN17" s="37"/>
      <c r="EGO17" s="37"/>
      <c r="EGP17" s="37"/>
      <c r="EGQ17" s="37"/>
      <c r="EGR17" s="37"/>
      <c r="EGS17" s="37"/>
      <c r="EGT17" s="37"/>
      <c r="EGU17" s="37"/>
      <c r="EGV17" s="37"/>
      <c r="EGW17" s="37"/>
      <c r="EGX17" s="37"/>
      <c r="EGY17" s="37"/>
      <c r="EGZ17" s="37"/>
      <c r="EHA17" s="37"/>
      <c r="EHB17" s="37"/>
      <c r="EHC17" s="37"/>
      <c r="EHD17" s="37"/>
      <c r="EHE17" s="37"/>
      <c r="EHF17" s="37"/>
      <c r="EHG17" s="37"/>
      <c r="EHH17" s="37"/>
      <c r="EHI17" s="37"/>
      <c r="EHJ17" s="37"/>
      <c r="EHK17" s="37"/>
      <c r="EHL17" s="37"/>
      <c r="EHM17" s="37"/>
      <c r="EHN17" s="37"/>
      <c r="EHO17" s="37"/>
      <c r="EHP17" s="37"/>
      <c r="EHQ17" s="37"/>
      <c r="EHR17" s="37"/>
      <c r="EHS17" s="37"/>
      <c r="EHT17" s="37"/>
      <c r="EHU17" s="37"/>
      <c r="EHV17" s="37"/>
      <c r="EHW17" s="37"/>
      <c r="EHX17" s="37"/>
      <c r="EHY17" s="37"/>
      <c r="EHZ17" s="37"/>
      <c r="EIA17" s="37"/>
      <c r="EIB17" s="37"/>
      <c r="EIC17" s="37"/>
      <c r="EID17" s="37"/>
      <c r="EIE17" s="37"/>
      <c r="EIF17" s="37"/>
      <c r="EIG17" s="37"/>
      <c r="EIH17" s="37"/>
      <c r="EII17" s="37"/>
      <c r="EIJ17" s="37"/>
      <c r="EIK17" s="37"/>
      <c r="EIL17" s="37"/>
      <c r="EIM17" s="37"/>
      <c r="EIN17" s="37"/>
      <c r="EIO17" s="37"/>
      <c r="EIP17" s="37"/>
      <c r="EIQ17" s="37"/>
      <c r="EIR17" s="37"/>
      <c r="EIS17" s="37"/>
      <c r="EIT17" s="37"/>
      <c r="EIU17" s="37"/>
      <c r="EIV17" s="37"/>
      <c r="EIW17" s="37"/>
      <c r="EIX17" s="37"/>
      <c r="EIY17" s="37"/>
      <c r="EIZ17" s="37"/>
      <c r="EJA17" s="37"/>
      <c r="EJB17" s="37"/>
      <c r="EJC17" s="37"/>
      <c r="EJD17" s="37"/>
      <c r="EJE17" s="37"/>
      <c r="EJF17" s="37"/>
      <c r="EJG17" s="37"/>
      <c r="EJH17" s="37"/>
      <c r="EJI17" s="37"/>
      <c r="EJJ17" s="37"/>
      <c r="EJK17" s="37"/>
      <c r="EJL17" s="37"/>
      <c r="EJM17" s="37"/>
      <c r="EJN17" s="37"/>
      <c r="EJO17" s="37"/>
      <c r="EJP17" s="37"/>
      <c r="EJQ17" s="37"/>
      <c r="EJR17" s="37"/>
      <c r="EJS17" s="37"/>
      <c r="EJT17" s="37"/>
      <c r="EJU17" s="37"/>
      <c r="EJV17" s="37"/>
      <c r="EJW17" s="37"/>
      <c r="EJX17" s="37"/>
      <c r="EJY17" s="37"/>
      <c r="EJZ17" s="37"/>
      <c r="EKA17" s="37"/>
      <c r="EKB17" s="37"/>
      <c r="EKC17" s="37"/>
      <c r="EKD17" s="37"/>
      <c r="EKE17" s="37"/>
      <c r="EKF17" s="37"/>
      <c r="EKG17" s="37"/>
      <c r="EKH17" s="37"/>
      <c r="EKI17" s="37"/>
      <c r="EKJ17" s="37"/>
      <c r="EKK17" s="37"/>
      <c r="EKL17" s="37"/>
      <c r="EKM17" s="37"/>
      <c r="EKN17" s="37"/>
      <c r="EKO17" s="37"/>
      <c r="EKP17" s="37"/>
      <c r="EKQ17" s="37"/>
      <c r="EKR17" s="37"/>
      <c r="EKS17" s="37"/>
      <c r="EKT17" s="37"/>
      <c r="EKU17" s="37"/>
      <c r="EKV17" s="37"/>
      <c r="EKW17" s="37"/>
      <c r="EKX17" s="37"/>
      <c r="EKY17" s="37"/>
      <c r="EKZ17" s="37"/>
      <c r="ELA17" s="37"/>
      <c r="ELB17" s="37"/>
      <c r="ELC17" s="37"/>
      <c r="ELD17" s="37"/>
      <c r="ELE17" s="37"/>
      <c r="ELF17" s="37"/>
      <c r="ELG17" s="37"/>
      <c r="ELH17" s="37"/>
      <c r="ELI17" s="37"/>
      <c r="ELJ17" s="37"/>
      <c r="ELK17" s="37"/>
      <c r="ELL17" s="37"/>
      <c r="ELM17" s="37"/>
      <c r="ELN17" s="37"/>
      <c r="ELO17" s="37"/>
      <c r="ELP17" s="37"/>
      <c r="ELQ17" s="37"/>
      <c r="ELR17" s="37"/>
      <c r="ELS17" s="37"/>
      <c r="ELT17" s="37"/>
      <c r="ELU17" s="37"/>
      <c r="ELV17" s="37"/>
      <c r="ELW17" s="37"/>
      <c r="ELX17" s="37"/>
      <c r="ELY17" s="37"/>
      <c r="ELZ17" s="37"/>
      <c r="EMA17" s="37"/>
      <c r="EMB17" s="37"/>
      <c r="EMC17" s="37"/>
      <c r="EMD17" s="37"/>
      <c r="EME17" s="37"/>
      <c r="EMF17" s="37"/>
      <c r="EMG17" s="37"/>
      <c r="EMH17" s="37"/>
      <c r="EMI17" s="37"/>
      <c r="EMJ17" s="37"/>
      <c r="EMK17" s="37"/>
      <c r="EML17" s="37"/>
      <c r="EMM17" s="37"/>
      <c r="EMN17" s="37"/>
      <c r="EMO17" s="37"/>
      <c r="EMP17" s="37"/>
      <c r="EMQ17" s="37"/>
      <c r="EMR17" s="37"/>
      <c r="EMS17" s="37"/>
      <c r="EMT17" s="37"/>
      <c r="EMU17" s="37"/>
      <c r="EMV17" s="37"/>
      <c r="EMW17" s="37"/>
      <c r="EMX17" s="37"/>
      <c r="EMY17" s="37"/>
      <c r="EMZ17" s="37"/>
      <c r="ENA17" s="37"/>
      <c r="ENB17" s="37"/>
      <c r="ENC17" s="37"/>
      <c r="END17" s="37"/>
      <c r="ENE17" s="37"/>
      <c r="ENF17" s="37"/>
      <c r="ENG17" s="37"/>
      <c r="ENH17" s="37"/>
      <c r="ENI17" s="37"/>
      <c r="ENJ17" s="37"/>
      <c r="ENK17" s="37"/>
      <c r="ENL17" s="37"/>
      <c r="ENM17" s="37"/>
      <c r="ENN17" s="37"/>
      <c r="ENO17" s="37"/>
      <c r="ENP17" s="37"/>
      <c r="ENQ17" s="37"/>
      <c r="ENR17" s="37"/>
      <c r="ENS17" s="37"/>
      <c r="ENT17" s="37"/>
      <c r="ENU17" s="37"/>
      <c r="ENV17" s="37"/>
      <c r="ENW17" s="37"/>
      <c r="ENX17" s="37"/>
      <c r="ENY17" s="37"/>
      <c r="ENZ17" s="37"/>
      <c r="EOA17" s="37"/>
      <c r="EOB17" s="37"/>
      <c r="EOC17" s="37"/>
      <c r="EOD17" s="37"/>
      <c r="EOE17" s="37"/>
      <c r="EOF17" s="37"/>
      <c r="EOG17" s="37"/>
      <c r="EOH17" s="37"/>
      <c r="EOI17" s="37"/>
      <c r="EOJ17" s="37"/>
      <c r="EOK17" s="37"/>
      <c r="EOL17" s="37"/>
      <c r="EOM17" s="37"/>
      <c r="EON17" s="37"/>
      <c r="EOO17" s="37"/>
      <c r="EOP17" s="37"/>
      <c r="EOQ17" s="37"/>
      <c r="EOR17" s="37"/>
      <c r="EOS17" s="37"/>
      <c r="EOT17" s="37"/>
      <c r="EOU17" s="37"/>
      <c r="EOV17" s="37"/>
      <c r="EOW17" s="37"/>
      <c r="EOX17" s="37"/>
      <c r="EOY17" s="37"/>
      <c r="EOZ17" s="37"/>
      <c r="EPA17" s="37"/>
      <c r="EPB17" s="37"/>
      <c r="EPC17" s="37"/>
      <c r="EPD17" s="37"/>
      <c r="EPE17" s="37"/>
      <c r="EPF17" s="37"/>
      <c r="EPG17" s="37"/>
      <c r="EPH17" s="37"/>
      <c r="EPI17" s="37"/>
      <c r="EPJ17" s="37"/>
      <c r="EPK17" s="37"/>
      <c r="EPL17" s="37"/>
      <c r="EPM17" s="37"/>
      <c r="EPN17" s="37"/>
      <c r="EPO17" s="37"/>
      <c r="EPP17" s="37"/>
      <c r="EPQ17" s="37"/>
      <c r="EPR17" s="37"/>
      <c r="EPS17" s="37"/>
      <c r="EPT17" s="37"/>
      <c r="EPU17" s="37"/>
      <c r="EPV17" s="37"/>
      <c r="EPW17" s="37"/>
      <c r="EPX17" s="37"/>
      <c r="EPY17" s="37"/>
      <c r="EPZ17" s="37"/>
      <c r="EQA17" s="37"/>
      <c r="EQB17" s="37"/>
      <c r="EQC17" s="37"/>
      <c r="EQD17" s="37"/>
      <c r="EQE17" s="37"/>
      <c r="EQF17" s="37"/>
      <c r="EQG17" s="37"/>
      <c r="EQH17" s="37"/>
      <c r="EQI17" s="37"/>
      <c r="EQJ17" s="37"/>
      <c r="EQK17" s="37"/>
      <c r="EQL17" s="37"/>
      <c r="EQM17" s="37"/>
      <c r="EQN17" s="37"/>
      <c r="EQO17" s="37"/>
      <c r="EQP17" s="37"/>
      <c r="EQQ17" s="37"/>
      <c r="EQR17" s="37"/>
      <c r="EQS17" s="37"/>
      <c r="EQT17" s="37"/>
      <c r="EQU17" s="37"/>
      <c r="EQV17" s="37"/>
      <c r="EQW17" s="37"/>
      <c r="EQX17" s="37"/>
      <c r="EQY17" s="37"/>
      <c r="EQZ17" s="37"/>
      <c r="ERA17" s="37"/>
      <c r="ERB17" s="37"/>
      <c r="ERC17" s="37"/>
      <c r="ERD17" s="37"/>
      <c r="ERE17" s="37"/>
      <c r="ERF17" s="37"/>
      <c r="ERG17" s="37"/>
      <c r="ERH17" s="37"/>
      <c r="ERI17" s="37"/>
      <c r="ERJ17" s="37"/>
      <c r="ERK17" s="37"/>
      <c r="ERL17" s="37"/>
      <c r="ERM17" s="37"/>
      <c r="ERN17" s="37"/>
      <c r="ERO17" s="37"/>
      <c r="ERP17" s="37"/>
      <c r="ERQ17" s="37"/>
      <c r="ERR17" s="37"/>
      <c r="ERS17" s="37"/>
      <c r="ERT17" s="37"/>
      <c r="ERU17" s="37"/>
      <c r="ERV17" s="37"/>
      <c r="ERW17" s="37"/>
      <c r="ERX17" s="37"/>
      <c r="ERY17" s="37"/>
      <c r="ERZ17" s="37"/>
      <c r="ESA17" s="37"/>
      <c r="ESB17" s="37"/>
      <c r="ESC17" s="37"/>
      <c r="ESD17" s="37"/>
      <c r="ESE17" s="37"/>
      <c r="ESF17" s="37"/>
      <c r="ESG17" s="37"/>
      <c r="ESH17" s="37"/>
      <c r="ESI17" s="37"/>
      <c r="ESJ17" s="37"/>
      <c r="ESK17" s="37"/>
      <c r="ESL17" s="37"/>
      <c r="ESM17" s="37"/>
      <c r="ESN17" s="37"/>
      <c r="ESO17" s="37"/>
      <c r="ESP17" s="37"/>
      <c r="ESQ17" s="37"/>
      <c r="ESR17" s="37"/>
      <c r="ESS17" s="37"/>
      <c r="EST17" s="37"/>
      <c r="ESU17" s="37"/>
      <c r="ESV17" s="37"/>
      <c r="ESW17" s="37"/>
      <c r="ESX17" s="37"/>
      <c r="ESY17" s="37"/>
      <c r="ESZ17" s="37"/>
      <c r="ETA17" s="37"/>
      <c r="ETB17" s="37"/>
      <c r="ETC17" s="37"/>
      <c r="ETD17" s="37"/>
      <c r="ETE17" s="37"/>
      <c r="ETF17" s="37"/>
      <c r="ETG17" s="37"/>
      <c r="ETH17" s="37"/>
      <c r="ETI17" s="37"/>
      <c r="ETJ17" s="37"/>
      <c r="ETK17" s="37"/>
      <c r="ETL17" s="37"/>
      <c r="ETM17" s="37"/>
      <c r="ETN17" s="37"/>
      <c r="ETO17" s="37"/>
      <c r="ETP17" s="37"/>
      <c r="ETQ17" s="37"/>
      <c r="ETR17" s="37"/>
      <c r="ETS17" s="37"/>
      <c r="ETT17" s="37"/>
      <c r="ETU17" s="37"/>
      <c r="ETV17" s="37"/>
      <c r="ETW17" s="37"/>
      <c r="ETX17" s="37"/>
      <c r="ETY17" s="37"/>
      <c r="ETZ17" s="37"/>
      <c r="EUA17" s="37"/>
      <c r="EUB17" s="37"/>
      <c r="EUC17" s="37"/>
      <c r="EUD17" s="37"/>
      <c r="EUE17" s="37"/>
      <c r="EUF17" s="37"/>
      <c r="EUG17" s="37"/>
      <c r="EUH17" s="37"/>
      <c r="EUI17" s="37"/>
      <c r="EUJ17" s="37"/>
      <c r="EUK17" s="37"/>
      <c r="EUL17" s="37"/>
      <c r="EUM17" s="37"/>
      <c r="EUN17" s="37"/>
      <c r="EUO17" s="37"/>
      <c r="EUP17" s="37"/>
      <c r="EUQ17" s="37"/>
      <c r="EUR17" s="37"/>
      <c r="EUS17" s="37"/>
      <c r="EUT17" s="37"/>
      <c r="EUU17" s="37"/>
      <c r="EUV17" s="37"/>
      <c r="EUW17" s="37"/>
      <c r="EUX17" s="37"/>
      <c r="EUY17" s="37"/>
      <c r="EUZ17" s="37"/>
      <c r="EVA17" s="37"/>
      <c r="EVB17" s="37"/>
      <c r="EVC17" s="37"/>
      <c r="EVD17" s="37"/>
      <c r="EVE17" s="37"/>
      <c r="EVF17" s="37"/>
      <c r="EVG17" s="37"/>
      <c r="EVH17" s="37"/>
      <c r="EVI17" s="37"/>
      <c r="EVJ17" s="37"/>
      <c r="EVK17" s="37"/>
      <c r="EVL17" s="37"/>
      <c r="EVM17" s="37"/>
      <c r="EVN17" s="37"/>
      <c r="EVO17" s="37"/>
      <c r="EVP17" s="37"/>
      <c r="EVQ17" s="37"/>
      <c r="EVR17" s="37"/>
      <c r="EVS17" s="37"/>
      <c r="EVT17" s="37"/>
      <c r="EVU17" s="37"/>
      <c r="EVV17" s="37"/>
      <c r="EVW17" s="37"/>
      <c r="EVX17" s="37"/>
      <c r="EVY17" s="37"/>
      <c r="EVZ17" s="37"/>
      <c r="EWA17" s="37"/>
      <c r="EWB17" s="37"/>
      <c r="EWC17" s="37"/>
      <c r="EWD17" s="37"/>
      <c r="EWE17" s="37"/>
      <c r="EWF17" s="37"/>
      <c r="EWG17" s="37"/>
      <c r="EWH17" s="37"/>
      <c r="EWI17" s="37"/>
      <c r="EWJ17" s="37"/>
      <c r="EWK17" s="37"/>
      <c r="EWL17" s="37"/>
      <c r="EWM17" s="37"/>
      <c r="EWN17" s="37"/>
      <c r="EWO17" s="37"/>
      <c r="EWP17" s="37"/>
      <c r="EWQ17" s="37"/>
      <c r="EWR17" s="37"/>
      <c r="EWS17" s="37"/>
      <c r="EWT17" s="37"/>
      <c r="EWU17" s="37"/>
      <c r="EWV17" s="37"/>
      <c r="EWW17" s="37"/>
      <c r="EWX17" s="37"/>
      <c r="EWY17" s="37"/>
      <c r="EWZ17" s="37"/>
      <c r="EXA17" s="37"/>
      <c r="EXB17" s="37"/>
      <c r="EXC17" s="37"/>
      <c r="EXD17" s="37"/>
      <c r="EXE17" s="37"/>
      <c r="EXF17" s="37"/>
      <c r="EXG17" s="37"/>
      <c r="EXH17" s="37"/>
      <c r="EXI17" s="37"/>
      <c r="EXJ17" s="37"/>
      <c r="EXK17" s="37"/>
      <c r="EXL17" s="37"/>
      <c r="EXM17" s="37"/>
      <c r="EXN17" s="37"/>
      <c r="EXO17" s="37"/>
      <c r="EXP17" s="37"/>
      <c r="EXQ17" s="37"/>
      <c r="EXR17" s="37"/>
      <c r="EXS17" s="37"/>
      <c r="EXT17" s="37"/>
      <c r="EXU17" s="37"/>
      <c r="EXV17" s="37"/>
      <c r="EXW17" s="37"/>
      <c r="EXX17" s="37"/>
      <c r="EXY17" s="37"/>
      <c r="EXZ17" s="37"/>
      <c r="EYA17" s="37"/>
      <c r="EYB17" s="37"/>
      <c r="EYC17" s="37"/>
      <c r="EYD17" s="37"/>
      <c r="EYE17" s="37"/>
      <c r="EYF17" s="37"/>
      <c r="EYG17" s="37"/>
      <c r="EYH17" s="37"/>
      <c r="EYI17" s="37"/>
      <c r="EYJ17" s="37"/>
      <c r="EYK17" s="37"/>
      <c r="EYL17" s="37"/>
      <c r="EYM17" s="37"/>
      <c r="EYN17" s="37"/>
      <c r="EYO17" s="37"/>
      <c r="EYP17" s="37"/>
      <c r="EYQ17" s="37"/>
      <c r="EYR17" s="37"/>
      <c r="EYS17" s="37"/>
      <c r="EYT17" s="37"/>
      <c r="EYU17" s="37"/>
      <c r="EYV17" s="37"/>
      <c r="EYW17" s="37"/>
      <c r="EYX17" s="37"/>
      <c r="EYY17" s="37"/>
      <c r="EYZ17" s="37"/>
      <c r="EZA17" s="37"/>
      <c r="EZB17" s="37"/>
      <c r="EZC17" s="37"/>
      <c r="EZD17" s="37"/>
      <c r="EZE17" s="37"/>
      <c r="EZF17" s="37"/>
      <c r="EZG17" s="37"/>
      <c r="EZH17" s="37"/>
      <c r="EZI17" s="37"/>
      <c r="EZJ17" s="37"/>
      <c r="EZK17" s="37"/>
      <c r="EZL17" s="37"/>
      <c r="EZM17" s="37"/>
      <c r="EZN17" s="37"/>
      <c r="EZO17" s="37"/>
      <c r="EZP17" s="37"/>
      <c r="EZQ17" s="37"/>
      <c r="EZR17" s="37"/>
      <c r="EZS17" s="37"/>
      <c r="EZT17" s="37"/>
      <c r="EZU17" s="37"/>
      <c r="EZV17" s="37"/>
      <c r="EZW17" s="37"/>
      <c r="EZX17" s="37"/>
      <c r="EZY17" s="37"/>
      <c r="EZZ17" s="37"/>
      <c r="FAA17" s="37"/>
      <c r="FAB17" s="37"/>
      <c r="FAC17" s="37"/>
      <c r="FAD17" s="37"/>
      <c r="FAE17" s="37"/>
      <c r="FAF17" s="37"/>
      <c r="FAG17" s="37"/>
      <c r="FAH17" s="37"/>
      <c r="FAI17" s="37"/>
      <c r="FAJ17" s="37"/>
      <c r="FAK17" s="37"/>
      <c r="FAL17" s="37"/>
      <c r="FAM17" s="37"/>
      <c r="FAN17" s="37"/>
      <c r="FAO17" s="37"/>
      <c r="FAP17" s="37"/>
      <c r="FAQ17" s="37"/>
      <c r="FAR17" s="37"/>
      <c r="FAS17" s="37"/>
      <c r="FAT17" s="37"/>
      <c r="FAU17" s="37"/>
      <c r="FAV17" s="37"/>
      <c r="FAW17" s="37"/>
      <c r="FAX17" s="37"/>
      <c r="FAY17" s="37"/>
      <c r="FAZ17" s="37"/>
      <c r="FBA17" s="37"/>
      <c r="FBB17" s="37"/>
      <c r="FBC17" s="37"/>
      <c r="FBD17" s="37"/>
      <c r="FBE17" s="37"/>
      <c r="FBF17" s="37"/>
      <c r="FBG17" s="37"/>
      <c r="FBH17" s="37"/>
      <c r="FBI17" s="37"/>
      <c r="FBJ17" s="37"/>
      <c r="FBK17" s="37"/>
      <c r="FBL17" s="37"/>
      <c r="FBM17" s="37"/>
      <c r="FBN17" s="37"/>
      <c r="FBO17" s="37"/>
      <c r="FBP17" s="37"/>
      <c r="FBQ17" s="37"/>
      <c r="FBR17" s="37"/>
      <c r="FBS17" s="37"/>
      <c r="FBT17" s="37"/>
      <c r="FBU17" s="37"/>
      <c r="FBV17" s="37"/>
      <c r="FBW17" s="37"/>
      <c r="FBX17" s="37"/>
      <c r="FBY17" s="37"/>
      <c r="FBZ17" s="37"/>
      <c r="FCA17" s="37"/>
      <c r="FCB17" s="37"/>
      <c r="FCC17" s="37"/>
      <c r="FCD17" s="37"/>
      <c r="FCE17" s="37"/>
      <c r="FCF17" s="37"/>
      <c r="FCG17" s="37"/>
      <c r="FCH17" s="37"/>
      <c r="FCI17" s="37"/>
      <c r="FCJ17" s="37"/>
      <c r="FCK17" s="37"/>
      <c r="FCL17" s="37"/>
      <c r="FCM17" s="37"/>
      <c r="FCN17" s="37"/>
      <c r="FCO17" s="37"/>
      <c r="FCP17" s="37"/>
      <c r="FCQ17" s="37"/>
      <c r="FCR17" s="37"/>
      <c r="FCS17" s="37"/>
      <c r="FCT17" s="37"/>
      <c r="FCU17" s="37"/>
      <c r="FCV17" s="37"/>
      <c r="FCW17" s="37"/>
      <c r="FCX17" s="37"/>
      <c r="FCY17" s="37"/>
      <c r="FCZ17" s="37"/>
      <c r="FDA17" s="37"/>
      <c r="FDB17" s="37"/>
      <c r="FDC17" s="37"/>
      <c r="FDD17" s="37"/>
      <c r="FDE17" s="37"/>
      <c r="FDF17" s="37"/>
      <c r="FDG17" s="37"/>
      <c r="FDH17" s="37"/>
      <c r="FDI17" s="37"/>
      <c r="FDJ17" s="37"/>
      <c r="FDK17" s="37"/>
      <c r="FDL17" s="37"/>
      <c r="FDM17" s="37"/>
      <c r="FDN17" s="37"/>
      <c r="FDO17" s="37"/>
      <c r="FDP17" s="37"/>
      <c r="FDQ17" s="37"/>
      <c r="FDR17" s="37"/>
      <c r="FDS17" s="37"/>
      <c r="FDT17" s="37"/>
      <c r="FDU17" s="37"/>
      <c r="FDV17" s="37"/>
      <c r="FDW17" s="37"/>
      <c r="FDX17" s="37"/>
      <c r="FDY17" s="37"/>
      <c r="FDZ17" s="37"/>
      <c r="FEA17" s="37"/>
      <c r="FEB17" s="37"/>
      <c r="FEC17" s="37"/>
      <c r="FED17" s="37"/>
      <c r="FEE17" s="37"/>
      <c r="FEF17" s="37"/>
      <c r="FEG17" s="37"/>
      <c r="FEH17" s="37"/>
      <c r="FEI17" s="37"/>
      <c r="FEJ17" s="37"/>
      <c r="FEK17" s="37"/>
      <c r="FEL17" s="37"/>
      <c r="FEM17" s="37"/>
      <c r="FEN17" s="37"/>
      <c r="FEO17" s="37"/>
      <c r="FEP17" s="37"/>
      <c r="FEQ17" s="37"/>
      <c r="FER17" s="37"/>
      <c r="FES17" s="37"/>
      <c r="FET17" s="37"/>
      <c r="FEU17" s="37"/>
      <c r="FEV17" s="37"/>
      <c r="FEW17" s="37"/>
      <c r="FEX17" s="37"/>
      <c r="FEY17" s="37"/>
      <c r="FEZ17" s="37"/>
      <c r="FFA17" s="37"/>
      <c r="FFB17" s="37"/>
      <c r="FFC17" s="37"/>
      <c r="FFD17" s="37"/>
      <c r="FFE17" s="37"/>
      <c r="FFF17" s="37"/>
      <c r="FFG17" s="37"/>
      <c r="FFH17" s="37"/>
      <c r="FFI17" s="37"/>
      <c r="FFJ17" s="37"/>
      <c r="FFK17" s="37"/>
      <c r="FFL17" s="37"/>
      <c r="FFM17" s="37"/>
      <c r="FFN17" s="37"/>
      <c r="FFO17" s="37"/>
      <c r="FFP17" s="37"/>
      <c r="FFQ17" s="37"/>
      <c r="FFR17" s="37"/>
      <c r="FFS17" s="37"/>
      <c r="FFT17" s="37"/>
      <c r="FFU17" s="37"/>
      <c r="FFV17" s="37"/>
      <c r="FFW17" s="37"/>
      <c r="FFX17" s="37"/>
      <c r="FFY17" s="37"/>
      <c r="FFZ17" s="37"/>
      <c r="FGA17" s="37"/>
      <c r="FGB17" s="37"/>
      <c r="FGC17" s="37"/>
      <c r="FGD17" s="37"/>
      <c r="FGE17" s="37"/>
      <c r="FGF17" s="37"/>
      <c r="FGG17" s="37"/>
      <c r="FGH17" s="37"/>
      <c r="FGI17" s="37"/>
      <c r="FGJ17" s="37"/>
      <c r="FGK17" s="37"/>
      <c r="FGL17" s="37"/>
      <c r="FGM17" s="37"/>
      <c r="FGN17" s="37"/>
      <c r="FGO17" s="37"/>
      <c r="FGP17" s="37"/>
      <c r="FGQ17" s="37"/>
      <c r="FGR17" s="37"/>
      <c r="FGS17" s="37"/>
      <c r="FGT17" s="37"/>
      <c r="FGU17" s="37"/>
      <c r="FGV17" s="37"/>
      <c r="FGW17" s="37"/>
      <c r="FGX17" s="37"/>
      <c r="FGY17" s="37"/>
      <c r="FGZ17" s="37"/>
      <c r="FHA17" s="37"/>
      <c r="FHB17" s="37"/>
      <c r="FHC17" s="37"/>
      <c r="FHD17" s="37"/>
      <c r="FHE17" s="37"/>
      <c r="FHF17" s="37"/>
      <c r="FHG17" s="37"/>
      <c r="FHH17" s="37"/>
      <c r="FHI17" s="37"/>
      <c r="FHJ17" s="37"/>
      <c r="FHK17" s="37"/>
      <c r="FHL17" s="37"/>
      <c r="FHM17" s="37"/>
      <c r="FHN17" s="37"/>
      <c r="FHO17" s="37"/>
      <c r="FHP17" s="37"/>
      <c r="FHQ17" s="37"/>
      <c r="FHR17" s="37"/>
      <c r="FHS17" s="37"/>
      <c r="FHT17" s="37"/>
      <c r="FHU17" s="37"/>
      <c r="FHV17" s="37"/>
      <c r="FHW17" s="37"/>
      <c r="FHX17" s="37"/>
      <c r="FHY17" s="37"/>
      <c r="FHZ17" s="37"/>
      <c r="FIA17" s="37"/>
      <c r="FIB17" s="37"/>
      <c r="FIC17" s="37"/>
      <c r="FID17" s="37"/>
      <c r="FIE17" s="37"/>
      <c r="FIF17" s="37"/>
      <c r="FIG17" s="37"/>
      <c r="FIH17" s="37"/>
      <c r="FII17" s="37"/>
      <c r="FIJ17" s="37"/>
      <c r="FIK17" s="37"/>
      <c r="FIL17" s="37"/>
      <c r="FIM17" s="37"/>
      <c r="FIN17" s="37"/>
      <c r="FIO17" s="37"/>
      <c r="FIP17" s="37"/>
      <c r="FIQ17" s="37"/>
      <c r="FIR17" s="37"/>
      <c r="FIS17" s="37"/>
      <c r="FIT17" s="37"/>
      <c r="FIU17" s="37"/>
      <c r="FIV17" s="37"/>
      <c r="FIW17" s="37"/>
      <c r="FIX17" s="37"/>
      <c r="FIY17" s="37"/>
      <c r="FIZ17" s="37"/>
      <c r="FJA17" s="37"/>
      <c r="FJB17" s="37"/>
      <c r="FJC17" s="37"/>
      <c r="FJD17" s="37"/>
      <c r="FJE17" s="37"/>
      <c r="FJF17" s="37"/>
      <c r="FJG17" s="37"/>
      <c r="FJH17" s="37"/>
      <c r="FJI17" s="37"/>
      <c r="FJJ17" s="37"/>
      <c r="FJK17" s="37"/>
      <c r="FJL17" s="37"/>
      <c r="FJM17" s="37"/>
      <c r="FJN17" s="37"/>
      <c r="FJO17" s="37"/>
      <c r="FJP17" s="37"/>
      <c r="FJQ17" s="37"/>
      <c r="FJR17" s="37"/>
      <c r="FJS17" s="37"/>
      <c r="FJT17" s="37"/>
      <c r="FJU17" s="37"/>
      <c r="FJV17" s="37"/>
      <c r="FJW17" s="37"/>
      <c r="FJX17" s="37"/>
      <c r="FJY17" s="37"/>
      <c r="FJZ17" s="37"/>
      <c r="FKA17" s="37"/>
      <c r="FKB17" s="37"/>
      <c r="FKC17" s="37"/>
      <c r="FKD17" s="37"/>
      <c r="FKE17" s="37"/>
      <c r="FKF17" s="37"/>
      <c r="FKG17" s="37"/>
      <c r="FKH17" s="37"/>
      <c r="FKI17" s="37"/>
      <c r="FKJ17" s="37"/>
      <c r="FKK17" s="37"/>
      <c r="FKL17" s="37"/>
      <c r="FKM17" s="37"/>
      <c r="FKN17" s="37"/>
      <c r="FKO17" s="37"/>
      <c r="FKP17" s="37"/>
      <c r="FKQ17" s="37"/>
      <c r="FKR17" s="37"/>
      <c r="FKS17" s="37"/>
      <c r="FKT17" s="37"/>
      <c r="FKU17" s="37"/>
      <c r="FKV17" s="37"/>
      <c r="FKW17" s="37"/>
      <c r="FKX17" s="37"/>
      <c r="FKY17" s="37"/>
      <c r="FKZ17" s="37"/>
      <c r="FLA17" s="37"/>
      <c r="FLB17" s="37"/>
      <c r="FLC17" s="37"/>
      <c r="FLD17" s="37"/>
      <c r="FLE17" s="37"/>
      <c r="FLF17" s="37"/>
      <c r="FLG17" s="37"/>
      <c r="FLH17" s="37"/>
      <c r="FLI17" s="37"/>
      <c r="FLJ17" s="37"/>
      <c r="FLK17" s="37"/>
      <c r="FLL17" s="37"/>
      <c r="FLM17" s="37"/>
      <c r="FLN17" s="37"/>
      <c r="FLO17" s="37"/>
      <c r="FLP17" s="37"/>
      <c r="FLQ17" s="37"/>
      <c r="FLR17" s="37"/>
      <c r="FLS17" s="37"/>
      <c r="FLT17" s="37"/>
      <c r="FLU17" s="37"/>
      <c r="FLV17" s="37"/>
      <c r="FLW17" s="37"/>
      <c r="FLX17" s="37"/>
      <c r="FLY17" s="37"/>
      <c r="FLZ17" s="37"/>
      <c r="FMA17" s="37"/>
      <c r="FMB17" s="37"/>
      <c r="FMC17" s="37"/>
      <c r="FMD17" s="37"/>
      <c r="FME17" s="37"/>
      <c r="FMF17" s="37"/>
      <c r="FMG17" s="37"/>
      <c r="FMH17" s="37"/>
      <c r="FMI17" s="37"/>
      <c r="FMJ17" s="37"/>
      <c r="FMK17" s="37"/>
      <c r="FML17" s="37"/>
      <c r="FMM17" s="37"/>
      <c r="FMN17" s="37"/>
      <c r="FMO17" s="37"/>
      <c r="FMP17" s="37"/>
      <c r="FMQ17" s="37"/>
      <c r="FMR17" s="37"/>
      <c r="FMS17" s="37"/>
      <c r="FMT17" s="37"/>
      <c r="FMU17" s="37"/>
      <c r="FMV17" s="37"/>
      <c r="FMW17" s="37"/>
      <c r="FMX17" s="37"/>
      <c r="FMY17" s="37"/>
      <c r="FMZ17" s="37"/>
      <c r="FNA17" s="37"/>
      <c r="FNB17" s="37"/>
      <c r="FNC17" s="37"/>
      <c r="FND17" s="37"/>
      <c r="FNE17" s="37"/>
      <c r="FNF17" s="37"/>
      <c r="FNG17" s="37"/>
      <c r="FNH17" s="37"/>
      <c r="FNI17" s="37"/>
      <c r="FNJ17" s="37"/>
      <c r="FNK17" s="37"/>
      <c r="FNL17" s="37"/>
      <c r="FNM17" s="37"/>
      <c r="FNN17" s="37"/>
      <c r="FNO17" s="37"/>
      <c r="FNP17" s="37"/>
      <c r="FNQ17" s="37"/>
      <c r="FNR17" s="37"/>
      <c r="FNS17" s="37"/>
      <c r="FNT17" s="37"/>
      <c r="FNU17" s="37"/>
      <c r="FNV17" s="37"/>
      <c r="FNW17" s="37"/>
      <c r="FNX17" s="37"/>
      <c r="FNY17" s="37"/>
      <c r="FNZ17" s="37"/>
      <c r="FOA17" s="37"/>
      <c r="FOB17" s="37"/>
      <c r="FOC17" s="37"/>
      <c r="FOD17" s="37"/>
      <c r="FOE17" s="37"/>
      <c r="FOF17" s="37"/>
      <c r="FOG17" s="37"/>
      <c r="FOH17" s="37"/>
      <c r="FOI17" s="37"/>
      <c r="FOJ17" s="37"/>
      <c r="FOK17" s="37"/>
      <c r="FOL17" s="37"/>
      <c r="FOM17" s="37"/>
      <c r="FON17" s="37"/>
      <c r="FOO17" s="37"/>
      <c r="FOP17" s="37"/>
      <c r="FOQ17" s="37"/>
      <c r="FOR17" s="37"/>
      <c r="FOS17" s="37"/>
      <c r="FOT17" s="37"/>
      <c r="FOU17" s="37"/>
      <c r="FOV17" s="37"/>
      <c r="FOW17" s="37"/>
      <c r="FOX17" s="37"/>
      <c r="FOY17" s="37"/>
      <c r="FOZ17" s="37"/>
      <c r="FPA17" s="37"/>
      <c r="FPB17" s="37"/>
      <c r="FPC17" s="37"/>
      <c r="FPD17" s="37"/>
      <c r="FPE17" s="37"/>
      <c r="FPF17" s="37"/>
      <c r="FPG17" s="37"/>
      <c r="FPH17" s="37"/>
      <c r="FPI17" s="37"/>
      <c r="FPJ17" s="37"/>
      <c r="FPK17" s="37"/>
      <c r="FPL17" s="37"/>
      <c r="FPM17" s="37"/>
      <c r="FPN17" s="37"/>
      <c r="FPO17" s="37"/>
      <c r="FPP17" s="37"/>
      <c r="FPQ17" s="37"/>
      <c r="FPR17" s="37"/>
      <c r="FPS17" s="37"/>
      <c r="FPT17" s="37"/>
      <c r="FPU17" s="37"/>
      <c r="FPV17" s="37"/>
      <c r="FPW17" s="37"/>
      <c r="FPX17" s="37"/>
      <c r="FPY17" s="37"/>
      <c r="FPZ17" s="37"/>
      <c r="FQA17" s="37"/>
      <c r="FQB17" s="37"/>
      <c r="FQC17" s="37"/>
      <c r="FQD17" s="37"/>
      <c r="FQE17" s="37"/>
      <c r="FQF17" s="37"/>
      <c r="FQG17" s="37"/>
      <c r="FQH17" s="37"/>
      <c r="FQI17" s="37"/>
      <c r="FQJ17" s="37"/>
      <c r="FQK17" s="37"/>
      <c r="FQL17" s="37"/>
      <c r="FQM17" s="37"/>
      <c r="FQN17" s="37"/>
      <c r="FQO17" s="37"/>
      <c r="FQP17" s="37"/>
      <c r="FQQ17" s="37"/>
      <c r="FQR17" s="37"/>
      <c r="FQS17" s="37"/>
      <c r="FQT17" s="37"/>
      <c r="FQU17" s="37"/>
      <c r="FQV17" s="37"/>
      <c r="FQW17" s="37"/>
      <c r="FQX17" s="37"/>
      <c r="FQY17" s="37"/>
      <c r="FQZ17" s="37"/>
      <c r="FRA17" s="37"/>
      <c r="FRB17" s="37"/>
      <c r="FRC17" s="37"/>
      <c r="FRD17" s="37"/>
      <c r="FRE17" s="37"/>
      <c r="FRF17" s="37"/>
      <c r="FRG17" s="37"/>
      <c r="FRH17" s="37"/>
      <c r="FRI17" s="37"/>
      <c r="FRJ17" s="37"/>
      <c r="FRK17" s="37"/>
      <c r="FRL17" s="37"/>
      <c r="FRM17" s="37"/>
      <c r="FRN17" s="37"/>
      <c r="FRO17" s="37"/>
      <c r="FRP17" s="37"/>
      <c r="FRQ17" s="37"/>
      <c r="FRR17" s="37"/>
      <c r="FRS17" s="37"/>
      <c r="FRT17" s="37"/>
      <c r="FRU17" s="37"/>
      <c r="FRV17" s="37"/>
      <c r="FRW17" s="37"/>
      <c r="FRX17" s="37"/>
      <c r="FRY17" s="37"/>
      <c r="FRZ17" s="37"/>
      <c r="FSA17" s="37"/>
      <c r="FSB17" s="37"/>
      <c r="FSC17" s="37"/>
      <c r="FSD17" s="37"/>
      <c r="FSE17" s="37"/>
      <c r="FSF17" s="37"/>
      <c r="FSG17" s="37"/>
      <c r="FSH17" s="37"/>
      <c r="FSI17" s="37"/>
      <c r="FSJ17" s="37"/>
      <c r="FSK17" s="37"/>
      <c r="FSL17" s="37"/>
      <c r="FSM17" s="37"/>
      <c r="FSN17" s="37"/>
      <c r="FSO17" s="37"/>
      <c r="FSP17" s="37"/>
      <c r="FSQ17" s="37"/>
      <c r="FSR17" s="37"/>
      <c r="FSS17" s="37"/>
      <c r="FST17" s="37"/>
      <c r="FSU17" s="37"/>
      <c r="FSV17" s="37"/>
      <c r="FSW17" s="37"/>
      <c r="FSX17" s="37"/>
      <c r="FSY17" s="37"/>
      <c r="FSZ17" s="37"/>
      <c r="FTA17" s="37"/>
      <c r="FTB17" s="37"/>
      <c r="FTC17" s="37"/>
      <c r="FTD17" s="37"/>
      <c r="FTE17" s="37"/>
      <c r="FTF17" s="37"/>
      <c r="FTG17" s="37"/>
      <c r="FTH17" s="37"/>
      <c r="FTI17" s="37"/>
      <c r="FTJ17" s="37"/>
      <c r="FTK17" s="37"/>
      <c r="FTL17" s="37"/>
      <c r="FTM17" s="37"/>
      <c r="FTN17" s="37"/>
      <c r="FTO17" s="37"/>
      <c r="FTP17" s="37"/>
      <c r="FTQ17" s="37"/>
      <c r="FTR17" s="37"/>
      <c r="FTS17" s="37"/>
      <c r="FTT17" s="37"/>
      <c r="FTU17" s="37"/>
      <c r="FTV17" s="37"/>
      <c r="FTW17" s="37"/>
      <c r="FTX17" s="37"/>
      <c r="FTY17" s="37"/>
      <c r="FTZ17" s="37"/>
      <c r="FUA17" s="37"/>
      <c r="FUB17" s="37"/>
      <c r="FUC17" s="37"/>
      <c r="FUD17" s="37"/>
      <c r="FUE17" s="37"/>
      <c r="FUF17" s="37"/>
      <c r="FUG17" s="37"/>
      <c r="FUH17" s="37"/>
      <c r="FUI17" s="37"/>
      <c r="FUJ17" s="37"/>
      <c r="FUK17" s="37"/>
      <c r="FUL17" s="37"/>
      <c r="FUM17" s="37"/>
      <c r="FUN17" s="37"/>
      <c r="FUO17" s="37"/>
      <c r="FUP17" s="37"/>
      <c r="FUQ17" s="37"/>
      <c r="FUR17" s="37"/>
      <c r="FUS17" s="37"/>
      <c r="FUT17" s="37"/>
      <c r="FUU17" s="37"/>
      <c r="FUV17" s="37"/>
      <c r="FUW17" s="37"/>
      <c r="FUX17" s="37"/>
      <c r="FUY17" s="37"/>
      <c r="FUZ17" s="37"/>
      <c r="FVA17" s="37"/>
      <c r="FVB17" s="37"/>
      <c r="FVC17" s="37"/>
      <c r="FVD17" s="37"/>
      <c r="FVE17" s="37"/>
      <c r="FVF17" s="37"/>
      <c r="FVG17" s="37"/>
      <c r="FVH17" s="37"/>
      <c r="FVI17" s="37"/>
      <c r="FVJ17" s="37"/>
      <c r="FVK17" s="37"/>
      <c r="FVL17" s="37"/>
      <c r="FVM17" s="37"/>
      <c r="FVN17" s="37"/>
      <c r="FVO17" s="37"/>
      <c r="FVP17" s="37"/>
      <c r="FVQ17" s="37"/>
      <c r="FVR17" s="37"/>
      <c r="FVS17" s="37"/>
      <c r="FVT17" s="37"/>
      <c r="FVU17" s="37"/>
      <c r="FVV17" s="37"/>
      <c r="FVW17" s="37"/>
      <c r="FVX17" s="37"/>
      <c r="FVY17" s="37"/>
      <c r="FVZ17" s="37"/>
      <c r="FWA17" s="37"/>
      <c r="FWB17" s="37"/>
      <c r="FWC17" s="37"/>
      <c r="FWD17" s="37"/>
      <c r="FWE17" s="37"/>
      <c r="FWF17" s="37"/>
      <c r="FWG17" s="37"/>
      <c r="FWH17" s="37"/>
      <c r="FWI17" s="37"/>
      <c r="FWJ17" s="37"/>
      <c r="FWK17" s="37"/>
      <c r="FWL17" s="37"/>
      <c r="FWM17" s="37"/>
      <c r="FWN17" s="37"/>
      <c r="FWO17" s="37"/>
      <c r="FWP17" s="37"/>
      <c r="FWQ17" s="37"/>
      <c r="FWR17" s="37"/>
      <c r="FWS17" s="37"/>
      <c r="FWT17" s="37"/>
      <c r="FWU17" s="37"/>
      <c r="FWV17" s="37"/>
      <c r="FWW17" s="37"/>
      <c r="FWX17" s="37"/>
      <c r="FWY17" s="37"/>
      <c r="FWZ17" s="37"/>
      <c r="FXA17" s="37"/>
      <c r="FXB17" s="37"/>
      <c r="FXC17" s="37"/>
      <c r="FXD17" s="37"/>
      <c r="FXE17" s="37"/>
      <c r="FXF17" s="37"/>
      <c r="FXG17" s="37"/>
      <c r="FXH17" s="37"/>
      <c r="FXI17" s="37"/>
      <c r="FXJ17" s="37"/>
      <c r="FXK17" s="37"/>
      <c r="FXL17" s="37"/>
      <c r="FXM17" s="37"/>
      <c r="FXN17" s="37"/>
      <c r="FXO17" s="37"/>
      <c r="FXP17" s="37"/>
      <c r="FXQ17" s="37"/>
      <c r="FXR17" s="37"/>
      <c r="FXS17" s="37"/>
      <c r="FXT17" s="37"/>
      <c r="FXU17" s="37"/>
      <c r="FXV17" s="37"/>
      <c r="FXW17" s="37"/>
      <c r="FXX17" s="37"/>
      <c r="FXY17" s="37"/>
      <c r="FXZ17" s="37"/>
      <c r="FYA17" s="37"/>
      <c r="FYB17" s="37"/>
      <c r="FYC17" s="37"/>
      <c r="FYD17" s="37"/>
      <c r="FYE17" s="37"/>
      <c r="FYF17" s="37"/>
      <c r="FYG17" s="37"/>
      <c r="FYH17" s="37"/>
      <c r="FYI17" s="37"/>
      <c r="FYJ17" s="37"/>
      <c r="FYK17" s="37"/>
      <c r="FYL17" s="37"/>
      <c r="FYM17" s="37"/>
      <c r="FYN17" s="37"/>
      <c r="FYO17" s="37"/>
      <c r="FYP17" s="37"/>
      <c r="FYQ17" s="37"/>
      <c r="FYR17" s="37"/>
      <c r="FYS17" s="37"/>
      <c r="FYT17" s="37"/>
      <c r="FYU17" s="37"/>
      <c r="FYV17" s="37"/>
      <c r="FYW17" s="37"/>
      <c r="FYX17" s="37"/>
      <c r="FYY17" s="37"/>
      <c r="FYZ17" s="37"/>
      <c r="FZA17" s="37"/>
      <c r="FZB17" s="37"/>
      <c r="FZC17" s="37"/>
      <c r="FZD17" s="37"/>
      <c r="FZE17" s="37"/>
      <c r="FZF17" s="37"/>
      <c r="FZG17" s="37"/>
      <c r="FZH17" s="37"/>
      <c r="FZI17" s="37"/>
      <c r="FZJ17" s="37"/>
      <c r="FZK17" s="37"/>
      <c r="FZL17" s="37"/>
      <c r="FZM17" s="37"/>
      <c r="FZN17" s="37"/>
      <c r="FZO17" s="37"/>
      <c r="FZP17" s="37"/>
      <c r="FZQ17" s="37"/>
      <c r="FZR17" s="37"/>
      <c r="FZS17" s="37"/>
      <c r="FZT17" s="37"/>
      <c r="FZU17" s="37"/>
      <c r="FZV17" s="37"/>
      <c r="FZW17" s="37"/>
      <c r="FZX17" s="37"/>
      <c r="FZY17" s="37"/>
      <c r="FZZ17" s="37"/>
      <c r="GAA17" s="37"/>
      <c r="GAB17" s="37"/>
      <c r="GAC17" s="37"/>
      <c r="GAD17" s="37"/>
      <c r="GAE17" s="37"/>
      <c r="GAF17" s="37"/>
      <c r="GAG17" s="37"/>
      <c r="GAH17" s="37"/>
      <c r="GAI17" s="37"/>
      <c r="GAJ17" s="37"/>
      <c r="GAK17" s="37"/>
      <c r="GAL17" s="37"/>
      <c r="GAM17" s="37"/>
      <c r="GAN17" s="37"/>
      <c r="GAO17" s="37"/>
      <c r="GAP17" s="37"/>
      <c r="GAQ17" s="37"/>
      <c r="GAR17" s="37"/>
      <c r="GAS17" s="37"/>
      <c r="GAT17" s="37"/>
      <c r="GAU17" s="37"/>
      <c r="GAV17" s="37"/>
      <c r="GAW17" s="37"/>
      <c r="GAX17" s="37"/>
      <c r="GAY17" s="37"/>
      <c r="GAZ17" s="37"/>
      <c r="GBA17" s="37"/>
      <c r="GBB17" s="37"/>
      <c r="GBC17" s="37"/>
      <c r="GBD17" s="37"/>
      <c r="GBE17" s="37"/>
      <c r="GBF17" s="37"/>
      <c r="GBG17" s="37"/>
      <c r="GBH17" s="37"/>
      <c r="GBI17" s="37"/>
      <c r="GBJ17" s="37"/>
      <c r="GBK17" s="37"/>
      <c r="GBL17" s="37"/>
      <c r="GBM17" s="37"/>
      <c r="GBN17" s="37"/>
      <c r="GBO17" s="37"/>
      <c r="GBP17" s="37"/>
      <c r="GBQ17" s="37"/>
      <c r="GBR17" s="37"/>
      <c r="GBS17" s="37"/>
      <c r="GBT17" s="37"/>
      <c r="GBU17" s="37"/>
      <c r="GBV17" s="37"/>
      <c r="GBW17" s="37"/>
      <c r="GBX17" s="37"/>
      <c r="GBY17" s="37"/>
      <c r="GBZ17" s="37"/>
      <c r="GCA17" s="37"/>
      <c r="GCB17" s="37"/>
      <c r="GCC17" s="37"/>
      <c r="GCD17" s="37"/>
      <c r="GCE17" s="37"/>
      <c r="GCF17" s="37"/>
      <c r="GCG17" s="37"/>
      <c r="GCH17" s="37"/>
      <c r="GCI17" s="37"/>
      <c r="GCJ17" s="37"/>
      <c r="GCK17" s="37"/>
      <c r="GCL17" s="37"/>
      <c r="GCM17" s="37"/>
      <c r="GCN17" s="37"/>
      <c r="GCO17" s="37"/>
      <c r="GCP17" s="37"/>
      <c r="GCQ17" s="37"/>
      <c r="GCR17" s="37"/>
      <c r="GCS17" s="37"/>
      <c r="GCT17" s="37"/>
      <c r="GCU17" s="37"/>
      <c r="GCV17" s="37"/>
      <c r="GCW17" s="37"/>
      <c r="GCX17" s="37"/>
      <c r="GCY17" s="37"/>
      <c r="GCZ17" s="37"/>
      <c r="GDA17" s="37"/>
      <c r="GDB17" s="37"/>
      <c r="GDC17" s="37"/>
      <c r="GDD17" s="37"/>
      <c r="GDE17" s="37"/>
      <c r="GDF17" s="37"/>
      <c r="GDG17" s="37"/>
      <c r="GDH17" s="37"/>
      <c r="GDI17" s="37"/>
      <c r="GDJ17" s="37"/>
      <c r="GDK17" s="37"/>
      <c r="GDL17" s="37"/>
      <c r="GDM17" s="37"/>
      <c r="GDN17" s="37"/>
      <c r="GDO17" s="37"/>
      <c r="GDP17" s="37"/>
      <c r="GDQ17" s="37"/>
      <c r="GDR17" s="37"/>
      <c r="GDS17" s="37"/>
      <c r="GDT17" s="37"/>
      <c r="GDU17" s="37"/>
      <c r="GDV17" s="37"/>
      <c r="GDW17" s="37"/>
      <c r="GDX17" s="37"/>
      <c r="GDY17" s="37"/>
      <c r="GDZ17" s="37"/>
      <c r="GEA17" s="37"/>
      <c r="GEB17" s="37"/>
      <c r="GEC17" s="37"/>
      <c r="GED17" s="37"/>
      <c r="GEE17" s="37"/>
      <c r="GEF17" s="37"/>
      <c r="GEG17" s="37"/>
      <c r="GEH17" s="37"/>
      <c r="GEI17" s="37"/>
      <c r="GEJ17" s="37"/>
      <c r="GEK17" s="37"/>
      <c r="GEL17" s="37"/>
      <c r="GEM17" s="37"/>
      <c r="GEN17" s="37"/>
      <c r="GEO17" s="37"/>
      <c r="GEP17" s="37"/>
      <c r="GEQ17" s="37"/>
      <c r="GER17" s="37"/>
      <c r="GES17" s="37"/>
      <c r="GET17" s="37"/>
      <c r="GEU17" s="37"/>
      <c r="GEV17" s="37"/>
      <c r="GEW17" s="37"/>
      <c r="GEX17" s="37"/>
      <c r="GEY17" s="37"/>
      <c r="GEZ17" s="37"/>
      <c r="GFA17" s="37"/>
      <c r="GFB17" s="37"/>
      <c r="GFC17" s="37"/>
      <c r="GFD17" s="37"/>
      <c r="GFE17" s="37"/>
      <c r="GFF17" s="37"/>
      <c r="GFG17" s="37"/>
      <c r="GFH17" s="37"/>
      <c r="GFI17" s="37"/>
      <c r="GFJ17" s="37"/>
      <c r="GFK17" s="37"/>
      <c r="GFL17" s="37"/>
      <c r="GFM17" s="37"/>
      <c r="GFN17" s="37"/>
      <c r="GFO17" s="37"/>
      <c r="GFP17" s="37"/>
      <c r="GFQ17" s="37"/>
      <c r="GFR17" s="37"/>
      <c r="GFS17" s="37"/>
      <c r="GFT17" s="37"/>
      <c r="GFU17" s="37"/>
      <c r="GFV17" s="37"/>
      <c r="GFW17" s="37"/>
      <c r="GFX17" s="37"/>
      <c r="GFY17" s="37"/>
      <c r="GFZ17" s="37"/>
      <c r="GGA17" s="37"/>
      <c r="GGB17" s="37"/>
      <c r="GGC17" s="37"/>
      <c r="GGD17" s="37"/>
      <c r="GGE17" s="37"/>
      <c r="GGF17" s="37"/>
      <c r="GGG17" s="37"/>
      <c r="GGH17" s="37"/>
      <c r="GGI17" s="37"/>
      <c r="GGJ17" s="37"/>
      <c r="GGK17" s="37"/>
      <c r="GGL17" s="37"/>
      <c r="GGM17" s="37"/>
      <c r="GGN17" s="37"/>
      <c r="GGO17" s="37"/>
      <c r="GGP17" s="37"/>
      <c r="GGQ17" s="37"/>
      <c r="GGR17" s="37"/>
      <c r="GGS17" s="37"/>
      <c r="GGT17" s="37"/>
      <c r="GGU17" s="37"/>
      <c r="GGV17" s="37"/>
      <c r="GGW17" s="37"/>
      <c r="GGX17" s="37"/>
      <c r="GGY17" s="37"/>
      <c r="GGZ17" s="37"/>
      <c r="GHA17" s="37"/>
      <c r="GHB17" s="37"/>
      <c r="GHC17" s="37"/>
      <c r="GHD17" s="37"/>
      <c r="GHE17" s="37"/>
      <c r="GHF17" s="37"/>
      <c r="GHG17" s="37"/>
      <c r="GHH17" s="37"/>
      <c r="GHI17" s="37"/>
      <c r="GHJ17" s="37"/>
      <c r="GHK17" s="37"/>
      <c r="GHL17" s="37"/>
      <c r="GHM17" s="37"/>
      <c r="GHN17" s="37"/>
      <c r="GHO17" s="37"/>
      <c r="GHP17" s="37"/>
      <c r="GHQ17" s="37"/>
      <c r="GHR17" s="37"/>
      <c r="GHS17" s="37"/>
      <c r="GHT17" s="37"/>
      <c r="GHU17" s="37"/>
      <c r="GHV17" s="37"/>
      <c r="GHW17" s="37"/>
      <c r="GHX17" s="37"/>
      <c r="GHY17" s="37"/>
      <c r="GHZ17" s="37"/>
      <c r="GIA17" s="37"/>
      <c r="GIB17" s="37"/>
      <c r="GIC17" s="37"/>
      <c r="GID17" s="37"/>
      <c r="GIE17" s="37"/>
      <c r="GIF17" s="37"/>
      <c r="GIG17" s="37"/>
      <c r="GIH17" s="37"/>
      <c r="GII17" s="37"/>
      <c r="GIJ17" s="37"/>
      <c r="GIK17" s="37"/>
      <c r="GIL17" s="37"/>
      <c r="GIM17" s="37"/>
      <c r="GIN17" s="37"/>
      <c r="GIO17" s="37"/>
      <c r="GIP17" s="37"/>
      <c r="GIQ17" s="37"/>
      <c r="GIR17" s="37"/>
      <c r="GIS17" s="37"/>
      <c r="GIT17" s="37"/>
      <c r="GIU17" s="37"/>
      <c r="GIV17" s="37"/>
      <c r="GIW17" s="37"/>
      <c r="GIX17" s="37"/>
      <c r="GIY17" s="37"/>
      <c r="GIZ17" s="37"/>
      <c r="GJA17" s="37"/>
      <c r="GJB17" s="37"/>
      <c r="GJC17" s="37"/>
      <c r="GJD17" s="37"/>
      <c r="GJE17" s="37"/>
      <c r="GJF17" s="37"/>
      <c r="GJG17" s="37"/>
      <c r="GJH17" s="37"/>
      <c r="GJI17" s="37"/>
      <c r="GJJ17" s="37"/>
      <c r="GJK17" s="37"/>
      <c r="GJL17" s="37"/>
      <c r="GJM17" s="37"/>
      <c r="GJN17" s="37"/>
      <c r="GJO17" s="37"/>
      <c r="GJP17" s="37"/>
      <c r="GJQ17" s="37"/>
      <c r="GJR17" s="37"/>
      <c r="GJS17" s="37"/>
      <c r="GJT17" s="37"/>
      <c r="GJU17" s="37"/>
      <c r="GJV17" s="37"/>
      <c r="GJW17" s="37"/>
      <c r="GJX17" s="37"/>
      <c r="GJY17" s="37"/>
      <c r="GJZ17" s="37"/>
      <c r="GKA17" s="37"/>
      <c r="GKB17" s="37"/>
      <c r="GKC17" s="37"/>
      <c r="GKD17" s="37"/>
      <c r="GKE17" s="37"/>
      <c r="GKF17" s="37"/>
      <c r="GKG17" s="37"/>
      <c r="GKH17" s="37"/>
      <c r="GKI17" s="37"/>
      <c r="GKJ17" s="37"/>
      <c r="GKK17" s="37"/>
      <c r="GKL17" s="37"/>
      <c r="GKM17" s="37"/>
      <c r="GKN17" s="37"/>
      <c r="GKO17" s="37"/>
      <c r="GKP17" s="37"/>
      <c r="GKQ17" s="37"/>
      <c r="GKR17" s="37"/>
      <c r="GKS17" s="37"/>
      <c r="GKT17" s="37"/>
      <c r="GKU17" s="37"/>
      <c r="GKV17" s="37"/>
      <c r="GKW17" s="37"/>
      <c r="GKX17" s="37"/>
      <c r="GKY17" s="37"/>
      <c r="GKZ17" s="37"/>
      <c r="GLA17" s="37"/>
      <c r="GLB17" s="37"/>
      <c r="GLC17" s="37"/>
      <c r="GLD17" s="37"/>
      <c r="GLE17" s="37"/>
      <c r="GLF17" s="37"/>
      <c r="GLG17" s="37"/>
      <c r="GLH17" s="37"/>
      <c r="GLI17" s="37"/>
      <c r="GLJ17" s="37"/>
      <c r="GLK17" s="37"/>
      <c r="GLL17" s="37"/>
      <c r="GLM17" s="37"/>
      <c r="GLN17" s="37"/>
      <c r="GLO17" s="37"/>
      <c r="GLP17" s="37"/>
      <c r="GLQ17" s="37"/>
      <c r="GLR17" s="37"/>
      <c r="GLS17" s="37"/>
      <c r="GLT17" s="37"/>
      <c r="GLU17" s="37"/>
      <c r="GLV17" s="37"/>
      <c r="GLW17" s="37"/>
      <c r="GLX17" s="37"/>
      <c r="GLY17" s="37"/>
      <c r="GLZ17" s="37"/>
      <c r="GMA17" s="37"/>
      <c r="GMB17" s="37"/>
      <c r="GMC17" s="37"/>
      <c r="GMD17" s="37"/>
      <c r="GME17" s="37"/>
      <c r="GMF17" s="37"/>
      <c r="GMG17" s="37"/>
      <c r="GMH17" s="37"/>
      <c r="GMI17" s="37"/>
      <c r="GMJ17" s="37"/>
      <c r="GMK17" s="37"/>
      <c r="GML17" s="37"/>
      <c r="GMM17" s="37"/>
      <c r="GMN17" s="37"/>
      <c r="GMO17" s="37"/>
      <c r="GMP17" s="37"/>
      <c r="GMQ17" s="37"/>
      <c r="GMR17" s="37"/>
      <c r="GMS17" s="37"/>
      <c r="GMT17" s="37"/>
      <c r="GMU17" s="37"/>
      <c r="GMV17" s="37"/>
      <c r="GMW17" s="37"/>
      <c r="GMX17" s="37"/>
      <c r="GMY17" s="37"/>
      <c r="GMZ17" s="37"/>
      <c r="GNA17" s="37"/>
      <c r="GNB17" s="37"/>
      <c r="GNC17" s="37"/>
      <c r="GND17" s="37"/>
      <c r="GNE17" s="37"/>
      <c r="GNF17" s="37"/>
      <c r="GNG17" s="37"/>
      <c r="GNH17" s="37"/>
      <c r="GNI17" s="37"/>
      <c r="GNJ17" s="37"/>
      <c r="GNK17" s="37"/>
      <c r="GNL17" s="37"/>
      <c r="GNM17" s="37"/>
      <c r="GNN17" s="37"/>
      <c r="GNO17" s="37"/>
      <c r="GNP17" s="37"/>
      <c r="GNQ17" s="37"/>
      <c r="GNR17" s="37"/>
      <c r="GNS17" s="37"/>
      <c r="GNT17" s="37"/>
      <c r="GNU17" s="37"/>
      <c r="GNV17" s="37"/>
      <c r="GNW17" s="37"/>
      <c r="GNX17" s="37"/>
      <c r="GNY17" s="37"/>
      <c r="GNZ17" s="37"/>
      <c r="GOA17" s="37"/>
      <c r="GOB17" s="37"/>
      <c r="GOC17" s="37"/>
      <c r="GOD17" s="37"/>
      <c r="GOE17" s="37"/>
      <c r="GOF17" s="37"/>
      <c r="GOG17" s="37"/>
      <c r="GOH17" s="37"/>
      <c r="GOI17" s="37"/>
      <c r="GOJ17" s="37"/>
      <c r="GOK17" s="37"/>
      <c r="GOL17" s="37"/>
      <c r="GOM17" s="37"/>
      <c r="GON17" s="37"/>
      <c r="GOO17" s="37"/>
      <c r="GOP17" s="37"/>
      <c r="GOQ17" s="37"/>
      <c r="GOR17" s="37"/>
      <c r="GOS17" s="37"/>
      <c r="GOT17" s="37"/>
      <c r="GOU17" s="37"/>
      <c r="GOV17" s="37"/>
      <c r="GOW17" s="37"/>
      <c r="GOX17" s="37"/>
      <c r="GOY17" s="37"/>
      <c r="GOZ17" s="37"/>
      <c r="GPA17" s="37"/>
      <c r="GPB17" s="37"/>
      <c r="GPC17" s="37"/>
      <c r="GPD17" s="37"/>
      <c r="GPE17" s="37"/>
      <c r="GPF17" s="37"/>
      <c r="GPG17" s="37"/>
      <c r="GPH17" s="37"/>
      <c r="GPI17" s="37"/>
      <c r="GPJ17" s="37"/>
      <c r="GPK17" s="37"/>
      <c r="GPL17" s="37"/>
      <c r="GPM17" s="37"/>
      <c r="GPN17" s="37"/>
      <c r="GPO17" s="37"/>
      <c r="GPP17" s="37"/>
      <c r="GPQ17" s="37"/>
      <c r="GPR17" s="37"/>
      <c r="GPS17" s="37"/>
      <c r="GPT17" s="37"/>
      <c r="GPU17" s="37"/>
      <c r="GPV17" s="37"/>
      <c r="GPW17" s="37"/>
      <c r="GPX17" s="37"/>
      <c r="GPY17" s="37"/>
      <c r="GPZ17" s="37"/>
      <c r="GQA17" s="37"/>
      <c r="GQB17" s="37"/>
      <c r="GQC17" s="37"/>
      <c r="GQD17" s="37"/>
      <c r="GQE17" s="37"/>
      <c r="GQF17" s="37"/>
      <c r="GQG17" s="37"/>
      <c r="GQH17" s="37"/>
      <c r="GQI17" s="37"/>
      <c r="GQJ17" s="37"/>
      <c r="GQK17" s="37"/>
      <c r="GQL17" s="37"/>
      <c r="GQM17" s="37"/>
      <c r="GQN17" s="37"/>
      <c r="GQO17" s="37"/>
      <c r="GQP17" s="37"/>
      <c r="GQQ17" s="37"/>
      <c r="GQR17" s="37"/>
      <c r="GQS17" s="37"/>
      <c r="GQT17" s="37"/>
      <c r="GQU17" s="37"/>
      <c r="GQV17" s="37"/>
      <c r="GQW17" s="37"/>
      <c r="GQX17" s="37"/>
      <c r="GQY17" s="37"/>
      <c r="GQZ17" s="37"/>
      <c r="GRA17" s="37"/>
      <c r="GRB17" s="37"/>
      <c r="GRC17" s="37"/>
      <c r="GRD17" s="37"/>
      <c r="GRE17" s="37"/>
      <c r="GRF17" s="37"/>
      <c r="GRG17" s="37"/>
      <c r="GRH17" s="37"/>
      <c r="GRI17" s="37"/>
      <c r="GRJ17" s="37"/>
      <c r="GRK17" s="37"/>
      <c r="GRL17" s="37"/>
      <c r="GRM17" s="37"/>
      <c r="GRN17" s="37"/>
      <c r="GRO17" s="37"/>
      <c r="GRP17" s="37"/>
      <c r="GRQ17" s="37"/>
      <c r="GRR17" s="37"/>
      <c r="GRS17" s="37"/>
      <c r="GRT17" s="37"/>
      <c r="GRU17" s="37"/>
      <c r="GRV17" s="37"/>
      <c r="GRW17" s="37"/>
      <c r="GRX17" s="37"/>
      <c r="GRY17" s="37"/>
      <c r="GRZ17" s="37"/>
      <c r="GSA17" s="37"/>
      <c r="GSB17" s="37"/>
      <c r="GSC17" s="37"/>
      <c r="GSD17" s="37"/>
      <c r="GSE17" s="37"/>
      <c r="GSF17" s="37"/>
      <c r="GSG17" s="37"/>
      <c r="GSH17" s="37"/>
      <c r="GSI17" s="37"/>
      <c r="GSJ17" s="37"/>
      <c r="GSK17" s="37"/>
      <c r="GSL17" s="37"/>
      <c r="GSM17" s="37"/>
      <c r="GSN17" s="37"/>
      <c r="GSO17" s="37"/>
      <c r="GSP17" s="37"/>
      <c r="GSQ17" s="37"/>
      <c r="GSR17" s="37"/>
      <c r="GSS17" s="37"/>
      <c r="GST17" s="37"/>
      <c r="GSU17" s="37"/>
      <c r="GSV17" s="37"/>
      <c r="GSW17" s="37"/>
      <c r="GSX17" s="37"/>
      <c r="GSY17" s="37"/>
      <c r="GSZ17" s="37"/>
      <c r="GTA17" s="37"/>
      <c r="GTB17" s="37"/>
      <c r="GTC17" s="37"/>
      <c r="GTD17" s="37"/>
      <c r="GTE17" s="37"/>
      <c r="GTF17" s="37"/>
      <c r="GTG17" s="37"/>
      <c r="GTH17" s="37"/>
      <c r="GTI17" s="37"/>
      <c r="GTJ17" s="37"/>
      <c r="GTK17" s="37"/>
      <c r="GTL17" s="37"/>
      <c r="GTM17" s="37"/>
      <c r="GTN17" s="37"/>
      <c r="GTO17" s="37"/>
      <c r="GTP17" s="37"/>
      <c r="GTQ17" s="37"/>
      <c r="GTR17" s="37"/>
      <c r="GTS17" s="37"/>
      <c r="GTT17" s="37"/>
      <c r="GTU17" s="37"/>
      <c r="GTV17" s="37"/>
      <c r="GTW17" s="37"/>
      <c r="GTX17" s="37"/>
      <c r="GTY17" s="37"/>
      <c r="GTZ17" s="37"/>
      <c r="GUA17" s="37"/>
      <c r="GUB17" s="37"/>
      <c r="GUC17" s="37"/>
      <c r="GUD17" s="37"/>
      <c r="GUE17" s="37"/>
      <c r="GUF17" s="37"/>
      <c r="GUG17" s="37"/>
      <c r="GUH17" s="37"/>
      <c r="GUI17" s="37"/>
      <c r="GUJ17" s="37"/>
      <c r="GUK17" s="37"/>
      <c r="GUL17" s="37"/>
      <c r="GUM17" s="37"/>
      <c r="GUN17" s="37"/>
      <c r="GUO17" s="37"/>
      <c r="GUP17" s="37"/>
      <c r="GUQ17" s="37"/>
      <c r="GUR17" s="37"/>
      <c r="GUS17" s="37"/>
      <c r="GUT17" s="37"/>
      <c r="GUU17" s="37"/>
      <c r="GUV17" s="37"/>
      <c r="GUW17" s="37"/>
      <c r="GUX17" s="37"/>
      <c r="GUY17" s="37"/>
      <c r="GUZ17" s="37"/>
      <c r="GVA17" s="37"/>
      <c r="GVB17" s="37"/>
      <c r="GVC17" s="37"/>
      <c r="GVD17" s="37"/>
      <c r="GVE17" s="37"/>
      <c r="GVF17" s="37"/>
      <c r="GVG17" s="37"/>
      <c r="GVH17" s="37"/>
      <c r="GVI17" s="37"/>
      <c r="GVJ17" s="37"/>
      <c r="GVK17" s="37"/>
      <c r="GVL17" s="37"/>
      <c r="GVM17" s="37"/>
      <c r="GVN17" s="37"/>
      <c r="GVO17" s="37"/>
      <c r="GVP17" s="37"/>
      <c r="GVQ17" s="37"/>
      <c r="GVR17" s="37"/>
      <c r="GVS17" s="37"/>
      <c r="GVT17" s="37"/>
      <c r="GVU17" s="37"/>
      <c r="GVV17" s="37"/>
      <c r="GVW17" s="37"/>
      <c r="GVX17" s="37"/>
      <c r="GVY17" s="37"/>
      <c r="GVZ17" s="37"/>
      <c r="GWA17" s="37"/>
      <c r="GWB17" s="37"/>
      <c r="GWC17" s="37"/>
      <c r="GWD17" s="37"/>
      <c r="GWE17" s="37"/>
      <c r="GWF17" s="37"/>
      <c r="GWG17" s="37"/>
      <c r="GWH17" s="37"/>
      <c r="GWI17" s="37"/>
      <c r="GWJ17" s="37"/>
      <c r="GWK17" s="37"/>
      <c r="GWL17" s="37"/>
      <c r="GWM17" s="37"/>
      <c r="GWN17" s="37"/>
      <c r="GWO17" s="37"/>
      <c r="GWP17" s="37"/>
      <c r="GWQ17" s="37"/>
      <c r="GWR17" s="37"/>
      <c r="GWS17" s="37"/>
      <c r="GWT17" s="37"/>
      <c r="GWU17" s="37"/>
      <c r="GWV17" s="37"/>
      <c r="GWW17" s="37"/>
      <c r="GWX17" s="37"/>
      <c r="GWY17" s="37"/>
      <c r="GWZ17" s="37"/>
      <c r="GXA17" s="37"/>
      <c r="GXB17" s="37"/>
      <c r="GXC17" s="37"/>
      <c r="GXD17" s="37"/>
      <c r="GXE17" s="37"/>
      <c r="GXF17" s="37"/>
      <c r="GXG17" s="37"/>
      <c r="GXH17" s="37"/>
      <c r="GXI17" s="37"/>
      <c r="GXJ17" s="37"/>
      <c r="GXK17" s="37"/>
      <c r="GXL17" s="37"/>
      <c r="GXM17" s="37"/>
      <c r="GXN17" s="37"/>
      <c r="GXO17" s="37"/>
      <c r="GXP17" s="37"/>
      <c r="GXQ17" s="37"/>
      <c r="GXR17" s="37"/>
      <c r="GXS17" s="37"/>
      <c r="GXT17" s="37"/>
      <c r="GXU17" s="37"/>
      <c r="GXV17" s="37"/>
      <c r="GXW17" s="37"/>
      <c r="GXX17" s="37"/>
      <c r="GXY17" s="37"/>
      <c r="GXZ17" s="37"/>
      <c r="GYA17" s="37"/>
      <c r="GYB17" s="37"/>
      <c r="GYC17" s="37"/>
      <c r="GYD17" s="37"/>
      <c r="GYE17" s="37"/>
      <c r="GYF17" s="37"/>
      <c r="GYG17" s="37"/>
      <c r="GYH17" s="37"/>
      <c r="GYI17" s="37"/>
      <c r="GYJ17" s="37"/>
      <c r="GYK17" s="37"/>
      <c r="GYL17" s="37"/>
      <c r="GYM17" s="37"/>
      <c r="GYN17" s="37"/>
      <c r="GYO17" s="37"/>
      <c r="GYP17" s="37"/>
      <c r="GYQ17" s="37"/>
      <c r="GYR17" s="37"/>
      <c r="GYS17" s="37"/>
      <c r="GYT17" s="37"/>
      <c r="GYU17" s="37"/>
      <c r="GYV17" s="37"/>
      <c r="GYW17" s="37"/>
      <c r="GYX17" s="37"/>
      <c r="GYY17" s="37"/>
      <c r="GYZ17" s="37"/>
      <c r="GZA17" s="37"/>
      <c r="GZB17" s="37"/>
      <c r="GZC17" s="37"/>
      <c r="GZD17" s="37"/>
      <c r="GZE17" s="37"/>
      <c r="GZF17" s="37"/>
      <c r="GZG17" s="37"/>
      <c r="GZH17" s="37"/>
      <c r="GZI17" s="37"/>
      <c r="GZJ17" s="37"/>
      <c r="GZK17" s="37"/>
      <c r="GZL17" s="37"/>
      <c r="GZM17" s="37"/>
      <c r="GZN17" s="37"/>
      <c r="GZO17" s="37"/>
      <c r="GZP17" s="37"/>
      <c r="GZQ17" s="37"/>
      <c r="GZR17" s="37"/>
      <c r="GZS17" s="37"/>
      <c r="GZT17" s="37"/>
      <c r="GZU17" s="37"/>
      <c r="GZV17" s="37"/>
      <c r="GZW17" s="37"/>
      <c r="GZX17" s="37"/>
      <c r="GZY17" s="37"/>
      <c r="GZZ17" s="37"/>
      <c r="HAA17" s="37"/>
      <c r="HAB17" s="37"/>
      <c r="HAC17" s="37"/>
      <c r="HAD17" s="37"/>
      <c r="HAE17" s="37"/>
      <c r="HAF17" s="37"/>
      <c r="HAG17" s="37"/>
      <c r="HAH17" s="37"/>
      <c r="HAI17" s="37"/>
      <c r="HAJ17" s="37"/>
      <c r="HAK17" s="37"/>
      <c r="HAL17" s="37"/>
      <c r="HAM17" s="37"/>
      <c r="HAN17" s="37"/>
      <c r="HAO17" s="37"/>
      <c r="HAP17" s="37"/>
      <c r="HAQ17" s="37"/>
      <c r="HAR17" s="37"/>
      <c r="HAS17" s="37"/>
      <c r="HAT17" s="37"/>
      <c r="HAU17" s="37"/>
      <c r="HAV17" s="37"/>
      <c r="HAW17" s="37"/>
      <c r="HAX17" s="37"/>
      <c r="HAY17" s="37"/>
      <c r="HAZ17" s="37"/>
      <c r="HBA17" s="37"/>
      <c r="HBB17" s="37"/>
      <c r="HBC17" s="37"/>
      <c r="HBD17" s="37"/>
      <c r="HBE17" s="37"/>
      <c r="HBF17" s="37"/>
      <c r="HBG17" s="37"/>
      <c r="HBH17" s="37"/>
      <c r="HBI17" s="37"/>
      <c r="HBJ17" s="37"/>
      <c r="HBK17" s="37"/>
      <c r="HBL17" s="37"/>
      <c r="HBM17" s="37"/>
      <c r="HBN17" s="37"/>
      <c r="HBO17" s="37"/>
      <c r="HBP17" s="37"/>
      <c r="HBQ17" s="37"/>
      <c r="HBR17" s="37"/>
      <c r="HBS17" s="37"/>
      <c r="HBT17" s="37"/>
      <c r="HBU17" s="37"/>
      <c r="HBV17" s="37"/>
      <c r="HBW17" s="37"/>
      <c r="HBX17" s="37"/>
      <c r="HBY17" s="37"/>
      <c r="HBZ17" s="37"/>
      <c r="HCA17" s="37"/>
      <c r="HCB17" s="37"/>
      <c r="HCC17" s="37"/>
      <c r="HCD17" s="37"/>
      <c r="HCE17" s="37"/>
      <c r="HCF17" s="37"/>
      <c r="HCG17" s="37"/>
      <c r="HCH17" s="37"/>
      <c r="HCI17" s="37"/>
      <c r="HCJ17" s="37"/>
      <c r="HCK17" s="37"/>
      <c r="HCL17" s="37"/>
      <c r="HCM17" s="37"/>
      <c r="HCN17" s="37"/>
      <c r="HCO17" s="37"/>
      <c r="HCP17" s="37"/>
      <c r="HCQ17" s="37"/>
      <c r="HCR17" s="37"/>
      <c r="HCS17" s="37"/>
      <c r="HCT17" s="37"/>
      <c r="HCU17" s="37"/>
      <c r="HCV17" s="37"/>
      <c r="HCW17" s="37"/>
      <c r="HCX17" s="37"/>
      <c r="HCY17" s="37"/>
      <c r="HCZ17" s="37"/>
      <c r="HDA17" s="37"/>
      <c r="HDB17" s="37"/>
      <c r="HDC17" s="37"/>
      <c r="HDD17" s="37"/>
      <c r="HDE17" s="37"/>
      <c r="HDF17" s="37"/>
      <c r="HDG17" s="37"/>
      <c r="HDH17" s="37"/>
      <c r="HDI17" s="37"/>
      <c r="HDJ17" s="37"/>
      <c r="HDK17" s="37"/>
      <c r="HDL17" s="37"/>
      <c r="HDM17" s="37"/>
      <c r="HDN17" s="37"/>
      <c r="HDO17" s="37"/>
      <c r="HDP17" s="37"/>
      <c r="HDQ17" s="37"/>
      <c r="HDR17" s="37"/>
      <c r="HDS17" s="37"/>
      <c r="HDT17" s="37"/>
      <c r="HDU17" s="37"/>
      <c r="HDV17" s="37"/>
      <c r="HDW17" s="37"/>
      <c r="HDX17" s="37"/>
      <c r="HDY17" s="37"/>
      <c r="HDZ17" s="37"/>
      <c r="HEA17" s="37"/>
      <c r="HEB17" s="37"/>
      <c r="HEC17" s="37"/>
      <c r="HED17" s="37"/>
      <c r="HEE17" s="37"/>
      <c r="HEF17" s="37"/>
      <c r="HEG17" s="37"/>
      <c r="HEH17" s="37"/>
      <c r="HEI17" s="37"/>
      <c r="HEJ17" s="37"/>
      <c r="HEK17" s="37"/>
      <c r="HEL17" s="37"/>
      <c r="HEM17" s="37"/>
      <c r="HEN17" s="37"/>
      <c r="HEO17" s="37"/>
      <c r="HEP17" s="37"/>
      <c r="HEQ17" s="37"/>
      <c r="HER17" s="37"/>
      <c r="HES17" s="37"/>
      <c r="HET17" s="37"/>
      <c r="HEU17" s="37"/>
      <c r="HEV17" s="37"/>
      <c r="HEW17" s="37"/>
      <c r="HEX17" s="37"/>
      <c r="HEY17" s="37"/>
      <c r="HEZ17" s="37"/>
      <c r="HFA17" s="37"/>
      <c r="HFB17" s="37"/>
      <c r="HFC17" s="37"/>
      <c r="HFD17" s="37"/>
      <c r="HFE17" s="37"/>
      <c r="HFF17" s="37"/>
      <c r="HFG17" s="37"/>
      <c r="HFH17" s="37"/>
      <c r="HFI17" s="37"/>
      <c r="HFJ17" s="37"/>
      <c r="HFK17" s="37"/>
      <c r="HFL17" s="37"/>
      <c r="HFM17" s="37"/>
      <c r="HFN17" s="37"/>
      <c r="HFO17" s="37"/>
      <c r="HFP17" s="37"/>
      <c r="HFQ17" s="37"/>
      <c r="HFR17" s="37"/>
      <c r="HFS17" s="37"/>
      <c r="HFT17" s="37"/>
      <c r="HFU17" s="37"/>
      <c r="HFV17" s="37"/>
      <c r="HFW17" s="37"/>
      <c r="HFX17" s="37"/>
      <c r="HFY17" s="37"/>
      <c r="HFZ17" s="37"/>
      <c r="HGA17" s="37"/>
      <c r="HGB17" s="37"/>
      <c r="HGC17" s="37"/>
      <c r="HGD17" s="37"/>
      <c r="HGE17" s="37"/>
      <c r="HGF17" s="37"/>
      <c r="HGG17" s="37"/>
      <c r="HGH17" s="37"/>
      <c r="HGI17" s="37"/>
      <c r="HGJ17" s="37"/>
      <c r="HGK17" s="37"/>
      <c r="HGL17" s="37"/>
      <c r="HGM17" s="37"/>
      <c r="HGN17" s="37"/>
      <c r="HGO17" s="37"/>
      <c r="HGP17" s="37"/>
      <c r="HGQ17" s="37"/>
      <c r="HGR17" s="37"/>
      <c r="HGS17" s="37"/>
      <c r="HGT17" s="37"/>
      <c r="HGU17" s="37"/>
      <c r="HGV17" s="37"/>
      <c r="HGW17" s="37"/>
      <c r="HGX17" s="37"/>
      <c r="HGY17" s="37"/>
      <c r="HGZ17" s="37"/>
      <c r="HHA17" s="37"/>
      <c r="HHB17" s="37"/>
      <c r="HHC17" s="37"/>
      <c r="HHD17" s="37"/>
      <c r="HHE17" s="37"/>
      <c r="HHF17" s="37"/>
      <c r="HHG17" s="37"/>
      <c r="HHH17" s="37"/>
      <c r="HHI17" s="37"/>
      <c r="HHJ17" s="37"/>
      <c r="HHK17" s="37"/>
      <c r="HHL17" s="37"/>
      <c r="HHM17" s="37"/>
      <c r="HHN17" s="37"/>
      <c r="HHO17" s="37"/>
      <c r="HHP17" s="37"/>
      <c r="HHQ17" s="37"/>
      <c r="HHR17" s="37"/>
      <c r="HHS17" s="37"/>
      <c r="HHT17" s="37"/>
      <c r="HHU17" s="37"/>
      <c r="HHV17" s="37"/>
      <c r="HHW17" s="37"/>
      <c r="HHX17" s="37"/>
      <c r="HHY17" s="37"/>
      <c r="HHZ17" s="37"/>
      <c r="HIA17" s="37"/>
      <c r="HIB17" s="37"/>
      <c r="HIC17" s="37"/>
      <c r="HID17" s="37"/>
      <c r="HIE17" s="37"/>
      <c r="HIF17" s="37"/>
      <c r="HIG17" s="37"/>
      <c r="HIH17" s="37"/>
      <c r="HII17" s="37"/>
      <c r="HIJ17" s="37"/>
      <c r="HIK17" s="37"/>
      <c r="HIL17" s="37"/>
      <c r="HIM17" s="37"/>
      <c r="HIN17" s="37"/>
      <c r="HIO17" s="37"/>
      <c r="HIP17" s="37"/>
      <c r="HIQ17" s="37"/>
      <c r="HIR17" s="37"/>
      <c r="HIS17" s="37"/>
      <c r="HIT17" s="37"/>
      <c r="HIU17" s="37"/>
      <c r="HIV17" s="37"/>
      <c r="HIW17" s="37"/>
      <c r="HIX17" s="37"/>
      <c r="HIY17" s="37"/>
      <c r="HIZ17" s="37"/>
      <c r="HJA17" s="37"/>
      <c r="HJB17" s="37"/>
      <c r="HJC17" s="37"/>
      <c r="HJD17" s="37"/>
      <c r="HJE17" s="37"/>
      <c r="HJF17" s="37"/>
      <c r="HJG17" s="37"/>
      <c r="HJH17" s="37"/>
      <c r="HJI17" s="37"/>
      <c r="HJJ17" s="37"/>
      <c r="HJK17" s="37"/>
      <c r="HJL17" s="37"/>
      <c r="HJM17" s="37"/>
      <c r="HJN17" s="37"/>
      <c r="HJO17" s="37"/>
      <c r="HJP17" s="37"/>
      <c r="HJQ17" s="37"/>
      <c r="HJR17" s="37"/>
      <c r="HJS17" s="37"/>
      <c r="HJT17" s="37"/>
      <c r="HJU17" s="37"/>
      <c r="HJV17" s="37"/>
      <c r="HJW17" s="37"/>
      <c r="HJX17" s="37"/>
      <c r="HJY17" s="37"/>
      <c r="HJZ17" s="37"/>
      <c r="HKA17" s="37"/>
      <c r="HKB17" s="37"/>
      <c r="HKC17" s="37"/>
      <c r="HKD17" s="37"/>
      <c r="HKE17" s="37"/>
      <c r="HKF17" s="37"/>
      <c r="HKG17" s="37"/>
      <c r="HKH17" s="37"/>
      <c r="HKI17" s="37"/>
      <c r="HKJ17" s="37"/>
      <c r="HKK17" s="37"/>
      <c r="HKL17" s="37"/>
      <c r="HKM17" s="37"/>
      <c r="HKN17" s="37"/>
      <c r="HKO17" s="37"/>
      <c r="HKP17" s="37"/>
      <c r="HKQ17" s="37"/>
      <c r="HKR17" s="37"/>
      <c r="HKS17" s="37"/>
      <c r="HKT17" s="37"/>
      <c r="HKU17" s="37"/>
      <c r="HKV17" s="37"/>
      <c r="HKW17" s="37"/>
      <c r="HKX17" s="37"/>
      <c r="HKY17" s="37"/>
      <c r="HKZ17" s="37"/>
      <c r="HLA17" s="37"/>
      <c r="HLB17" s="37"/>
      <c r="HLC17" s="37"/>
      <c r="HLD17" s="37"/>
      <c r="HLE17" s="37"/>
      <c r="HLF17" s="37"/>
      <c r="HLG17" s="37"/>
      <c r="HLH17" s="37"/>
      <c r="HLI17" s="37"/>
      <c r="HLJ17" s="37"/>
      <c r="HLK17" s="37"/>
      <c r="HLL17" s="37"/>
      <c r="HLM17" s="37"/>
      <c r="HLN17" s="37"/>
      <c r="HLO17" s="37"/>
      <c r="HLP17" s="37"/>
      <c r="HLQ17" s="37"/>
      <c r="HLR17" s="37"/>
      <c r="HLS17" s="37"/>
      <c r="HLT17" s="37"/>
      <c r="HLU17" s="37"/>
      <c r="HLV17" s="37"/>
      <c r="HLW17" s="37"/>
      <c r="HLX17" s="37"/>
      <c r="HLY17" s="37"/>
      <c r="HLZ17" s="37"/>
      <c r="HMA17" s="37"/>
      <c r="HMB17" s="37"/>
      <c r="HMC17" s="37"/>
      <c r="HMD17" s="37"/>
      <c r="HME17" s="37"/>
      <c r="HMF17" s="37"/>
      <c r="HMG17" s="37"/>
      <c r="HMH17" s="37"/>
      <c r="HMI17" s="37"/>
      <c r="HMJ17" s="37"/>
      <c r="HMK17" s="37"/>
      <c r="HML17" s="37"/>
      <c r="HMM17" s="37"/>
      <c r="HMN17" s="37"/>
      <c r="HMO17" s="37"/>
      <c r="HMP17" s="37"/>
      <c r="HMQ17" s="37"/>
      <c r="HMR17" s="37"/>
      <c r="HMS17" s="37"/>
      <c r="HMT17" s="37"/>
      <c r="HMU17" s="37"/>
      <c r="HMV17" s="37"/>
      <c r="HMW17" s="37"/>
      <c r="HMX17" s="37"/>
      <c r="HMY17" s="37"/>
      <c r="HMZ17" s="37"/>
      <c r="HNA17" s="37"/>
      <c r="HNB17" s="37"/>
      <c r="HNC17" s="37"/>
      <c r="HND17" s="37"/>
      <c r="HNE17" s="37"/>
      <c r="HNF17" s="37"/>
      <c r="HNG17" s="37"/>
      <c r="HNH17" s="37"/>
      <c r="HNI17" s="37"/>
      <c r="HNJ17" s="37"/>
      <c r="HNK17" s="37"/>
      <c r="HNL17" s="37"/>
      <c r="HNM17" s="37"/>
      <c r="HNN17" s="37"/>
      <c r="HNO17" s="37"/>
      <c r="HNP17" s="37"/>
      <c r="HNQ17" s="37"/>
      <c r="HNR17" s="37"/>
      <c r="HNS17" s="37"/>
      <c r="HNT17" s="37"/>
      <c r="HNU17" s="37"/>
      <c r="HNV17" s="37"/>
      <c r="HNW17" s="37"/>
      <c r="HNX17" s="37"/>
      <c r="HNY17" s="37"/>
      <c r="HNZ17" s="37"/>
      <c r="HOA17" s="37"/>
      <c r="HOB17" s="37"/>
      <c r="HOC17" s="37"/>
      <c r="HOD17" s="37"/>
      <c r="HOE17" s="37"/>
      <c r="HOF17" s="37"/>
      <c r="HOG17" s="37"/>
      <c r="HOH17" s="37"/>
      <c r="HOI17" s="37"/>
      <c r="HOJ17" s="37"/>
      <c r="HOK17" s="37"/>
      <c r="HOL17" s="37"/>
      <c r="HOM17" s="37"/>
      <c r="HON17" s="37"/>
      <c r="HOO17" s="37"/>
      <c r="HOP17" s="37"/>
      <c r="HOQ17" s="37"/>
      <c r="HOR17" s="37"/>
      <c r="HOS17" s="37"/>
      <c r="HOT17" s="37"/>
      <c r="HOU17" s="37"/>
      <c r="HOV17" s="37"/>
      <c r="HOW17" s="37"/>
      <c r="HOX17" s="37"/>
      <c r="HOY17" s="37"/>
      <c r="HOZ17" s="37"/>
      <c r="HPA17" s="37"/>
      <c r="HPB17" s="37"/>
      <c r="HPC17" s="37"/>
      <c r="HPD17" s="37"/>
      <c r="HPE17" s="37"/>
      <c r="HPF17" s="37"/>
      <c r="HPG17" s="37"/>
      <c r="HPH17" s="37"/>
      <c r="HPI17" s="37"/>
      <c r="HPJ17" s="37"/>
      <c r="HPK17" s="37"/>
      <c r="HPL17" s="37"/>
      <c r="HPM17" s="37"/>
      <c r="HPN17" s="37"/>
      <c r="HPO17" s="37"/>
      <c r="HPP17" s="37"/>
      <c r="HPQ17" s="37"/>
      <c r="HPR17" s="37"/>
      <c r="HPS17" s="37"/>
      <c r="HPT17" s="37"/>
      <c r="HPU17" s="37"/>
      <c r="HPV17" s="37"/>
      <c r="HPW17" s="37"/>
      <c r="HPX17" s="37"/>
      <c r="HPY17" s="37"/>
      <c r="HPZ17" s="37"/>
      <c r="HQA17" s="37"/>
      <c r="HQB17" s="37"/>
      <c r="HQC17" s="37"/>
      <c r="HQD17" s="37"/>
      <c r="HQE17" s="37"/>
      <c r="HQF17" s="37"/>
      <c r="HQG17" s="37"/>
      <c r="HQH17" s="37"/>
      <c r="HQI17" s="37"/>
      <c r="HQJ17" s="37"/>
      <c r="HQK17" s="37"/>
      <c r="HQL17" s="37"/>
      <c r="HQM17" s="37"/>
      <c r="HQN17" s="37"/>
      <c r="HQO17" s="37"/>
      <c r="HQP17" s="37"/>
      <c r="HQQ17" s="37"/>
      <c r="HQR17" s="37"/>
      <c r="HQS17" s="37"/>
      <c r="HQT17" s="37"/>
      <c r="HQU17" s="37"/>
      <c r="HQV17" s="37"/>
      <c r="HQW17" s="37"/>
      <c r="HQX17" s="37"/>
      <c r="HQY17" s="37"/>
      <c r="HQZ17" s="37"/>
      <c r="HRA17" s="37"/>
      <c r="HRB17" s="37"/>
      <c r="HRC17" s="37"/>
      <c r="HRD17" s="37"/>
      <c r="HRE17" s="37"/>
      <c r="HRF17" s="37"/>
      <c r="HRG17" s="37"/>
      <c r="HRH17" s="37"/>
      <c r="HRI17" s="37"/>
      <c r="HRJ17" s="37"/>
      <c r="HRK17" s="37"/>
      <c r="HRL17" s="37"/>
      <c r="HRM17" s="37"/>
      <c r="HRN17" s="37"/>
      <c r="HRO17" s="37"/>
      <c r="HRP17" s="37"/>
      <c r="HRQ17" s="37"/>
      <c r="HRR17" s="37"/>
      <c r="HRS17" s="37"/>
      <c r="HRT17" s="37"/>
      <c r="HRU17" s="37"/>
      <c r="HRV17" s="37"/>
      <c r="HRW17" s="37"/>
      <c r="HRX17" s="37"/>
      <c r="HRY17" s="37"/>
      <c r="HRZ17" s="37"/>
      <c r="HSA17" s="37"/>
      <c r="HSB17" s="37"/>
      <c r="HSC17" s="37"/>
      <c r="HSD17" s="37"/>
      <c r="HSE17" s="37"/>
      <c r="HSF17" s="37"/>
      <c r="HSG17" s="37"/>
      <c r="HSH17" s="37"/>
      <c r="HSI17" s="37"/>
      <c r="HSJ17" s="37"/>
      <c r="HSK17" s="37"/>
      <c r="HSL17" s="37"/>
      <c r="HSM17" s="37"/>
      <c r="HSN17" s="37"/>
      <c r="HSO17" s="37"/>
      <c r="HSP17" s="37"/>
      <c r="HSQ17" s="37"/>
      <c r="HSR17" s="37"/>
      <c r="HSS17" s="37"/>
      <c r="HST17" s="37"/>
      <c r="HSU17" s="37"/>
      <c r="HSV17" s="37"/>
      <c r="HSW17" s="37"/>
      <c r="HSX17" s="37"/>
      <c r="HSY17" s="37"/>
      <c r="HSZ17" s="37"/>
      <c r="HTA17" s="37"/>
      <c r="HTB17" s="37"/>
      <c r="HTC17" s="37"/>
      <c r="HTD17" s="37"/>
      <c r="HTE17" s="37"/>
      <c r="HTF17" s="37"/>
      <c r="HTG17" s="37"/>
      <c r="HTH17" s="37"/>
      <c r="HTI17" s="37"/>
      <c r="HTJ17" s="37"/>
      <c r="HTK17" s="37"/>
      <c r="HTL17" s="37"/>
      <c r="HTM17" s="37"/>
      <c r="HTN17" s="37"/>
      <c r="HTO17" s="37"/>
      <c r="HTP17" s="37"/>
      <c r="HTQ17" s="37"/>
      <c r="HTR17" s="37"/>
      <c r="HTS17" s="37"/>
      <c r="HTT17" s="37"/>
      <c r="HTU17" s="37"/>
      <c r="HTV17" s="37"/>
      <c r="HTW17" s="37"/>
      <c r="HTX17" s="37"/>
      <c r="HTY17" s="37"/>
      <c r="HTZ17" s="37"/>
      <c r="HUA17" s="37"/>
      <c r="HUB17" s="37"/>
      <c r="HUC17" s="37"/>
      <c r="HUD17" s="37"/>
      <c r="HUE17" s="37"/>
      <c r="HUF17" s="37"/>
      <c r="HUG17" s="37"/>
      <c r="HUH17" s="37"/>
      <c r="HUI17" s="37"/>
      <c r="HUJ17" s="37"/>
      <c r="HUK17" s="37"/>
      <c r="HUL17" s="37"/>
      <c r="HUM17" s="37"/>
      <c r="HUN17" s="37"/>
      <c r="HUO17" s="37"/>
      <c r="HUP17" s="37"/>
      <c r="HUQ17" s="37"/>
      <c r="HUR17" s="37"/>
      <c r="HUS17" s="37"/>
      <c r="HUT17" s="37"/>
      <c r="HUU17" s="37"/>
      <c r="HUV17" s="37"/>
      <c r="HUW17" s="37"/>
      <c r="HUX17" s="37"/>
      <c r="HUY17" s="37"/>
      <c r="HUZ17" s="37"/>
      <c r="HVA17" s="37"/>
      <c r="HVB17" s="37"/>
      <c r="HVC17" s="37"/>
      <c r="HVD17" s="37"/>
      <c r="HVE17" s="37"/>
      <c r="HVF17" s="37"/>
      <c r="HVG17" s="37"/>
      <c r="HVH17" s="37"/>
      <c r="HVI17" s="37"/>
      <c r="HVJ17" s="37"/>
      <c r="HVK17" s="37"/>
      <c r="HVL17" s="37"/>
      <c r="HVM17" s="37"/>
      <c r="HVN17" s="37"/>
      <c r="HVO17" s="37"/>
      <c r="HVP17" s="37"/>
      <c r="HVQ17" s="37"/>
      <c r="HVR17" s="37"/>
      <c r="HVS17" s="37"/>
      <c r="HVT17" s="37"/>
      <c r="HVU17" s="37"/>
      <c r="HVV17" s="37"/>
      <c r="HVW17" s="37"/>
      <c r="HVX17" s="37"/>
      <c r="HVY17" s="37"/>
      <c r="HVZ17" s="37"/>
      <c r="HWA17" s="37"/>
      <c r="HWB17" s="37"/>
      <c r="HWC17" s="37"/>
      <c r="HWD17" s="37"/>
      <c r="HWE17" s="37"/>
      <c r="HWF17" s="37"/>
      <c r="HWG17" s="37"/>
      <c r="HWH17" s="37"/>
      <c r="HWI17" s="37"/>
      <c r="HWJ17" s="37"/>
      <c r="HWK17" s="37"/>
      <c r="HWL17" s="37"/>
      <c r="HWM17" s="37"/>
      <c r="HWN17" s="37"/>
      <c r="HWO17" s="37"/>
      <c r="HWP17" s="37"/>
      <c r="HWQ17" s="37"/>
      <c r="HWR17" s="37"/>
      <c r="HWS17" s="37"/>
      <c r="HWT17" s="37"/>
      <c r="HWU17" s="37"/>
      <c r="HWV17" s="37"/>
      <c r="HWW17" s="37"/>
      <c r="HWX17" s="37"/>
      <c r="HWY17" s="37"/>
      <c r="HWZ17" s="37"/>
      <c r="HXA17" s="37"/>
      <c r="HXB17" s="37"/>
      <c r="HXC17" s="37"/>
      <c r="HXD17" s="37"/>
      <c r="HXE17" s="37"/>
      <c r="HXF17" s="37"/>
      <c r="HXG17" s="37"/>
      <c r="HXH17" s="37"/>
      <c r="HXI17" s="37"/>
      <c r="HXJ17" s="37"/>
      <c r="HXK17" s="37"/>
      <c r="HXL17" s="37"/>
      <c r="HXM17" s="37"/>
      <c r="HXN17" s="37"/>
      <c r="HXO17" s="37"/>
      <c r="HXP17" s="37"/>
      <c r="HXQ17" s="37"/>
      <c r="HXR17" s="37"/>
      <c r="HXS17" s="37"/>
      <c r="HXT17" s="37"/>
      <c r="HXU17" s="37"/>
      <c r="HXV17" s="37"/>
      <c r="HXW17" s="37"/>
      <c r="HXX17" s="37"/>
      <c r="HXY17" s="37"/>
      <c r="HXZ17" s="37"/>
      <c r="HYA17" s="37"/>
      <c r="HYB17" s="37"/>
      <c r="HYC17" s="37"/>
      <c r="HYD17" s="37"/>
      <c r="HYE17" s="37"/>
      <c r="HYF17" s="37"/>
      <c r="HYG17" s="37"/>
      <c r="HYH17" s="37"/>
      <c r="HYI17" s="37"/>
      <c r="HYJ17" s="37"/>
      <c r="HYK17" s="37"/>
      <c r="HYL17" s="37"/>
      <c r="HYM17" s="37"/>
      <c r="HYN17" s="37"/>
      <c r="HYO17" s="37"/>
      <c r="HYP17" s="37"/>
      <c r="HYQ17" s="37"/>
      <c r="HYR17" s="37"/>
      <c r="HYS17" s="37"/>
      <c r="HYT17" s="37"/>
      <c r="HYU17" s="37"/>
      <c r="HYV17" s="37"/>
      <c r="HYW17" s="37"/>
      <c r="HYX17" s="37"/>
      <c r="HYY17" s="37"/>
      <c r="HYZ17" s="37"/>
      <c r="HZA17" s="37"/>
      <c r="HZB17" s="37"/>
      <c r="HZC17" s="37"/>
      <c r="HZD17" s="37"/>
      <c r="HZE17" s="37"/>
      <c r="HZF17" s="37"/>
      <c r="HZG17" s="37"/>
      <c r="HZH17" s="37"/>
      <c r="HZI17" s="37"/>
      <c r="HZJ17" s="37"/>
      <c r="HZK17" s="37"/>
      <c r="HZL17" s="37"/>
      <c r="HZM17" s="37"/>
      <c r="HZN17" s="37"/>
      <c r="HZO17" s="37"/>
      <c r="HZP17" s="37"/>
      <c r="HZQ17" s="37"/>
      <c r="HZR17" s="37"/>
      <c r="HZS17" s="37"/>
      <c r="HZT17" s="37"/>
      <c r="HZU17" s="37"/>
      <c r="HZV17" s="37"/>
      <c r="HZW17" s="37"/>
      <c r="HZX17" s="37"/>
      <c r="HZY17" s="37"/>
      <c r="HZZ17" s="37"/>
      <c r="IAA17" s="37"/>
      <c r="IAB17" s="37"/>
      <c r="IAC17" s="37"/>
      <c r="IAD17" s="37"/>
      <c r="IAE17" s="37"/>
      <c r="IAF17" s="37"/>
      <c r="IAG17" s="37"/>
      <c r="IAH17" s="37"/>
      <c r="IAI17" s="37"/>
      <c r="IAJ17" s="37"/>
      <c r="IAK17" s="37"/>
      <c r="IAL17" s="37"/>
      <c r="IAM17" s="37"/>
      <c r="IAN17" s="37"/>
      <c r="IAO17" s="37"/>
      <c r="IAP17" s="37"/>
      <c r="IAQ17" s="37"/>
      <c r="IAR17" s="37"/>
      <c r="IAS17" s="37"/>
      <c r="IAT17" s="37"/>
      <c r="IAU17" s="37"/>
      <c r="IAV17" s="37"/>
      <c r="IAW17" s="37"/>
      <c r="IAX17" s="37"/>
      <c r="IAY17" s="37"/>
      <c r="IAZ17" s="37"/>
      <c r="IBA17" s="37"/>
      <c r="IBB17" s="37"/>
      <c r="IBC17" s="37"/>
      <c r="IBD17" s="37"/>
      <c r="IBE17" s="37"/>
      <c r="IBF17" s="37"/>
      <c r="IBG17" s="37"/>
      <c r="IBH17" s="37"/>
      <c r="IBI17" s="37"/>
      <c r="IBJ17" s="37"/>
      <c r="IBK17" s="37"/>
      <c r="IBL17" s="37"/>
      <c r="IBM17" s="37"/>
      <c r="IBN17" s="37"/>
      <c r="IBO17" s="37"/>
      <c r="IBP17" s="37"/>
      <c r="IBQ17" s="37"/>
      <c r="IBR17" s="37"/>
      <c r="IBS17" s="37"/>
      <c r="IBT17" s="37"/>
      <c r="IBU17" s="37"/>
      <c r="IBV17" s="37"/>
      <c r="IBW17" s="37"/>
      <c r="IBX17" s="37"/>
      <c r="IBY17" s="37"/>
      <c r="IBZ17" s="37"/>
      <c r="ICA17" s="37"/>
      <c r="ICB17" s="37"/>
      <c r="ICC17" s="37"/>
      <c r="ICD17" s="37"/>
      <c r="ICE17" s="37"/>
      <c r="ICF17" s="37"/>
      <c r="ICG17" s="37"/>
      <c r="ICH17" s="37"/>
      <c r="ICI17" s="37"/>
      <c r="ICJ17" s="37"/>
      <c r="ICK17" s="37"/>
      <c r="ICL17" s="37"/>
      <c r="ICM17" s="37"/>
      <c r="ICN17" s="37"/>
      <c r="ICO17" s="37"/>
      <c r="ICP17" s="37"/>
      <c r="ICQ17" s="37"/>
      <c r="ICR17" s="37"/>
      <c r="ICS17" s="37"/>
      <c r="ICT17" s="37"/>
      <c r="ICU17" s="37"/>
      <c r="ICV17" s="37"/>
      <c r="ICW17" s="37"/>
      <c r="ICX17" s="37"/>
      <c r="ICY17" s="37"/>
      <c r="ICZ17" s="37"/>
      <c r="IDA17" s="37"/>
      <c r="IDB17" s="37"/>
      <c r="IDC17" s="37"/>
      <c r="IDD17" s="37"/>
      <c r="IDE17" s="37"/>
      <c r="IDF17" s="37"/>
      <c r="IDG17" s="37"/>
      <c r="IDH17" s="37"/>
      <c r="IDI17" s="37"/>
      <c r="IDJ17" s="37"/>
      <c r="IDK17" s="37"/>
      <c r="IDL17" s="37"/>
      <c r="IDM17" s="37"/>
      <c r="IDN17" s="37"/>
      <c r="IDO17" s="37"/>
      <c r="IDP17" s="37"/>
      <c r="IDQ17" s="37"/>
      <c r="IDR17" s="37"/>
      <c r="IDS17" s="37"/>
      <c r="IDT17" s="37"/>
      <c r="IDU17" s="37"/>
      <c r="IDV17" s="37"/>
      <c r="IDW17" s="37"/>
      <c r="IDX17" s="37"/>
      <c r="IDY17" s="37"/>
      <c r="IDZ17" s="37"/>
      <c r="IEA17" s="37"/>
      <c r="IEB17" s="37"/>
      <c r="IEC17" s="37"/>
      <c r="IED17" s="37"/>
      <c r="IEE17" s="37"/>
      <c r="IEF17" s="37"/>
      <c r="IEG17" s="37"/>
      <c r="IEH17" s="37"/>
      <c r="IEI17" s="37"/>
      <c r="IEJ17" s="37"/>
      <c r="IEK17" s="37"/>
      <c r="IEL17" s="37"/>
      <c r="IEM17" s="37"/>
      <c r="IEN17" s="37"/>
      <c r="IEO17" s="37"/>
      <c r="IEP17" s="37"/>
      <c r="IEQ17" s="37"/>
      <c r="IER17" s="37"/>
      <c r="IES17" s="37"/>
      <c r="IET17" s="37"/>
      <c r="IEU17" s="37"/>
      <c r="IEV17" s="37"/>
      <c r="IEW17" s="37"/>
      <c r="IEX17" s="37"/>
      <c r="IEY17" s="37"/>
      <c r="IEZ17" s="37"/>
      <c r="IFA17" s="37"/>
      <c r="IFB17" s="37"/>
      <c r="IFC17" s="37"/>
      <c r="IFD17" s="37"/>
      <c r="IFE17" s="37"/>
      <c r="IFF17" s="37"/>
      <c r="IFG17" s="37"/>
      <c r="IFH17" s="37"/>
      <c r="IFI17" s="37"/>
      <c r="IFJ17" s="37"/>
      <c r="IFK17" s="37"/>
      <c r="IFL17" s="37"/>
      <c r="IFM17" s="37"/>
      <c r="IFN17" s="37"/>
      <c r="IFO17" s="37"/>
      <c r="IFP17" s="37"/>
      <c r="IFQ17" s="37"/>
      <c r="IFR17" s="37"/>
      <c r="IFS17" s="37"/>
      <c r="IFT17" s="37"/>
      <c r="IFU17" s="37"/>
      <c r="IFV17" s="37"/>
      <c r="IFW17" s="37"/>
      <c r="IFX17" s="37"/>
      <c r="IFY17" s="37"/>
      <c r="IFZ17" s="37"/>
      <c r="IGA17" s="37"/>
      <c r="IGB17" s="37"/>
      <c r="IGC17" s="37"/>
      <c r="IGD17" s="37"/>
      <c r="IGE17" s="37"/>
      <c r="IGF17" s="37"/>
      <c r="IGG17" s="37"/>
      <c r="IGH17" s="37"/>
      <c r="IGI17" s="37"/>
      <c r="IGJ17" s="37"/>
      <c r="IGK17" s="37"/>
      <c r="IGL17" s="37"/>
      <c r="IGM17" s="37"/>
      <c r="IGN17" s="37"/>
      <c r="IGO17" s="37"/>
      <c r="IGP17" s="37"/>
      <c r="IGQ17" s="37"/>
      <c r="IGR17" s="37"/>
      <c r="IGS17" s="37"/>
      <c r="IGT17" s="37"/>
      <c r="IGU17" s="37"/>
      <c r="IGV17" s="37"/>
      <c r="IGW17" s="37"/>
      <c r="IGX17" s="37"/>
      <c r="IGY17" s="37"/>
      <c r="IGZ17" s="37"/>
      <c r="IHA17" s="37"/>
      <c r="IHB17" s="37"/>
      <c r="IHC17" s="37"/>
      <c r="IHD17" s="37"/>
      <c r="IHE17" s="37"/>
      <c r="IHF17" s="37"/>
      <c r="IHG17" s="37"/>
      <c r="IHH17" s="37"/>
      <c r="IHI17" s="37"/>
      <c r="IHJ17" s="37"/>
      <c r="IHK17" s="37"/>
      <c r="IHL17" s="37"/>
      <c r="IHM17" s="37"/>
      <c r="IHN17" s="37"/>
      <c r="IHO17" s="37"/>
      <c r="IHP17" s="37"/>
      <c r="IHQ17" s="37"/>
      <c r="IHR17" s="37"/>
      <c r="IHS17" s="37"/>
      <c r="IHT17" s="37"/>
      <c r="IHU17" s="37"/>
      <c r="IHV17" s="37"/>
      <c r="IHW17" s="37"/>
      <c r="IHX17" s="37"/>
      <c r="IHY17" s="37"/>
      <c r="IHZ17" s="37"/>
      <c r="IIA17" s="37"/>
      <c r="IIB17" s="37"/>
      <c r="IIC17" s="37"/>
      <c r="IID17" s="37"/>
      <c r="IIE17" s="37"/>
      <c r="IIF17" s="37"/>
      <c r="IIG17" s="37"/>
      <c r="IIH17" s="37"/>
      <c r="III17" s="37"/>
      <c r="IIJ17" s="37"/>
      <c r="IIK17" s="37"/>
      <c r="IIL17" s="37"/>
      <c r="IIM17" s="37"/>
      <c r="IIN17" s="37"/>
      <c r="IIO17" s="37"/>
      <c r="IIP17" s="37"/>
      <c r="IIQ17" s="37"/>
      <c r="IIR17" s="37"/>
      <c r="IIS17" s="37"/>
      <c r="IIT17" s="37"/>
      <c r="IIU17" s="37"/>
      <c r="IIV17" s="37"/>
      <c r="IIW17" s="37"/>
      <c r="IIX17" s="37"/>
      <c r="IIY17" s="37"/>
      <c r="IIZ17" s="37"/>
      <c r="IJA17" s="37"/>
      <c r="IJB17" s="37"/>
      <c r="IJC17" s="37"/>
      <c r="IJD17" s="37"/>
      <c r="IJE17" s="37"/>
      <c r="IJF17" s="37"/>
      <c r="IJG17" s="37"/>
      <c r="IJH17" s="37"/>
      <c r="IJI17" s="37"/>
      <c r="IJJ17" s="37"/>
      <c r="IJK17" s="37"/>
      <c r="IJL17" s="37"/>
      <c r="IJM17" s="37"/>
      <c r="IJN17" s="37"/>
      <c r="IJO17" s="37"/>
      <c r="IJP17" s="37"/>
      <c r="IJQ17" s="37"/>
      <c r="IJR17" s="37"/>
      <c r="IJS17" s="37"/>
      <c r="IJT17" s="37"/>
      <c r="IJU17" s="37"/>
      <c r="IJV17" s="37"/>
      <c r="IJW17" s="37"/>
      <c r="IJX17" s="37"/>
      <c r="IJY17" s="37"/>
      <c r="IJZ17" s="37"/>
      <c r="IKA17" s="37"/>
      <c r="IKB17" s="37"/>
      <c r="IKC17" s="37"/>
      <c r="IKD17" s="37"/>
      <c r="IKE17" s="37"/>
      <c r="IKF17" s="37"/>
      <c r="IKG17" s="37"/>
      <c r="IKH17" s="37"/>
      <c r="IKI17" s="37"/>
      <c r="IKJ17" s="37"/>
      <c r="IKK17" s="37"/>
      <c r="IKL17" s="37"/>
      <c r="IKM17" s="37"/>
      <c r="IKN17" s="37"/>
      <c r="IKO17" s="37"/>
      <c r="IKP17" s="37"/>
      <c r="IKQ17" s="37"/>
      <c r="IKR17" s="37"/>
      <c r="IKS17" s="37"/>
      <c r="IKT17" s="37"/>
      <c r="IKU17" s="37"/>
      <c r="IKV17" s="37"/>
      <c r="IKW17" s="37"/>
      <c r="IKX17" s="37"/>
      <c r="IKY17" s="37"/>
      <c r="IKZ17" s="37"/>
      <c r="ILA17" s="37"/>
      <c r="ILB17" s="37"/>
      <c r="ILC17" s="37"/>
      <c r="ILD17" s="37"/>
      <c r="ILE17" s="37"/>
      <c r="ILF17" s="37"/>
      <c r="ILG17" s="37"/>
      <c r="ILH17" s="37"/>
      <c r="ILI17" s="37"/>
      <c r="ILJ17" s="37"/>
      <c r="ILK17" s="37"/>
      <c r="ILL17" s="37"/>
      <c r="ILM17" s="37"/>
      <c r="ILN17" s="37"/>
      <c r="ILO17" s="37"/>
      <c r="ILP17" s="37"/>
      <c r="ILQ17" s="37"/>
      <c r="ILR17" s="37"/>
      <c r="ILS17" s="37"/>
      <c r="ILT17" s="37"/>
      <c r="ILU17" s="37"/>
      <c r="ILV17" s="37"/>
      <c r="ILW17" s="37"/>
      <c r="ILX17" s="37"/>
      <c r="ILY17" s="37"/>
      <c r="ILZ17" s="37"/>
      <c r="IMA17" s="37"/>
      <c r="IMB17" s="37"/>
      <c r="IMC17" s="37"/>
      <c r="IMD17" s="37"/>
      <c r="IME17" s="37"/>
      <c r="IMF17" s="37"/>
      <c r="IMG17" s="37"/>
      <c r="IMH17" s="37"/>
      <c r="IMI17" s="37"/>
      <c r="IMJ17" s="37"/>
      <c r="IMK17" s="37"/>
      <c r="IML17" s="37"/>
      <c r="IMM17" s="37"/>
      <c r="IMN17" s="37"/>
      <c r="IMO17" s="37"/>
      <c r="IMP17" s="37"/>
      <c r="IMQ17" s="37"/>
      <c r="IMR17" s="37"/>
      <c r="IMS17" s="37"/>
      <c r="IMT17" s="37"/>
      <c r="IMU17" s="37"/>
      <c r="IMV17" s="37"/>
      <c r="IMW17" s="37"/>
      <c r="IMX17" s="37"/>
      <c r="IMY17" s="37"/>
      <c r="IMZ17" s="37"/>
      <c r="INA17" s="37"/>
      <c r="INB17" s="37"/>
      <c r="INC17" s="37"/>
      <c r="IND17" s="37"/>
      <c r="INE17" s="37"/>
      <c r="INF17" s="37"/>
      <c r="ING17" s="37"/>
      <c r="INH17" s="37"/>
      <c r="INI17" s="37"/>
      <c r="INJ17" s="37"/>
      <c r="INK17" s="37"/>
      <c r="INL17" s="37"/>
      <c r="INM17" s="37"/>
      <c r="INN17" s="37"/>
      <c r="INO17" s="37"/>
      <c r="INP17" s="37"/>
      <c r="INQ17" s="37"/>
      <c r="INR17" s="37"/>
      <c r="INS17" s="37"/>
      <c r="INT17" s="37"/>
      <c r="INU17" s="37"/>
      <c r="INV17" s="37"/>
      <c r="INW17" s="37"/>
      <c r="INX17" s="37"/>
      <c r="INY17" s="37"/>
      <c r="INZ17" s="37"/>
      <c r="IOA17" s="37"/>
      <c r="IOB17" s="37"/>
      <c r="IOC17" s="37"/>
      <c r="IOD17" s="37"/>
      <c r="IOE17" s="37"/>
      <c r="IOF17" s="37"/>
      <c r="IOG17" s="37"/>
      <c r="IOH17" s="37"/>
      <c r="IOI17" s="37"/>
      <c r="IOJ17" s="37"/>
      <c r="IOK17" s="37"/>
      <c r="IOL17" s="37"/>
      <c r="IOM17" s="37"/>
      <c r="ION17" s="37"/>
      <c r="IOO17" s="37"/>
      <c r="IOP17" s="37"/>
      <c r="IOQ17" s="37"/>
      <c r="IOR17" s="37"/>
      <c r="IOS17" s="37"/>
      <c r="IOT17" s="37"/>
      <c r="IOU17" s="37"/>
      <c r="IOV17" s="37"/>
      <c r="IOW17" s="37"/>
      <c r="IOX17" s="37"/>
      <c r="IOY17" s="37"/>
      <c r="IOZ17" s="37"/>
      <c r="IPA17" s="37"/>
      <c r="IPB17" s="37"/>
      <c r="IPC17" s="37"/>
      <c r="IPD17" s="37"/>
      <c r="IPE17" s="37"/>
      <c r="IPF17" s="37"/>
      <c r="IPG17" s="37"/>
      <c r="IPH17" s="37"/>
      <c r="IPI17" s="37"/>
      <c r="IPJ17" s="37"/>
      <c r="IPK17" s="37"/>
      <c r="IPL17" s="37"/>
      <c r="IPM17" s="37"/>
      <c r="IPN17" s="37"/>
      <c r="IPO17" s="37"/>
      <c r="IPP17" s="37"/>
      <c r="IPQ17" s="37"/>
      <c r="IPR17" s="37"/>
      <c r="IPS17" s="37"/>
      <c r="IPT17" s="37"/>
      <c r="IPU17" s="37"/>
      <c r="IPV17" s="37"/>
      <c r="IPW17" s="37"/>
      <c r="IPX17" s="37"/>
      <c r="IPY17" s="37"/>
      <c r="IPZ17" s="37"/>
      <c r="IQA17" s="37"/>
      <c r="IQB17" s="37"/>
      <c r="IQC17" s="37"/>
      <c r="IQD17" s="37"/>
      <c r="IQE17" s="37"/>
      <c r="IQF17" s="37"/>
      <c r="IQG17" s="37"/>
      <c r="IQH17" s="37"/>
      <c r="IQI17" s="37"/>
      <c r="IQJ17" s="37"/>
      <c r="IQK17" s="37"/>
      <c r="IQL17" s="37"/>
      <c r="IQM17" s="37"/>
      <c r="IQN17" s="37"/>
      <c r="IQO17" s="37"/>
      <c r="IQP17" s="37"/>
      <c r="IQQ17" s="37"/>
      <c r="IQR17" s="37"/>
      <c r="IQS17" s="37"/>
      <c r="IQT17" s="37"/>
      <c r="IQU17" s="37"/>
      <c r="IQV17" s="37"/>
      <c r="IQW17" s="37"/>
      <c r="IQX17" s="37"/>
      <c r="IQY17" s="37"/>
      <c r="IQZ17" s="37"/>
      <c r="IRA17" s="37"/>
      <c r="IRB17" s="37"/>
      <c r="IRC17" s="37"/>
      <c r="IRD17" s="37"/>
      <c r="IRE17" s="37"/>
      <c r="IRF17" s="37"/>
      <c r="IRG17" s="37"/>
      <c r="IRH17" s="37"/>
      <c r="IRI17" s="37"/>
      <c r="IRJ17" s="37"/>
      <c r="IRK17" s="37"/>
      <c r="IRL17" s="37"/>
      <c r="IRM17" s="37"/>
      <c r="IRN17" s="37"/>
      <c r="IRO17" s="37"/>
      <c r="IRP17" s="37"/>
      <c r="IRQ17" s="37"/>
      <c r="IRR17" s="37"/>
      <c r="IRS17" s="37"/>
      <c r="IRT17" s="37"/>
      <c r="IRU17" s="37"/>
      <c r="IRV17" s="37"/>
      <c r="IRW17" s="37"/>
      <c r="IRX17" s="37"/>
      <c r="IRY17" s="37"/>
      <c r="IRZ17" s="37"/>
      <c r="ISA17" s="37"/>
      <c r="ISB17" s="37"/>
      <c r="ISC17" s="37"/>
      <c r="ISD17" s="37"/>
      <c r="ISE17" s="37"/>
      <c r="ISF17" s="37"/>
      <c r="ISG17" s="37"/>
      <c r="ISH17" s="37"/>
      <c r="ISI17" s="37"/>
      <c r="ISJ17" s="37"/>
      <c r="ISK17" s="37"/>
      <c r="ISL17" s="37"/>
      <c r="ISM17" s="37"/>
      <c r="ISN17" s="37"/>
      <c r="ISO17" s="37"/>
      <c r="ISP17" s="37"/>
      <c r="ISQ17" s="37"/>
      <c r="ISR17" s="37"/>
      <c r="ISS17" s="37"/>
      <c r="IST17" s="37"/>
      <c r="ISU17" s="37"/>
      <c r="ISV17" s="37"/>
      <c r="ISW17" s="37"/>
      <c r="ISX17" s="37"/>
      <c r="ISY17" s="37"/>
      <c r="ISZ17" s="37"/>
      <c r="ITA17" s="37"/>
      <c r="ITB17" s="37"/>
      <c r="ITC17" s="37"/>
      <c r="ITD17" s="37"/>
      <c r="ITE17" s="37"/>
      <c r="ITF17" s="37"/>
      <c r="ITG17" s="37"/>
      <c r="ITH17" s="37"/>
      <c r="ITI17" s="37"/>
      <c r="ITJ17" s="37"/>
      <c r="ITK17" s="37"/>
      <c r="ITL17" s="37"/>
      <c r="ITM17" s="37"/>
      <c r="ITN17" s="37"/>
      <c r="ITO17" s="37"/>
      <c r="ITP17" s="37"/>
      <c r="ITQ17" s="37"/>
      <c r="ITR17" s="37"/>
      <c r="ITS17" s="37"/>
      <c r="ITT17" s="37"/>
      <c r="ITU17" s="37"/>
      <c r="ITV17" s="37"/>
      <c r="ITW17" s="37"/>
      <c r="ITX17" s="37"/>
      <c r="ITY17" s="37"/>
      <c r="ITZ17" s="37"/>
      <c r="IUA17" s="37"/>
      <c r="IUB17" s="37"/>
      <c r="IUC17" s="37"/>
      <c r="IUD17" s="37"/>
      <c r="IUE17" s="37"/>
      <c r="IUF17" s="37"/>
      <c r="IUG17" s="37"/>
      <c r="IUH17" s="37"/>
      <c r="IUI17" s="37"/>
      <c r="IUJ17" s="37"/>
      <c r="IUK17" s="37"/>
      <c r="IUL17" s="37"/>
      <c r="IUM17" s="37"/>
      <c r="IUN17" s="37"/>
      <c r="IUO17" s="37"/>
      <c r="IUP17" s="37"/>
      <c r="IUQ17" s="37"/>
      <c r="IUR17" s="37"/>
      <c r="IUS17" s="37"/>
      <c r="IUT17" s="37"/>
      <c r="IUU17" s="37"/>
      <c r="IUV17" s="37"/>
      <c r="IUW17" s="37"/>
      <c r="IUX17" s="37"/>
      <c r="IUY17" s="37"/>
      <c r="IUZ17" s="37"/>
      <c r="IVA17" s="37"/>
      <c r="IVB17" s="37"/>
      <c r="IVC17" s="37"/>
      <c r="IVD17" s="37"/>
      <c r="IVE17" s="37"/>
      <c r="IVF17" s="37"/>
      <c r="IVG17" s="37"/>
      <c r="IVH17" s="37"/>
      <c r="IVI17" s="37"/>
      <c r="IVJ17" s="37"/>
      <c r="IVK17" s="37"/>
      <c r="IVL17" s="37"/>
      <c r="IVM17" s="37"/>
      <c r="IVN17" s="37"/>
      <c r="IVO17" s="37"/>
      <c r="IVP17" s="37"/>
      <c r="IVQ17" s="37"/>
      <c r="IVR17" s="37"/>
      <c r="IVS17" s="37"/>
      <c r="IVT17" s="37"/>
      <c r="IVU17" s="37"/>
      <c r="IVV17" s="37"/>
      <c r="IVW17" s="37"/>
      <c r="IVX17" s="37"/>
      <c r="IVY17" s="37"/>
      <c r="IVZ17" s="37"/>
      <c r="IWA17" s="37"/>
      <c r="IWB17" s="37"/>
      <c r="IWC17" s="37"/>
      <c r="IWD17" s="37"/>
      <c r="IWE17" s="37"/>
      <c r="IWF17" s="37"/>
      <c r="IWG17" s="37"/>
      <c r="IWH17" s="37"/>
      <c r="IWI17" s="37"/>
      <c r="IWJ17" s="37"/>
      <c r="IWK17" s="37"/>
      <c r="IWL17" s="37"/>
      <c r="IWM17" s="37"/>
      <c r="IWN17" s="37"/>
      <c r="IWO17" s="37"/>
      <c r="IWP17" s="37"/>
      <c r="IWQ17" s="37"/>
      <c r="IWR17" s="37"/>
      <c r="IWS17" s="37"/>
      <c r="IWT17" s="37"/>
      <c r="IWU17" s="37"/>
      <c r="IWV17" s="37"/>
      <c r="IWW17" s="37"/>
      <c r="IWX17" s="37"/>
      <c r="IWY17" s="37"/>
      <c r="IWZ17" s="37"/>
      <c r="IXA17" s="37"/>
      <c r="IXB17" s="37"/>
      <c r="IXC17" s="37"/>
      <c r="IXD17" s="37"/>
      <c r="IXE17" s="37"/>
      <c r="IXF17" s="37"/>
      <c r="IXG17" s="37"/>
      <c r="IXH17" s="37"/>
      <c r="IXI17" s="37"/>
      <c r="IXJ17" s="37"/>
      <c r="IXK17" s="37"/>
      <c r="IXL17" s="37"/>
      <c r="IXM17" s="37"/>
      <c r="IXN17" s="37"/>
      <c r="IXO17" s="37"/>
      <c r="IXP17" s="37"/>
      <c r="IXQ17" s="37"/>
      <c r="IXR17" s="37"/>
      <c r="IXS17" s="37"/>
      <c r="IXT17" s="37"/>
      <c r="IXU17" s="37"/>
      <c r="IXV17" s="37"/>
      <c r="IXW17" s="37"/>
      <c r="IXX17" s="37"/>
      <c r="IXY17" s="37"/>
      <c r="IXZ17" s="37"/>
      <c r="IYA17" s="37"/>
      <c r="IYB17" s="37"/>
      <c r="IYC17" s="37"/>
      <c r="IYD17" s="37"/>
      <c r="IYE17" s="37"/>
      <c r="IYF17" s="37"/>
      <c r="IYG17" s="37"/>
      <c r="IYH17" s="37"/>
      <c r="IYI17" s="37"/>
      <c r="IYJ17" s="37"/>
      <c r="IYK17" s="37"/>
      <c r="IYL17" s="37"/>
      <c r="IYM17" s="37"/>
      <c r="IYN17" s="37"/>
      <c r="IYO17" s="37"/>
      <c r="IYP17" s="37"/>
      <c r="IYQ17" s="37"/>
      <c r="IYR17" s="37"/>
      <c r="IYS17" s="37"/>
      <c r="IYT17" s="37"/>
      <c r="IYU17" s="37"/>
      <c r="IYV17" s="37"/>
      <c r="IYW17" s="37"/>
      <c r="IYX17" s="37"/>
      <c r="IYY17" s="37"/>
      <c r="IYZ17" s="37"/>
      <c r="IZA17" s="37"/>
      <c r="IZB17" s="37"/>
      <c r="IZC17" s="37"/>
      <c r="IZD17" s="37"/>
      <c r="IZE17" s="37"/>
      <c r="IZF17" s="37"/>
      <c r="IZG17" s="37"/>
      <c r="IZH17" s="37"/>
      <c r="IZI17" s="37"/>
      <c r="IZJ17" s="37"/>
      <c r="IZK17" s="37"/>
      <c r="IZL17" s="37"/>
      <c r="IZM17" s="37"/>
      <c r="IZN17" s="37"/>
      <c r="IZO17" s="37"/>
      <c r="IZP17" s="37"/>
      <c r="IZQ17" s="37"/>
      <c r="IZR17" s="37"/>
      <c r="IZS17" s="37"/>
      <c r="IZT17" s="37"/>
      <c r="IZU17" s="37"/>
      <c r="IZV17" s="37"/>
      <c r="IZW17" s="37"/>
      <c r="IZX17" s="37"/>
      <c r="IZY17" s="37"/>
      <c r="IZZ17" s="37"/>
      <c r="JAA17" s="37"/>
      <c r="JAB17" s="37"/>
      <c r="JAC17" s="37"/>
      <c r="JAD17" s="37"/>
      <c r="JAE17" s="37"/>
      <c r="JAF17" s="37"/>
      <c r="JAG17" s="37"/>
      <c r="JAH17" s="37"/>
      <c r="JAI17" s="37"/>
      <c r="JAJ17" s="37"/>
      <c r="JAK17" s="37"/>
      <c r="JAL17" s="37"/>
      <c r="JAM17" s="37"/>
      <c r="JAN17" s="37"/>
      <c r="JAO17" s="37"/>
      <c r="JAP17" s="37"/>
      <c r="JAQ17" s="37"/>
      <c r="JAR17" s="37"/>
      <c r="JAS17" s="37"/>
      <c r="JAT17" s="37"/>
      <c r="JAU17" s="37"/>
      <c r="JAV17" s="37"/>
      <c r="JAW17" s="37"/>
      <c r="JAX17" s="37"/>
      <c r="JAY17" s="37"/>
      <c r="JAZ17" s="37"/>
      <c r="JBA17" s="37"/>
      <c r="JBB17" s="37"/>
      <c r="JBC17" s="37"/>
      <c r="JBD17" s="37"/>
      <c r="JBE17" s="37"/>
      <c r="JBF17" s="37"/>
      <c r="JBG17" s="37"/>
      <c r="JBH17" s="37"/>
      <c r="JBI17" s="37"/>
      <c r="JBJ17" s="37"/>
      <c r="JBK17" s="37"/>
      <c r="JBL17" s="37"/>
      <c r="JBM17" s="37"/>
      <c r="JBN17" s="37"/>
      <c r="JBO17" s="37"/>
      <c r="JBP17" s="37"/>
      <c r="JBQ17" s="37"/>
      <c r="JBR17" s="37"/>
      <c r="JBS17" s="37"/>
      <c r="JBT17" s="37"/>
      <c r="JBU17" s="37"/>
      <c r="JBV17" s="37"/>
      <c r="JBW17" s="37"/>
      <c r="JBX17" s="37"/>
      <c r="JBY17" s="37"/>
      <c r="JBZ17" s="37"/>
      <c r="JCA17" s="37"/>
      <c r="JCB17" s="37"/>
      <c r="JCC17" s="37"/>
      <c r="JCD17" s="37"/>
      <c r="JCE17" s="37"/>
      <c r="JCF17" s="37"/>
      <c r="JCG17" s="37"/>
      <c r="JCH17" s="37"/>
      <c r="JCI17" s="37"/>
      <c r="JCJ17" s="37"/>
      <c r="JCK17" s="37"/>
      <c r="JCL17" s="37"/>
      <c r="JCM17" s="37"/>
      <c r="JCN17" s="37"/>
      <c r="JCO17" s="37"/>
      <c r="JCP17" s="37"/>
      <c r="JCQ17" s="37"/>
      <c r="JCR17" s="37"/>
      <c r="JCS17" s="37"/>
      <c r="JCT17" s="37"/>
      <c r="JCU17" s="37"/>
      <c r="JCV17" s="37"/>
      <c r="JCW17" s="37"/>
      <c r="JCX17" s="37"/>
      <c r="JCY17" s="37"/>
      <c r="JCZ17" s="37"/>
      <c r="JDA17" s="37"/>
      <c r="JDB17" s="37"/>
      <c r="JDC17" s="37"/>
      <c r="JDD17" s="37"/>
      <c r="JDE17" s="37"/>
      <c r="JDF17" s="37"/>
      <c r="JDG17" s="37"/>
      <c r="JDH17" s="37"/>
      <c r="JDI17" s="37"/>
      <c r="JDJ17" s="37"/>
      <c r="JDK17" s="37"/>
      <c r="JDL17" s="37"/>
      <c r="JDM17" s="37"/>
      <c r="JDN17" s="37"/>
      <c r="JDO17" s="37"/>
      <c r="JDP17" s="37"/>
      <c r="JDQ17" s="37"/>
      <c r="JDR17" s="37"/>
      <c r="JDS17" s="37"/>
      <c r="JDT17" s="37"/>
      <c r="JDU17" s="37"/>
      <c r="JDV17" s="37"/>
      <c r="JDW17" s="37"/>
      <c r="JDX17" s="37"/>
      <c r="JDY17" s="37"/>
      <c r="JDZ17" s="37"/>
      <c r="JEA17" s="37"/>
      <c r="JEB17" s="37"/>
      <c r="JEC17" s="37"/>
      <c r="JED17" s="37"/>
      <c r="JEE17" s="37"/>
      <c r="JEF17" s="37"/>
      <c r="JEG17" s="37"/>
      <c r="JEH17" s="37"/>
      <c r="JEI17" s="37"/>
      <c r="JEJ17" s="37"/>
      <c r="JEK17" s="37"/>
      <c r="JEL17" s="37"/>
      <c r="JEM17" s="37"/>
      <c r="JEN17" s="37"/>
      <c r="JEO17" s="37"/>
      <c r="JEP17" s="37"/>
      <c r="JEQ17" s="37"/>
      <c r="JER17" s="37"/>
      <c r="JES17" s="37"/>
      <c r="JET17" s="37"/>
      <c r="JEU17" s="37"/>
      <c r="JEV17" s="37"/>
      <c r="JEW17" s="37"/>
      <c r="JEX17" s="37"/>
      <c r="JEY17" s="37"/>
      <c r="JEZ17" s="37"/>
      <c r="JFA17" s="37"/>
      <c r="JFB17" s="37"/>
      <c r="JFC17" s="37"/>
      <c r="JFD17" s="37"/>
      <c r="JFE17" s="37"/>
      <c r="JFF17" s="37"/>
      <c r="JFG17" s="37"/>
      <c r="JFH17" s="37"/>
      <c r="JFI17" s="37"/>
      <c r="JFJ17" s="37"/>
      <c r="JFK17" s="37"/>
      <c r="JFL17" s="37"/>
      <c r="JFM17" s="37"/>
      <c r="JFN17" s="37"/>
      <c r="JFO17" s="37"/>
      <c r="JFP17" s="37"/>
      <c r="JFQ17" s="37"/>
      <c r="JFR17" s="37"/>
      <c r="JFS17" s="37"/>
      <c r="JFT17" s="37"/>
      <c r="JFU17" s="37"/>
      <c r="JFV17" s="37"/>
      <c r="JFW17" s="37"/>
      <c r="JFX17" s="37"/>
      <c r="JFY17" s="37"/>
      <c r="JFZ17" s="37"/>
      <c r="JGA17" s="37"/>
      <c r="JGB17" s="37"/>
      <c r="JGC17" s="37"/>
      <c r="JGD17" s="37"/>
      <c r="JGE17" s="37"/>
      <c r="JGF17" s="37"/>
      <c r="JGG17" s="37"/>
      <c r="JGH17" s="37"/>
      <c r="JGI17" s="37"/>
      <c r="JGJ17" s="37"/>
      <c r="JGK17" s="37"/>
      <c r="JGL17" s="37"/>
      <c r="JGM17" s="37"/>
      <c r="JGN17" s="37"/>
      <c r="JGO17" s="37"/>
      <c r="JGP17" s="37"/>
      <c r="JGQ17" s="37"/>
      <c r="JGR17" s="37"/>
      <c r="JGS17" s="37"/>
      <c r="JGT17" s="37"/>
      <c r="JGU17" s="37"/>
      <c r="JGV17" s="37"/>
      <c r="JGW17" s="37"/>
      <c r="JGX17" s="37"/>
      <c r="JGY17" s="37"/>
      <c r="JGZ17" s="37"/>
      <c r="JHA17" s="37"/>
      <c r="JHB17" s="37"/>
      <c r="JHC17" s="37"/>
      <c r="JHD17" s="37"/>
      <c r="JHE17" s="37"/>
      <c r="JHF17" s="37"/>
      <c r="JHG17" s="37"/>
      <c r="JHH17" s="37"/>
      <c r="JHI17" s="37"/>
      <c r="JHJ17" s="37"/>
      <c r="JHK17" s="37"/>
      <c r="JHL17" s="37"/>
      <c r="JHM17" s="37"/>
      <c r="JHN17" s="37"/>
      <c r="JHO17" s="37"/>
      <c r="JHP17" s="37"/>
      <c r="JHQ17" s="37"/>
      <c r="JHR17" s="37"/>
      <c r="JHS17" s="37"/>
      <c r="JHT17" s="37"/>
      <c r="JHU17" s="37"/>
      <c r="JHV17" s="37"/>
      <c r="JHW17" s="37"/>
      <c r="JHX17" s="37"/>
      <c r="JHY17" s="37"/>
      <c r="JHZ17" s="37"/>
      <c r="JIA17" s="37"/>
      <c r="JIB17" s="37"/>
      <c r="JIC17" s="37"/>
      <c r="JID17" s="37"/>
      <c r="JIE17" s="37"/>
      <c r="JIF17" s="37"/>
      <c r="JIG17" s="37"/>
      <c r="JIH17" s="37"/>
      <c r="JII17" s="37"/>
      <c r="JIJ17" s="37"/>
      <c r="JIK17" s="37"/>
      <c r="JIL17" s="37"/>
      <c r="JIM17" s="37"/>
      <c r="JIN17" s="37"/>
      <c r="JIO17" s="37"/>
      <c r="JIP17" s="37"/>
      <c r="JIQ17" s="37"/>
      <c r="JIR17" s="37"/>
      <c r="JIS17" s="37"/>
      <c r="JIT17" s="37"/>
      <c r="JIU17" s="37"/>
      <c r="JIV17" s="37"/>
      <c r="JIW17" s="37"/>
      <c r="JIX17" s="37"/>
      <c r="JIY17" s="37"/>
      <c r="JIZ17" s="37"/>
      <c r="JJA17" s="37"/>
      <c r="JJB17" s="37"/>
      <c r="JJC17" s="37"/>
      <c r="JJD17" s="37"/>
      <c r="JJE17" s="37"/>
      <c r="JJF17" s="37"/>
      <c r="JJG17" s="37"/>
      <c r="JJH17" s="37"/>
      <c r="JJI17" s="37"/>
      <c r="JJJ17" s="37"/>
      <c r="JJK17" s="37"/>
      <c r="JJL17" s="37"/>
      <c r="JJM17" s="37"/>
      <c r="JJN17" s="37"/>
      <c r="JJO17" s="37"/>
      <c r="JJP17" s="37"/>
      <c r="JJQ17" s="37"/>
      <c r="JJR17" s="37"/>
      <c r="JJS17" s="37"/>
      <c r="JJT17" s="37"/>
      <c r="JJU17" s="37"/>
      <c r="JJV17" s="37"/>
      <c r="JJW17" s="37"/>
      <c r="JJX17" s="37"/>
      <c r="JJY17" s="37"/>
      <c r="JJZ17" s="37"/>
      <c r="JKA17" s="37"/>
      <c r="JKB17" s="37"/>
      <c r="JKC17" s="37"/>
      <c r="JKD17" s="37"/>
      <c r="JKE17" s="37"/>
      <c r="JKF17" s="37"/>
      <c r="JKG17" s="37"/>
      <c r="JKH17" s="37"/>
      <c r="JKI17" s="37"/>
      <c r="JKJ17" s="37"/>
      <c r="JKK17" s="37"/>
      <c r="JKL17" s="37"/>
      <c r="JKM17" s="37"/>
      <c r="JKN17" s="37"/>
      <c r="JKO17" s="37"/>
      <c r="JKP17" s="37"/>
      <c r="JKQ17" s="37"/>
      <c r="JKR17" s="37"/>
      <c r="JKS17" s="37"/>
      <c r="JKT17" s="37"/>
      <c r="JKU17" s="37"/>
      <c r="JKV17" s="37"/>
      <c r="JKW17" s="37"/>
      <c r="JKX17" s="37"/>
      <c r="JKY17" s="37"/>
      <c r="JKZ17" s="37"/>
      <c r="JLA17" s="37"/>
      <c r="JLB17" s="37"/>
      <c r="JLC17" s="37"/>
      <c r="JLD17" s="37"/>
      <c r="JLE17" s="37"/>
      <c r="JLF17" s="37"/>
      <c r="JLG17" s="37"/>
      <c r="JLH17" s="37"/>
      <c r="JLI17" s="37"/>
      <c r="JLJ17" s="37"/>
      <c r="JLK17" s="37"/>
      <c r="JLL17" s="37"/>
      <c r="JLM17" s="37"/>
      <c r="JLN17" s="37"/>
      <c r="JLO17" s="37"/>
      <c r="JLP17" s="37"/>
      <c r="JLQ17" s="37"/>
      <c r="JLR17" s="37"/>
      <c r="JLS17" s="37"/>
      <c r="JLT17" s="37"/>
      <c r="JLU17" s="37"/>
      <c r="JLV17" s="37"/>
      <c r="JLW17" s="37"/>
      <c r="JLX17" s="37"/>
      <c r="JLY17" s="37"/>
      <c r="JLZ17" s="37"/>
      <c r="JMA17" s="37"/>
      <c r="JMB17" s="37"/>
      <c r="JMC17" s="37"/>
      <c r="JMD17" s="37"/>
      <c r="JME17" s="37"/>
      <c r="JMF17" s="37"/>
      <c r="JMG17" s="37"/>
      <c r="JMH17" s="37"/>
      <c r="JMI17" s="37"/>
      <c r="JMJ17" s="37"/>
      <c r="JMK17" s="37"/>
      <c r="JML17" s="37"/>
      <c r="JMM17" s="37"/>
      <c r="JMN17" s="37"/>
      <c r="JMO17" s="37"/>
      <c r="JMP17" s="37"/>
      <c r="JMQ17" s="37"/>
      <c r="JMR17" s="37"/>
      <c r="JMS17" s="37"/>
      <c r="JMT17" s="37"/>
      <c r="JMU17" s="37"/>
      <c r="JMV17" s="37"/>
      <c r="JMW17" s="37"/>
      <c r="JMX17" s="37"/>
      <c r="JMY17" s="37"/>
      <c r="JMZ17" s="37"/>
      <c r="JNA17" s="37"/>
      <c r="JNB17" s="37"/>
      <c r="JNC17" s="37"/>
      <c r="JND17" s="37"/>
      <c r="JNE17" s="37"/>
      <c r="JNF17" s="37"/>
      <c r="JNG17" s="37"/>
      <c r="JNH17" s="37"/>
      <c r="JNI17" s="37"/>
      <c r="JNJ17" s="37"/>
      <c r="JNK17" s="37"/>
      <c r="JNL17" s="37"/>
      <c r="JNM17" s="37"/>
      <c r="JNN17" s="37"/>
      <c r="JNO17" s="37"/>
      <c r="JNP17" s="37"/>
      <c r="JNQ17" s="37"/>
      <c r="JNR17" s="37"/>
      <c r="JNS17" s="37"/>
      <c r="JNT17" s="37"/>
      <c r="JNU17" s="37"/>
      <c r="JNV17" s="37"/>
      <c r="JNW17" s="37"/>
      <c r="JNX17" s="37"/>
      <c r="JNY17" s="37"/>
      <c r="JNZ17" s="37"/>
      <c r="JOA17" s="37"/>
      <c r="JOB17" s="37"/>
      <c r="JOC17" s="37"/>
      <c r="JOD17" s="37"/>
      <c r="JOE17" s="37"/>
      <c r="JOF17" s="37"/>
      <c r="JOG17" s="37"/>
      <c r="JOH17" s="37"/>
      <c r="JOI17" s="37"/>
      <c r="JOJ17" s="37"/>
      <c r="JOK17" s="37"/>
      <c r="JOL17" s="37"/>
      <c r="JOM17" s="37"/>
      <c r="JON17" s="37"/>
      <c r="JOO17" s="37"/>
      <c r="JOP17" s="37"/>
      <c r="JOQ17" s="37"/>
      <c r="JOR17" s="37"/>
      <c r="JOS17" s="37"/>
      <c r="JOT17" s="37"/>
      <c r="JOU17" s="37"/>
      <c r="JOV17" s="37"/>
      <c r="JOW17" s="37"/>
      <c r="JOX17" s="37"/>
      <c r="JOY17" s="37"/>
      <c r="JOZ17" s="37"/>
      <c r="JPA17" s="37"/>
      <c r="JPB17" s="37"/>
      <c r="JPC17" s="37"/>
      <c r="JPD17" s="37"/>
      <c r="JPE17" s="37"/>
      <c r="JPF17" s="37"/>
      <c r="JPG17" s="37"/>
      <c r="JPH17" s="37"/>
      <c r="JPI17" s="37"/>
      <c r="JPJ17" s="37"/>
      <c r="JPK17" s="37"/>
      <c r="JPL17" s="37"/>
      <c r="JPM17" s="37"/>
      <c r="JPN17" s="37"/>
      <c r="JPO17" s="37"/>
      <c r="JPP17" s="37"/>
      <c r="JPQ17" s="37"/>
      <c r="JPR17" s="37"/>
      <c r="JPS17" s="37"/>
      <c r="JPT17" s="37"/>
      <c r="JPU17" s="37"/>
      <c r="JPV17" s="37"/>
      <c r="JPW17" s="37"/>
      <c r="JPX17" s="37"/>
      <c r="JPY17" s="37"/>
      <c r="JPZ17" s="37"/>
      <c r="JQA17" s="37"/>
      <c r="JQB17" s="37"/>
      <c r="JQC17" s="37"/>
      <c r="JQD17" s="37"/>
      <c r="JQE17" s="37"/>
      <c r="JQF17" s="37"/>
      <c r="JQG17" s="37"/>
      <c r="JQH17" s="37"/>
      <c r="JQI17" s="37"/>
      <c r="JQJ17" s="37"/>
      <c r="JQK17" s="37"/>
      <c r="JQL17" s="37"/>
      <c r="JQM17" s="37"/>
      <c r="JQN17" s="37"/>
      <c r="JQO17" s="37"/>
      <c r="JQP17" s="37"/>
      <c r="JQQ17" s="37"/>
      <c r="JQR17" s="37"/>
      <c r="JQS17" s="37"/>
      <c r="JQT17" s="37"/>
      <c r="JQU17" s="37"/>
      <c r="JQV17" s="37"/>
      <c r="JQW17" s="37"/>
      <c r="JQX17" s="37"/>
      <c r="JQY17" s="37"/>
      <c r="JQZ17" s="37"/>
      <c r="JRA17" s="37"/>
      <c r="JRB17" s="37"/>
      <c r="JRC17" s="37"/>
      <c r="JRD17" s="37"/>
      <c r="JRE17" s="37"/>
      <c r="JRF17" s="37"/>
      <c r="JRG17" s="37"/>
      <c r="JRH17" s="37"/>
      <c r="JRI17" s="37"/>
      <c r="JRJ17" s="37"/>
      <c r="JRK17" s="37"/>
      <c r="JRL17" s="37"/>
      <c r="JRM17" s="37"/>
      <c r="JRN17" s="37"/>
      <c r="JRO17" s="37"/>
      <c r="JRP17" s="37"/>
      <c r="JRQ17" s="37"/>
      <c r="JRR17" s="37"/>
      <c r="JRS17" s="37"/>
      <c r="JRT17" s="37"/>
      <c r="JRU17" s="37"/>
      <c r="JRV17" s="37"/>
      <c r="JRW17" s="37"/>
      <c r="JRX17" s="37"/>
      <c r="JRY17" s="37"/>
      <c r="JRZ17" s="37"/>
      <c r="JSA17" s="37"/>
      <c r="JSB17" s="37"/>
      <c r="JSC17" s="37"/>
      <c r="JSD17" s="37"/>
      <c r="JSE17" s="37"/>
      <c r="JSF17" s="37"/>
      <c r="JSG17" s="37"/>
      <c r="JSH17" s="37"/>
      <c r="JSI17" s="37"/>
      <c r="JSJ17" s="37"/>
      <c r="JSK17" s="37"/>
      <c r="JSL17" s="37"/>
      <c r="JSM17" s="37"/>
      <c r="JSN17" s="37"/>
      <c r="JSO17" s="37"/>
      <c r="JSP17" s="37"/>
      <c r="JSQ17" s="37"/>
      <c r="JSR17" s="37"/>
      <c r="JSS17" s="37"/>
      <c r="JST17" s="37"/>
      <c r="JSU17" s="37"/>
      <c r="JSV17" s="37"/>
      <c r="JSW17" s="37"/>
      <c r="JSX17" s="37"/>
      <c r="JSY17" s="37"/>
      <c r="JSZ17" s="37"/>
      <c r="JTA17" s="37"/>
      <c r="JTB17" s="37"/>
      <c r="JTC17" s="37"/>
      <c r="JTD17" s="37"/>
      <c r="JTE17" s="37"/>
      <c r="JTF17" s="37"/>
      <c r="JTG17" s="37"/>
      <c r="JTH17" s="37"/>
      <c r="JTI17" s="37"/>
      <c r="JTJ17" s="37"/>
      <c r="JTK17" s="37"/>
      <c r="JTL17" s="37"/>
      <c r="JTM17" s="37"/>
      <c r="JTN17" s="37"/>
      <c r="JTO17" s="37"/>
      <c r="JTP17" s="37"/>
      <c r="JTQ17" s="37"/>
      <c r="JTR17" s="37"/>
      <c r="JTS17" s="37"/>
      <c r="JTT17" s="37"/>
      <c r="JTU17" s="37"/>
      <c r="JTV17" s="37"/>
      <c r="JTW17" s="37"/>
      <c r="JTX17" s="37"/>
      <c r="JTY17" s="37"/>
      <c r="JTZ17" s="37"/>
      <c r="JUA17" s="37"/>
      <c r="JUB17" s="37"/>
      <c r="JUC17" s="37"/>
      <c r="JUD17" s="37"/>
      <c r="JUE17" s="37"/>
      <c r="JUF17" s="37"/>
      <c r="JUG17" s="37"/>
      <c r="JUH17" s="37"/>
      <c r="JUI17" s="37"/>
      <c r="JUJ17" s="37"/>
      <c r="JUK17" s="37"/>
      <c r="JUL17" s="37"/>
      <c r="JUM17" s="37"/>
      <c r="JUN17" s="37"/>
      <c r="JUO17" s="37"/>
      <c r="JUP17" s="37"/>
      <c r="JUQ17" s="37"/>
      <c r="JUR17" s="37"/>
      <c r="JUS17" s="37"/>
      <c r="JUT17" s="37"/>
      <c r="JUU17" s="37"/>
      <c r="JUV17" s="37"/>
      <c r="JUW17" s="37"/>
      <c r="JUX17" s="37"/>
      <c r="JUY17" s="37"/>
      <c r="JUZ17" s="37"/>
      <c r="JVA17" s="37"/>
      <c r="JVB17" s="37"/>
      <c r="JVC17" s="37"/>
      <c r="JVD17" s="37"/>
      <c r="JVE17" s="37"/>
      <c r="JVF17" s="37"/>
      <c r="JVG17" s="37"/>
      <c r="JVH17" s="37"/>
      <c r="JVI17" s="37"/>
      <c r="JVJ17" s="37"/>
      <c r="JVK17" s="37"/>
      <c r="JVL17" s="37"/>
      <c r="JVM17" s="37"/>
      <c r="JVN17" s="37"/>
      <c r="JVO17" s="37"/>
      <c r="JVP17" s="37"/>
      <c r="JVQ17" s="37"/>
      <c r="JVR17" s="37"/>
      <c r="JVS17" s="37"/>
      <c r="JVT17" s="37"/>
      <c r="JVU17" s="37"/>
      <c r="JVV17" s="37"/>
      <c r="JVW17" s="37"/>
      <c r="JVX17" s="37"/>
      <c r="JVY17" s="37"/>
      <c r="JVZ17" s="37"/>
      <c r="JWA17" s="37"/>
      <c r="JWB17" s="37"/>
      <c r="JWC17" s="37"/>
      <c r="JWD17" s="37"/>
      <c r="JWE17" s="37"/>
      <c r="JWF17" s="37"/>
      <c r="JWG17" s="37"/>
      <c r="JWH17" s="37"/>
      <c r="JWI17" s="37"/>
      <c r="JWJ17" s="37"/>
      <c r="JWK17" s="37"/>
      <c r="JWL17" s="37"/>
      <c r="JWM17" s="37"/>
      <c r="JWN17" s="37"/>
      <c r="JWO17" s="37"/>
      <c r="JWP17" s="37"/>
      <c r="JWQ17" s="37"/>
      <c r="JWR17" s="37"/>
      <c r="JWS17" s="37"/>
      <c r="JWT17" s="37"/>
      <c r="JWU17" s="37"/>
      <c r="JWV17" s="37"/>
      <c r="JWW17" s="37"/>
      <c r="JWX17" s="37"/>
      <c r="JWY17" s="37"/>
      <c r="JWZ17" s="37"/>
      <c r="JXA17" s="37"/>
      <c r="JXB17" s="37"/>
      <c r="JXC17" s="37"/>
      <c r="JXD17" s="37"/>
      <c r="JXE17" s="37"/>
      <c r="JXF17" s="37"/>
      <c r="JXG17" s="37"/>
      <c r="JXH17" s="37"/>
      <c r="JXI17" s="37"/>
      <c r="JXJ17" s="37"/>
      <c r="JXK17" s="37"/>
      <c r="JXL17" s="37"/>
      <c r="JXM17" s="37"/>
      <c r="JXN17" s="37"/>
      <c r="JXO17" s="37"/>
      <c r="JXP17" s="37"/>
      <c r="JXQ17" s="37"/>
      <c r="JXR17" s="37"/>
      <c r="JXS17" s="37"/>
      <c r="JXT17" s="37"/>
      <c r="JXU17" s="37"/>
      <c r="JXV17" s="37"/>
      <c r="JXW17" s="37"/>
      <c r="JXX17" s="37"/>
      <c r="JXY17" s="37"/>
      <c r="JXZ17" s="37"/>
      <c r="JYA17" s="37"/>
      <c r="JYB17" s="37"/>
      <c r="JYC17" s="37"/>
      <c r="JYD17" s="37"/>
      <c r="JYE17" s="37"/>
      <c r="JYF17" s="37"/>
      <c r="JYG17" s="37"/>
      <c r="JYH17" s="37"/>
      <c r="JYI17" s="37"/>
      <c r="JYJ17" s="37"/>
      <c r="JYK17" s="37"/>
      <c r="JYL17" s="37"/>
      <c r="JYM17" s="37"/>
      <c r="JYN17" s="37"/>
      <c r="JYO17" s="37"/>
      <c r="JYP17" s="37"/>
      <c r="JYQ17" s="37"/>
      <c r="JYR17" s="37"/>
      <c r="JYS17" s="37"/>
      <c r="JYT17" s="37"/>
      <c r="JYU17" s="37"/>
      <c r="JYV17" s="37"/>
      <c r="JYW17" s="37"/>
      <c r="JYX17" s="37"/>
      <c r="JYY17" s="37"/>
      <c r="JYZ17" s="37"/>
      <c r="JZA17" s="37"/>
      <c r="JZB17" s="37"/>
      <c r="JZC17" s="37"/>
      <c r="JZD17" s="37"/>
      <c r="JZE17" s="37"/>
      <c r="JZF17" s="37"/>
      <c r="JZG17" s="37"/>
      <c r="JZH17" s="37"/>
      <c r="JZI17" s="37"/>
      <c r="JZJ17" s="37"/>
      <c r="JZK17" s="37"/>
      <c r="JZL17" s="37"/>
      <c r="JZM17" s="37"/>
      <c r="JZN17" s="37"/>
      <c r="JZO17" s="37"/>
      <c r="JZP17" s="37"/>
      <c r="JZQ17" s="37"/>
      <c r="JZR17" s="37"/>
      <c r="JZS17" s="37"/>
      <c r="JZT17" s="37"/>
      <c r="JZU17" s="37"/>
      <c r="JZV17" s="37"/>
      <c r="JZW17" s="37"/>
      <c r="JZX17" s="37"/>
      <c r="JZY17" s="37"/>
      <c r="JZZ17" s="37"/>
      <c r="KAA17" s="37"/>
      <c r="KAB17" s="37"/>
      <c r="KAC17" s="37"/>
      <c r="KAD17" s="37"/>
      <c r="KAE17" s="37"/>
      <c r="KAF17" s="37"/>
      <c r="KAG17" s="37"/>
      <c r="KAH17" s="37"/>
      <c r="KAI17" s="37"/>
      <c r="KAJ17" s="37"/>
      <c r="KAK17" s="37"/>
      <c r="KAL17" s="37"/>
      <c r="KAM17" s="37"/>
      <c r="KAN17" s="37"/>
      <c r="KAO17" s="37"/>
      <c r="KAP17" s="37"/>
      <c r="KAQ17" s="37"/>
      <c r="KAR17" s="37"/>
      <c r="KAS17" s="37"/>
      <c r="KAT17" s="37"/>
      <c r="KAU17" s="37"/>
      <c r="KAV17" s="37"/>
      <c r="KAW17" s="37"/>
      <c r="KAX17" s="37"/>
      <c r="KAY17" s="37"/>
      <c r="KAZ17" s="37"/>
      <c r="KBA17" s="37"/>
      <c r="KBB17" s="37"/>
      <c r="KBC17" s="37"/>
      <c r="KBD17" s="37"/>
      <c r="KBE17" s="37"/>
      <c r="KBF17" s="37"/>
      <c r="KBG17" s="37"/>
      <c r="KBH17" s="37"/>
      <c r="KBI17" s="37"/>
      <c r="KBJ17" s="37"/>
      <c r="KBK17" s="37"/>
      <c r="KBL17" s="37"/>
      <c r="KBM17" s="37"/>
      <c r="KBN17" s="37"/>
      <c r="KBO17" s="37"/>
      <c r="KBP17" s="37"/>
      <c r="KBQ17" s="37"/>
      <c r="KBR17" s="37"/>
      <c r="KBS17" s="37"/>
      <c r="KBT17" s="37"/>
      <c r="KBU17" s="37"/>
      <c r="KBV17" s="37"/>
      <c r="KBW17" s="37"/>
      <c r="KBX17" s="37"/>
      <c r="KBY17" s="37"/>
      <c r="KBZ17" s="37"/>
      <c r="KCA17" s="37"/>
      <c r="KCB17" s="37"/>
      <c r="KCC17" s="37"/>
      <c r="KCD17" s="37"/>
      <c r="KCE17" s="37"/>
      <c r="KCF17" s="37"/>
      <c r="KCG17" s="37"/>
      <c r="KCH17" s="37"/>
      <c r="KCI17" s="37"/>
      <c r="KCJ17" s="37"/>
      <c r="KCK17" s="37"/>
      <c r="KCL17" s="37"/>
      <c r="KCM17" s="37"/>
      <c r="KCN17" s="37"/>
      <c r="KCO17" s="37"/>
      <c r="KCP17" s="37"/>
      <c r="KCQ17" s="37"/>
      <c r="KCR17" s="37"/>
      <c r="KCS17" s="37"/>
      <c r="KCT17" s="37"/>
      <c r="KCU17" s="37"/>
      <c r="KCV17" s="37"/>
      <c r="KCW17" s="37"/>
      <c r="KCX17" s="37"/>
      <c r="KCY17" s="37"/>
      <c r="KCZ17" s="37"/>
      <c r="KDA17" s="37"/>
      <c r="KDB17" s="37"/>
      <c r="KDC17" s="37"/>
      <c r="KDD17" s="37"/>
      <c r="KDE17" s="37"/>
      <c r="KDF17" s="37"/>
      <c r="KDG17" s="37"/>
      <c r="KDH17" s="37"/>
      <c r="KDI17" s="37"/>
      <c r="KDJ17" s="37"/>
      <c r="KDK17" s="37"/>
      <c r="KDL17" s="37"/>
      <c r="KDM17" s="37"/>
      <c r="KDN17" s="37"/>
      <c r="KDO17" s="37"/>
      <c r="KDP17" s="37"/>
      <c r="KDQ17" s="37"/>
      <c r="KDR17" s="37"/>
      <c r="KDS17" s="37"/>
      <c r="KDT17" s="37"/>
      <c r="KDU17" s="37"/>
      <c r="KDV17" s="37"/>
      <c r="KDW17" s="37"/>
      <c r="KDX17" s="37"/>
      <c r="KDY17" s="37"/>
      <c r="KDZ17" s="37"/>
      <c r="KEA17" s="37"/>
      <c r="KEB17" s="37"/>
      <c r="KEC17" s="37"/>
      <c r="KED17" s="37"/>
      <c r="KEE17" s="37"/>
      <c r="KEF17" s="37"/>
      <c r="KEG17" s="37"/>
      <c r="KEH17" s="37"/>
      <c r="KEI17" s="37"/>
      <c r="KEJ17" s="37"/>
      <c r="KEK17" s="37"/>
      <c r="KEL17" s="37"/>
      <c r="KEM17" s="37"/>
      <c r="KEN17" s="37"/>
      <c r="KEO17" s="37"/>
      <c r="KEP17" s="37"/>
      <c r="KEQ17" s="37"/>
      <c r="KER17" s="37"/>
      <c r="KES17" s="37"/>
      <c r="KET17" s="37"/>
      <c r="KEU17" s="37"/>
      <c r="KEV17" s="37"/>
      <c r="KEW17" s="37"/>
      <c r="KEX17" s="37"/>
      <c r="KEY17" s="37"/>
      <c r="KEZ17" s="37"/>
      <c r="KFA17" s="37"/>
      <c r="KFB17" s="37"/>
      <c r="KFC17" s="37"/>
      <c r="KFD17" s="37"/>
      <c r="KFE17" s="37"/>
      <c r="KFF17" s="37"/>
      <c r="KFG17" s="37"/>
      <c r="KFH17" s="37"/>
      <c r="KFI17" s="37"/>
      <c r="KFJ17" s="37"/>
      <c r="KFK17" s="37"/>
      <c r="KFL17" s="37"/>
      <c r="KFM17" s="37"/>
      <c r="KFN17" s="37"/>
      <c r="KFO17" s="37"/>
      <c r="KFP17" s="37"/>
      <c r="KFQ17" s="37"/>
      <c r="KFR17" s="37"/>
      <c r="KFS17" s="37"/>
      <c r="KFT17" s="37"/>
      <c r="KFU17" s="37"/>
      <c r="KFV17" s="37"/>
      <c r="KFW17" s="37"/>
      <c r="KFX17" s="37"/>
      <c r="KFY17" s="37"/>
      <c r="KFZ17" s="37"/>
      <c r="KGA17" s="37"/>
      <c r="KGB17" s="37"/>
      <c r="KGC17" s="37"/>
      <c r="KGD17" s="37"/>
      <c r="KGE17" s="37"/>
      <c r="KGF17" s="37"/>
      <c r="KGG17" s="37"/>
      <c r="KGH17" s="37"/>
      <c r="KGI17" s="37"/>
      <c r="KGJ17" s="37"/>
      <c r="KGK17" s="37"/>
      <c r="KGL17" s="37"/>
      <c r="KGM17" s="37"/>
      <c r="KGN17" s="37"/>
      <c r="KGO17" s="37"/>
      <c r="KGP17" s="37"/>
      <c r="KGQ17" s="37"/>
      <c r="KGR17" s="37"/>
      <c r="KGS17" s="37"/>
      <c r="KGT17" s="37"/>
      <c r="KGU17" s="37"/>
      <c r="KGV17" s="37"/>
      <c r="KGW17" s="37"/>
      <c r="KGX17" s="37"/>
      <c r="KGY17" s="37"/>
      <c r="KGZ17" s="37"/>
      <c r="KHA17" s="37"/>
      <c r="KHB17" s="37"/>
      <c r="KHC17" s="37"/>
      <c r="KHD17" s="37"/>
      <c r="KHE17" s="37"/>
      <c r="KHF17" s="37"/>
      <c r="KHG17" s="37"/>
      <c r="KHH17" s="37"/>
      <c r="KHI17" s="37"/>
      <c r="KHJ17" s="37"/>
      <c r="KHK17" s="37"/>
      <c r="KHL17" s="37"/>
      <c r="KHM17" s="37"/>
      <c r="KHN17" s="37"/>
      <c r="KHO17" s="37"/>
      <c r="KHP17" s="37"/>
      <c r="KHQ17" s="37"/>
      <c r="KHR17" s="37"/>
      <c r="KHS17" s="37"/>
      <c r="KHT17" s="37"/>
      <c r="KHU17" s="37"/>
      <c r="KHV17" s="37"/>
      <c r="KHW17" s="37"/>
      <c r="KHX17" s="37"/>
      <c r="KHY17" s="37"/>
      <c r="KHZ17" s="37"/>
      <c r="KIA17" s="37"/>
      <c r="KIB17" s="37"/>
      <c r="KIC17" s="37"/>
      <c r="KID17" s="37"/>
      <c r="KIE17" s="37"/>
      <c r="KIF17" s="37"/>
      <c r="KIG17" s="37"/>
      <c r="KIH17" s="37"/>
      <c r="KII17" s="37"/>
      <c r="KIJ17" s="37"/>
      <c r="KIK17" s="37"/>
      <c r="KIL17" s="37"/>
      <c r="KIM17" s="37"/>
      <c r="KIN17" s="37"/>
      <c r="KIO17" s="37"/>
      <c r="KIP17" s="37"/>
      <c r="KIQ17" s="37"/>
      <c r="KIR17" s="37"/>
      <c r="KIS17" s="37"/>
      <c r="KIT17" s="37"/>
      <c r="KIU17" s="37"/>
      <c r="KIV17" s="37"/>
      <c r="KIW17" s="37"/>
      <c r="KIX17" s="37"/>
      <c r="KIY17" s="37"/>
      <c r="KIZ17" s="37"/>
      <c r="KJA17" s="37"/>
      <c r="KJB17" s="37"/>
      <c r="KJC17" s="37"/>
      <c r="KJD17" s="37"/>
      <c r="KJE17" s="37"/>
      <c r="KJF17" s="37"/>
      <c r="KJG17" s="37"/>
      <c r="KJH17" s="37"/>
      <c r="KJI17" s="37"/>
      <c r="KJJ17" s="37"/>
      <c r="KJK17" s="37"/>
      <c r="KJL17" s="37"/>
      <c r="KJM17" s="37"/>
      <c r="KJN17" s="37"/>
      <c r="KJO17" s="37"/>
      <c r="KJP17" s="37"/>
      <c r="KJQ17" s="37"/>
      <c r="KJR17" s="37"/>
      <c r="KJS17" s="37"/>
      <c r="KJT17" s="37"/>
      <c r="KJU17" s="37"/>
      <c r="KJV17" s="37"/>
      <c r="KJW17" s="37"/>
      <c r="KJX17" s="37"/>
      <c r="KJY17" s="37"/>
      <c r="KJZ17" s="37"/>
      <c r="KKA17" s="37"/>
      <c r="KKB17" s="37"/>
      <c r="KKC17" s="37"/>
      <c r="KKD17" s="37"/>
      <c r="KKE17" s="37"/>
      <c r="KKF17" s="37"/>
      <c r="KKG17" s="37"/>
      <c r="KKH17" s="37"/>
      <c r="KKI17" s="37"/>
      <c r="KKJ17" s="37"/>
      <c r="KKK17" s="37"/>
      <c r="KKL17" s="37"/>
      <c r="KKM17" s="37"/>
      <c r="KKN17" s="37"/>
      <c r="KKO17" s="37"/>
      <c r="KKP17" s="37"/>
      <c r="KKQ17" s="37"/>
      <c r="KKR17" s="37"/>
      <c r="KKS17" s="37"/>
      <c r="KKT17" s="37"/>
      <c r="KKU17" s="37"/>
      <c r="KKV17" s="37"/>
      <c r="KKW17" s="37"/>
      <c r="KKX17" s="37"/>
      <c r="KKY17" s="37"/>
      <c r="KKZ17" s="37"/>
      <c r="KLA17" s="37"/>
      <c r="KLB17" s="37"/>
      <c r="KLC17" s="37"/>
      <c r="KLD17" s="37"/>
      <c r="KLE17" s="37"/>
      <c r="KLF17" s="37"/>
      <c r="KLG17" s="37"/>
      <c r="KLH17" s="37"/>
      <c r="KLI17" s="37"/>
      <c r="KLJ17" s="37"/>
      <c r="KLK17" s="37"/>
      <c r="KLL17" s="37"/>
      <c r="KLM17" s="37"/>
      <c r="KLN17" s="37"/>
      <c r="KLO17" s="37"/>
      <c r="KLP17" s="37"/>
      <c r="KLQ17" s="37"/>
      <c r="KLR17" s="37"/>
      <c r="KLS17" s="37"/>
      <c r="KLT17" s="37"/>
      <c r="KLU17" s="37"/>
      <c r="KLV17" s="37"/>
      <c r="KLW17" s="37"/>
      <c r="KLX17" s="37"/>
      <c r="KLY17" s="37"/>
      <c r="KLZ17" s="37"/>
      <c r="KMA17" s="37"/>
      <c r="KMB17" s="37"/>
      <c r="KMC17" s="37"/>
      <c r="KMD17" s="37"/>
      <c r="KME17" s="37"/>
      <c r="KMF17" s="37"/>
      <c r="KMG17" s="37"/>
      <c r="KMH17" s="37"/>
      <c r="KMI17" s="37"/>
      <c r="KMJ17" s="37"/>
      <c r="KMK17" s="37"/>
      <c r="KML17" s="37"/>
      <c r="KMM17" s="37"/>
      <c r="KMN17" s="37"/>
      <c r="KMO17" s="37"/>
      <c r="KMP17" s="37"/>
      <c r="KMQ17" s="37"/>
      <c r="KMR17" s="37"/>
      <c r="KMS17" s="37"/>
      <c r="KMT17" s="37"/>
      <c r="KMU17" s="37"/>
      <c r="KMV17" s="37"/>
      <c r="KMW17" s="37"/>
      <c r="KMX17" s="37"/>
      <c r="KMY17" s="37"/>
      <c r="KMZ17" s="37"/>
      <c r="KNA17" s="37"/>
      <c r="KNB17" s="37"/>
      <c r="KNC17" s="37"/>
      <c r="KND17" s="37"/>
      <c r="KNE17" s="37"/>
      <c r="KNF17" s="37"/>
      <c r="KNG17" s="37"/>
      <c r="KNH17" s="37"/>
      <c r="KNI17" s="37"/>
      <c r="KNJ17" s="37"/>
      <c r="KNK17" s="37"/>
      <c r="KNL17" s="37"/>
      <c r="KNM17" s="37"/>
      <c r="KNN17" s="37"/>
      <c r="KNO17" s="37"/>
      <c r="KNP17" s="37"/>
      <c r="KNQ17" s="37"/>
      <c r="KNR17" s="37"/>
      <c r="KNS17" s="37"/>
      <c r="KNT17" s="37"/>
      <c r="KNU17" s="37"/>
      <c r="KNV17" s="37"/>
      <c r="KNW17" s="37"/>
      <c r="KNX17" s="37"/>
      <c r="KNY17" s="37"/>
      <c r="KNZ17" s="37"/>
      <c r="KOA17" s="37"/>
      <c r="KOB17" s="37"/>
      <c r="KOC17" s="37"/>
      <c r="KOD17" s="37"/>
      <c r="KOE17" s="37"/>
      <c r="KOF17" s="37"/>
      <c r="KOG17" s="37"/>
      <c r="KOH17" s="37"/>
      <c r="KOI17" s="37"/>
      <c r="KOJ17" s="37"/>
      <c r="KOK17" s="37"/>
      <c r="KOL17" s="37"/>
      <c r="KOM17" s="37"/>
      <c r="KON17" s="37"/>
      <c r="KOO17" s="37"/>
      <c r="KOP17" s="37"/>
      <c r="KOQ17" s="37"/>
      <c r="KOR17" s="37"/>
      <c r="KOS17" s="37"/>
      <c r="KOT17" s="37"/>
      <c r="KOU17" s="37"/>
      <c r="KOV17" s="37"/>
      <c r="KOW17" s="37"/>
      <c r="KOX17" s="37"/>
      <c r="KOY17" s="37"/>
      <c r="KOZ17" s="37"/>
      <c r="KPA17" s="37"/>
      <c r="KPB17" s="37"/>
      <c r="KPC17" s="37"/>
      <c r="KPD17" s="37"/>
      <c r="KPE17" s="37"/>
      <c r="KPF17" s="37"/>
      <c r="KPG17" s="37"/>
      <c r="KPH17" s="37"/>
      <c r="KPI17" s="37"/>
      <c r="KPJ17" s="37"/>
      <c r="KPK17" s="37"/>
      <c r="KPL17" s="37"/>
      <c r="KPM17" s="37"/>
      <c r="KPN17" s="37"/>
      <c r="KPO17" s="37"/>
      <c r="KPP17" s="37"/>
      <c r="KPQ17" s="37"/>
      <c r="KPR17" s="37"/>
      <c r="KPS17" s="37"/>
      <c r="KPT17" s="37"/>
      <c r="KPU17" s="37"/>
      <c r="KPV17" s="37"/>
      <c r="KPW17" s="37"/>
      <c r="KPX17" s="37"/>
      <c r="KPY17" s="37"/>
      <c r="KPZ17" s="37"/>
      <c r="KQA17" s="37"/>
      <c r="KQB17" s="37"/>
      <c r="KQC17" s="37"/>
      <c r="KQD17" s="37"/>
      <c r="KQE17" s="37"/>
      <c r="KQF17" s="37"/>
      <c r="KQG17" s="37"/>
      <c r="KQH17" s="37"/>
      <c r="KQI17" s="37"/>
      <c r="KQJ17" s="37"/>
      <c r="KQK17" s="37"/>
      <c r="KQL17" s="37"/>
      <c r="KQM17" s="37"/>
      <c r="KQN17" s="37"/>
      <c r="KQO17" s="37"/>
      <c r="KQP17" s="37"/>
      <c r="KQQ17" s="37"/>
      <c r="KQR17" s="37"/>
      <c r="KQS17" s="37"/>
      <c r="KQT17" s="37"/>
      <c r="KQU17" s="37"/>
      <c r="KQV17" s="37"/>
      <c r="KQW17" s="37"/>
      <c r="KQX17" s="37"/>
      <c r="KQY17" s="37"/>
      <c r="KQZ17" s="37"/>
      <c r="KRA17" s="37"/>
      <c r="KRB17" s="37"/>
      <c r="KRC17" s="37"/>
      <c r="KRD17" s="37"/>
      <c r="KRE17" s="37"/>
      <c r="KRF17" s="37"/>
      <c r="KRG17" s="37"/>
      <c r="KRH17" s="37"/>
      <c r="KRI17" s="37"/>
      <c r="KRJ17" s="37"/>
      <c r="KRK17" s="37"/>
      <c r="KRL17" s="37"/>
      <c r="KRM17" s="37"/>
      <c r="KRN17" s="37"/>
      <c r="KRO17" s="37"/>
      <c r="KRP17" s="37"/>
      <c r="KRQ17" s="37"/>
      <c r="KRR17" s="37"/>
      <c r="KRS17" s="37"/>
      <c r="KRT17" s="37"/>
      <c r="KRU17" s="37"/>
      <c r="KRV17" s="37"/>
      <c r="KRW17" s="37"/>
      <c r="KRX17" s="37"/>
      <c r="KRY17" s="37"/>
      <c r="KRZ17" s="37"/>
      <c r="KSA17" s="37"/>
      <c r="KSB17" s="37"/>
      <c r="KSC17" s="37"/>
      <c r="KSD17" s="37"/>
      <c r="KSE17" s="37"/>
      <c r="KSF17" s="37"/>
      <c r="KSG17" s="37"/>
      <c r="KSH17" s="37"/>
      <c r="KSI17" s="37"/>
      <c r="KSJ17" s="37"/>
      <c r="KSK17" s="37"/>
      <c r="KSL17" s="37"/>
      <c r="KSM17" s="37"/>
      <c r="KSN17" s="37"/>
      <c r="KSO17" s="37"/>
      <c r="KSP17" s="37"/>
      <c r="KSQ17" s="37"/>
      <c r="KSR17" s="37"/>
      <c r="KSS17" s="37"/>
      <c r="KST17" s="37"/>
      <c r="KSU17" s="37"/>
      <c r="KSV17" s="37"/>
      <c r="KSW17" s="37"/>
      <c r="KSX17" s="37"/>
      <c r="KSY17" s="37"/>
      <c r="KSZ17" s="37"/>
      <c r="KTA17" s="37"/>
      <c r="KTB17" s="37"/>
      <c r="KTC17" s="37"/>
      <c r="KTD17" s="37"/>
      <c r="KTE17" s="37"/>
      <c r="KTF17" s="37"/>
      <c r="KTG17" s="37"/>
      <c r="KTH17" s="37"/>
      <c r="KTI17" s="37"/>
      <c r="KTJ17" s="37"/>
      <c r="KTK17" s="37"/>
      <c r="KTL17" s="37"/>
      <c r="KTM17" s="37"/>
      <c r="KTN17" s="37"/>
      <c r="KTO17" s="37"/>
      <c r="KTP17" s="37"/>
      <c r="KTQ17" s="37"/>
      <c r="KTR17" s="37"/>
      <c r="KTS17" s="37"/>
      <c r="KTT17" s="37"/>
      <c r="KTU17" s="37"/>
      <c r="KTV17" s="37"/>
      <c r="KTW17" s="37"/>
      <c r="KTX17" s="37"/>
      <c r="KTY17" s="37"/>
      <c r="KTZ17" s="37"/>
      <c r="KUA17" s="37"/>
      <c r="KUB17" s="37"/>
      <c r="KUC17" s="37"/>
      <c r="KUD17" s="37"/>
      <c r="KUE17" s="37"/>
      <c r="KUF17" s="37"/>
      <c r="KUG17" s="37"/>
      <c r="KUH17" s="37"/>
      <c r="KUI17" s="37"/>
      <c r="KUJ17" s="37"/>
      <c r="KUK17" s="37"/>
      <c r="KUL17" s="37"/>
      <c r="KUM17" s="37"/>
      <c r="KUN17" s="37"/>
      <c r="KUO17" s="37"/>
      <c r="KUP17" s="37"/>
      <c r="KUQ17" s="37"/>
      <c r="KUR17" s="37"/>
      <c r="KUS17" s="37"/>
      <c r="KUT17" s="37"/>
      <c r="KUU17" s="37"/>
      <c r="KUV17" s="37"/>
      <c r="KUW17" s="37"/>
      <c r="KUX17" s="37"/>
      <c r="KUY17" s="37"/>
      <c r="KUZ17" s="37"/>
      <c r="KVA17" s="37"/>
      <c r="KVB17" s="37"/>
      <c r="KVC17" s="37"/>
      <c r="KVD17" s="37"/>
      <c r="KVE17" s="37"/>
      <c r="KVF17" s="37"/>
      <c r="KVG17" s="37"/>
      <c r="KVH17" s="37"/>
      <c r="KVI17" s="37"/>
      <c r="KVJ17" s="37"/>
      <c r="KVK17" s="37"/>
      <c r="KVL17" s="37"/>
      <c r="KVM17" s="37"/>
      <c r="KVN17" s="37"/>
      <c r="KVO17" s="37"/>
      <c r="KVP17" s="37"/>
      <c r="KVQ17" s="37"/>
      <c r="KVR17" s="37"/>
      <c r="KVS17" s="37"/>
      <c r="KVT17" s="37"/>
      <c r="KVU17" s="37"/>
      <c r="KVV17" s="37"/>
      <c r="KVW17" s="37"/>
      <c r="KVX17" s="37"/>
      <c r="KVY17" s="37"/>
      <c r="KVZ17" s="37"/>
      <c r="KWA17" s="37"/>
      <c r="KWB17" s="37"/>
      <c r="KWC17" s="37"/>
      <c r="KWD17" s="37"/>
      <c r="KWE17" s="37"/>
      <c r="KWF17" s="37"/>
      <c r="KWG17" s="37"/>
      <c r="KWH17" s="37"/>
      <c r="KWI17" s="37"/>
      <c r="KWJ17" s="37"/>
      <c r="KWK17" s="37"/>
      <c r="KWL17" s="37"/>
      <c r="KWM17" s="37"/>
      <c r="KWN17" s="37"/>
      <c r="KWO17" s="37"/>
      <c r="KWP17" s="37"/>
      <c r="KWQ17" s="37"/>
      <c r="KWR17" s="37"/>
      <c r="KWS17" s="37"/>
      <c r="KWT17" s="37"/>
      <c r="KWU17" s="37"/>
      <c r="KWV17" s="37"/>
      <c r="KWW17" s="37"/>
      <c r="KWX17" s="37"/>
      <c r="KWY17" s="37"/>
      <c r="KWZ17" s="37"/>
      <c r="KXA17" s="37"/>
      <c r="KXB17" s="37"/>
      <c r="KXC17" s="37"/>
      <c r="KXD17" s="37"/>
      <c r="KXE17" s="37"/>
      <c r="KXF17" s="37"/>
      <c r="KXG17" s="37"/>
      <c r="KXH17" s="37"/>
      <c r="KXI17" s="37"/>
      <c r="KXJ17" s="37"/>
      <c r="KXK17" s="37"/>
      <c r="KXL17" s="37"/>
      <c r="KXM17" s="37"/>
      <c r="KXN17" s="37"/>
      <c r="KXO17" s="37"/>
      <c r="KXP17" s="37"/>
      <c r="KXQ17" s="37"/>
      <c r="KXR17" s="37"/>
      <c r="KXS17" s="37"/>
      <c r="KXT17" s="37"/>
      <c r="KXU17" s="37"/>
      <c r="KXV17" s="37"/>
      <c r="KXW17" s="37"/>
      <c r="KXX17" s="37"/>
      <c r="KXY17" s="37"/>
      <c r="KXZ17" s="37"/>
      <c r="KYA17" s="37"/>
      <c r="KYB17" s="37"/>
      <c r="KYC17" s="37"/>
      <c r="KYD17" s="37"/>
      <c r="KYE17" s="37"/>
      <c r="KYF17" s="37"/>
      <c r="KYG17" s="37"/>
      <c r="KYH17" s="37"/>
      <c r="KYI17" s="37"/>
      <c r="KYJ17" s="37"/>
      <c r="KYK17" s="37"/>
      <c r="KYL17" s="37"/>
      <c r="KYM17" s="37"/>
      <c r="KYN17" s="37"/>
      <c r="KYO17" s="37"/>
      <c r="KYP17" s="37"/>
      <c r="KYQ17" s="37"/>
      <c r="KYR17" s="37"/>
      <c r="KYS17" s="37"/>
      <c r="KYT17" s="37"/>
      <c r="KYU17" s="37"/>
      <c r="KYV17" s="37"/>
      <c r="KYW17" s="37"/>
      <c r="KYX17" s="37"/>
      <c r="KYY17" s="37"/>
      <c r="KYZ17" s="37"/>
      <c r="KZA17" s="37"/>
      <c r="KZB17" s="37"/>
      <c r="KZC17" s="37"/>
      <c r="KZD17" s="37"/>
      <c r="KZE17" s="37"/>
      <c r="KZF17" s="37"/>
      <c r="KZG17" s="37"/>
      <c r="KZH17" s="37"/>
      <c r="KZI17" s="37"/>
      <c r="KZJ17" s="37"/>
      <c r="KZK17" s="37"/>
      <c r="KZL17" s="37"/>
      <c r="KZM17" s="37"/>
      <c r="KZN17" s="37"/>
      <c r="KZO17" s="37"/>
      <c r="KZP17" s="37"/>
      <c r="KZQ17" s="37"/>
      <c r="KZR17" s="37"/>
      <c r="KZS17" s="37"/>
      <c r="KZT17" s="37"/>
      <c r="KZU17" s="37"/>
      <c r="KZV17" s="37"/>
      <c r="KZW17" s="37"/>
      <c r="KZX17" s="37"/>
      <c r="KZY17" s="37"/>
      <c r="KZZ17" s="37"/>
      <c r="LAA17" s="37"/>
      <c r="LAB17" s="37"/>
      <c r="LAC17" s="37"/>
      <c r="LAD17" s="37"/>
      <c r="LAE17" s="37"/>
      <c r="LAF17" s="37"/>
      <c r="LAG17" s="37"/>
      <c r="LAH17" s="37"/>
      <c r="LAI17" s="37"/>
      <c r="LAJ17" s="37"/>
      <c r="LAK17" s="37"/>
      <c r="LAL17" s="37"/>
      <c r="LAM17" s="37"/>
      <c r="LAN17" s="37"/>
      <c r="LAO17" s="37"/>
      <c r="LAP17" s="37"/>
      <c r="LAQ17" s="37"/>
      <c r="LAR17" s="37"/>
      <c r="LAS17" s="37"/>
      <c r="LAT17" s="37"/>
      <c r="LAU17" s="37"/>
      <c r="LAV17" s="37"/>
      <c r="LAW17" s="37"/>
      <c r="LAX17" s="37"/>
      <c r="LAY17" s="37"/>
      <c r="LAZ17" s="37"/>
      <c r="LBA17" s="37"/>
      <c r="LBB17" s="37"/>
      <c r="LBC17" s="37"/>
      <c r="LBD17" s="37"/>
      <c r="LBE17" s="37"/>
      <c r="LBF17" s="37"/>
      <c r="LBG17" s="37"/>
      <c r="LBH17" s="37"/>
      <c r="LBI17" s="37"/>
      <c r="LBJ17" s="37"/>
      <c r="LBK17" s="37"/>
      <c r="LBL17" s="37"/>
      <c r="LBM17" s="37"/>
      <c r="LBN17" s="37"/>
      <c r="LBO17" s="37"/>
      <c r="LBP17" s="37"/>
      <c r="LBQ17" s="37"/>
      <c r="LBR17" s="37"/>
      <c r="LBS17" s="37"/>
      <c r="LBT17" s="37"/>
      <c r="LBU17" s="37"/>
      <c r="LBV17" s="37"/>
      <c r="LBW17" s="37"/>
      <c r="LBX17" s="37"/>
      <c r="LBY17" s="37"/>
      <c r="LBZ17" s="37"/>
      <c r="LCA17" s="37"/>
      <c r="LCB17" s="37"/>
      <c r="LCC17" s="37"/>
      <c r="LCD17" s="37"/>
      <c r="LCE17" s="37"/>
      <c r="LCF17" s="37"/>
      <c r="LCG17" s="37"/>
      <c r="LCH17" s="37"/>
      <c r="LCI17" s="37"/>
      <c r="LCJ17" s="37"/>
      <c r="LCK17" s="37"/>
      <c r="LCL17" s="37"/>
      <c r="LCM17" s="37"/>
      <c r="LCN17" s="37"/>
      <c r="LCO17" s="37"/>
      <c r="LCP17" s="37"/>
      <c r="LCQ17" s="37"/>
      <c r="LCR17" s="37"/>
      <c r="LCS17" s="37"/>
      <c r="LCT17" s="37"/>
      <c r="LCU17" s="37"/>
      <c r="LCV17" s="37"/>
      <c r="LCW17" s="37"/>
      <c r="LCX17" s="37"/>
      <c r="LCY17" s="37"/>
      <c r="LCZ17" s="37"/>
      <c r="LDA17" s="37"/>
      <c r="LDB17" s="37"/>
      <c r="LDC17" s="37"/>
      <c r="LDD17" s="37"/>
      <c r="LDE17" s="37"/>
      <c r="LDF17" s="37"/>
      <c r="LDG17" s="37"/>
      <c r="LDH17" s="37"/>
      <c r="LDI17" s="37"/>
      <c r="LDJ17" s="37"/>
      <c r="LDK17" s="37"/>
      <c r="LDL17" s="37"/>
      <c r="LDM17" s="37"/>
      <c r="LDN17" s="37"/>
      <c r="LDO17" s="37"/>
      <c r="LDP17" s="37"/>
      <c r="LDQ17" s="37"/>
      <c r="LDR17" s="37"/>
      <c r="LDS17" s="37"/>
      <c r="LDT17" s="37"/>
      <c r="LDU17" s="37"/>
      <c r="LDV17" s="37"/>
      <c r="LDW17" s="37"/>
      <c r="LDX17" s="37"/>
      <c r="LDY17" s="37"/>
      <c r="LDZ17" s="37"/>
      <c r="LEA17" s="37"/>
      <c r="LEB17" s="37"/>
      <c r="LEC17" s="37"/>
      <c r="LED17" s="37"/>
      <c r="LEE17" s="37"/>
      <c r="LEF17" s="37"/>
      <c r="LEG17" s="37"/>
      <c r="LEH17" s="37"/>
      <c r="LEI17" s="37"/>
      <c r="LEJ17" s="37"/>
      <c r="LEK17" s="37"/>
      <c r="LEL17" s="37"/>
      <c r="LEM17" s="37"/>
      <c r="LEN17" s="37"/>
      <c r="LEO17" s="37"/>
      <c r="LEP17" s="37"/>
      <c r="LEQ17" s="37"/>
      <c r="LER17" s="37"/>
      <c r="LES17" s="37"/>
      <c r="LET17" s="37"/>
      <c r="LEU17" s="37"/>
      <c r="LEV17" s="37"/>
      <c r="LEW17" s="37"/>
      <c r="LEX17" s="37"/>
      <c r="LEY17" s="37"/>
      <c r="LEZ17" s="37"/>
      <c r="LFA17" s="37"/>
      <c r="LFB17" s="37"/>
      <c r="LFC17" s="37"/>
      <c r="LFD17" s="37"/>
      <c r="LFE17" s="37"/>
      <c r="LFF17" s="37"/>
      <c r="LFG17" s="37"/>
      <c r="LFH17" s="37"/>
      <c r="LFI17" s="37"/>
      <c r="LFJ17" s="37"/>
      <c r="LFK17" s="37"/>
      <c r="LFL17" s="37"/>
      <c r="LFM17" s="37"/>
      <c r="LFN17" s="37"/>
      <c r="LFO17" s="37"/>
      <c r="LFP17" s="37"/>
      <c r="LFQ17" s="37"/>
      <c r="LFR17" s="37"/>
      <c r="LFS17" s="37"/>
      <c r="LFT17" s="37"/>
      <c r="LFU17" s="37"/>
      <c r="LFV17" s="37"/>
      <c r="LFW17" s="37"/>
      <c r="LFX17" s="37"/>
      <c r="LFY17" s="37"/>
      <c r="LFZ17" s="37"/>
      <c r="LGA17" s="37"/>
      <c r="LGB17" s="37"/>
      <c r="LGC17" s="37"/>
      <c r="LGD17" s="37"/>
      <c r="LGE17" s="37"/>
      <c r="LGF17" s="37"/>
      <c r="LGG17" s="37"/>
      <c r="LGH17" s="37"/>
      <c r="LGI17" s="37"/>
      <c r="LGJ17" s="37"/>
      <c r="LGK17" s="37"/>
      <c r="LGL17" s="37"/>
      <c r="LGM17" s="37"/>
      <c r="LGN17" s="37"/>
      <c r="LGO17" s="37"/>
      <c r="LGP17" s="37"/>
      <c r="LGQ17" s="37"/>
      <c r="LGR17" s="37"/>
      <c r="LGS17" s="37"/>
      <c r="LGT17" s="37"/>
      <c r="LGU17" s="37"/>
      <c r="LGV17" s="37"/>
      <c r="LGW17" s="37"/>
      <c r="LGX17" s="37"/>
      <c r="LGY17" s="37"/>
      <c r="LGZ17" s="37"/>
      <c r="LHA17" s="37"/>
      <c r="LHB17" s="37"/>
      <c r="LHC17" s="37"/>
      <c r="LHD17" s="37"/>
      <c r="LHE17" s="37"/>
      <c r="LHF17" s="37"/>
      <c r="LHG17" s="37"/>
      <c r="LHH17" s="37"/>
      <c r="LHI17" s="37"/>
      <c r="LHJ17" s="37"/>
      <c r="LHK17" s="37"/>
      <c r="LHL17" s="37"/>
      <c r="LHM17" s="37"/>
      <c r="LHN17" s="37"/>
      <c r="LHO17" s="37"/>
      <c r="LHP17" s="37"/>
      <c r="LHQ17" s="37"/>
      <c r="LHR17" s="37"/>
      <c r="LHS17" s="37"/>
      <c r="LHT17" s="37"/>
      <c r="LHU17" s="37"/>
      <c r="LHV17" s="37"/>
      <c r="LHW17" s="37"/>
      <c r="LHX17" s="37"/>
      <c r="LHY17" s="37"/>
      <c r="LHZ17" s="37"/>
      <c r="LIA17" s="37"/>
      <c r="LIB17" s="37"/>
      <c r="LIC17" s="37"/>
      <c r="LID17" s="37"/>
      <c r="LIE17" s="37"/>
      <c r="LIF17" s="37"/>
      <c r="LIG17" s="37"/>
      <c r="LIH17" s="37"/>
      <c r="LII17" s="37"/>
      <c r="LIJ17" s="37"/>
      <c r="LIK17" s="37"/>
      <c r="LIL17" s="37"/>
      <c r="LIM17" s="37"/>
      <c r="LIN17" s="37"/>
      <c r="LIO17" s="37"/>
      <c r="LIP17" s="37"/>
      <c r="LIQ17" s="37"/>
      <c r="LIR17" s="37"/>
      <c r="LIS17" s="37"/>
      <c r="LIT17" s="37"/>
      <c r="LIU17" s="37"/>
      <c r="LIV17" s="37"/>
      <c r="LIW17" s="37"/>
      <c r="LIX17" s="37"/>
      <c r="LIY17" s="37"/>
      <c r="LIZ17" s="37"/>
      <c r="LJA17" s="37"/>
      <c r="LJB17" s="37"/>
      <c r="LJC17" s="37"/>
      <c r="LJD17" s="37"/>
      <c r="LJE17" s="37"/>
      <c r="LJF17" s="37"/>
      <c r="LJG17" s="37"/>
      <c r="LJH17" s="37"/>
      <c r="LJI17" s="37"/>
      <c r="LJJ17" s="37"/>
      <c r="LJK17" s="37"/>
      <c r="LJL17" s="37"/>
      <c r="LJM17" s="37"/>
      <c r="LJN17" s="37"/>
      <c r="LJO17" s="37"/>
      <c r="LJP17" s="37"/>
      <c r="LJQ17" s="37"/>
      <c r="LJR17" s="37"/>
      <c r="LJS17" s="37"/>
      <c r="LJT17" s="37"/>
      <c r="LJU17" s="37"/>
      <c r="LJV17" s="37"/>
      <c r="LJW17" s="37"/>
      <c r="LJX17" s="37"/>
      <c r="LJY17" s="37"/>
      <c r="LJZ17" s="37"/>
      <c r="LKA17" s="37"/>
      <c r="LKB17" s="37"/>
      <c r="LKC17" s="37"/>
      <c r="LKD17" s="37"/>
      <c r="LKE17" s="37"/>
      <c r="LKF17" s="37"/>
      <c r="LKG17" s="37"/>
      <c r="LKH17" s="37"/>
      <c r="LKI17" s="37"/>
      <c r="LKJ17" s="37"/>
      <c r="LKK17" s="37"/>
      <c r="LKL17" s="37"/>
      <c r="LKM17" s="37"/>
      <c r="LKN17" s="37"/>
      <c r="LKO17" s="37"/>
      <c r="LKP17" s="37"/>
      <c r="LKQ17" s="37"/>
      <c r="LKR17" s="37"/>
      <c r="LKS17" s="37"/>
      <c r="LKT17" s="37"/>
      <c r="LKU17" s="37"/>
      <c r="LKV17" s="37"/>
      <c r="LKW17" s="37"/>
      <c r="LKX17" s="37"/>
      <c r="LKY17" s="37"/>
      <c r="LKZ17" s="37"/>
      <c r="LLA17" s="37"/>
      <c r="LLB17" s="37"/>
      <c r="LLC17" s="37"/>
      <c r="LLD17" s="37"/>
      <c r="LLE17" s="37"/>
      <c r="LLF17" s="37"/>
      <c r="LLG17" s="37"/>
      <c r="LLH17" s="37"/>
      <c r="LLI17" s="37"/>
      <c r="LLJ17" s="37"/>
      <c r="LLK17" s="37"/>
      <c r="LLL17" s="37"/>
      <c r="LLM17" s="37"/>
      <c r="LLN17" s="37"/>
      <c r="LLO17" s="37"/>
      <c r="LLP17" s="37"/>
      <c r="LLQ17" s="37"/>
      <c r="LLR17" s="37"/>
      <c r="LLS17" s="37"/>
      <c r="LLT17" s="37"/>
      <c r="LLU17" s="37"/>
      <c r="LLV17" s="37"/>
      <c r="LLW17" s="37"/>
      <c r="LLX17" s="37"/>
      <c r="LLY17" s="37"/>
      <c r="LLZ17" s="37"/>
      <c r="LMA17" s="37"/>
      <c r="LMB17" s="37"/>
      <c r="LMC17" s="37"/>
      <c r="LMD17" s="37"/>
      <c r="LME17" s="37"/>
      <c r="LMF17" s="37"/>
      <c r="LMG17" s="37"/>
      <c r="LMH17" s="37"/>
      <c r="LMI17" s="37"/>
      <c r="LMJ17" s="37"/>
      <c r="LMK17" s="37"/>
      <c r="LML17" s="37"/>
      <c r="LMM17" s="37"/>
      <c r="LMN17" s="37"/>
      <c r="LMO17" s="37"/>
      <c r="LMP17" s="37"/>
      <c r="LMQ17" s="37"/>
      <c r="LMR17" s="37"/>
      <c r="LMS17" s="37"/>
      <c r="LMT17" s="37"/>
      <c r="LMU17" s="37"/>
      <c r="LMV17" s="37"/>
      <c r="LMW17" s="37"/>
      <c r="LMX17" s="37"/>
      <c r="LMY17" s="37"/>
      <c r="LMZ17" s="37"/>
      <c r="LNA17" s="37"/>
      <c r="LNB17" s="37"/>
      <c r="LNC17" s="37"/>
      <c r="LND17" s="37"/>
      <c r="LNE17" s="37"/>
      <c r="LNF17" s="37"/>
      <c r="LNG17" s="37"/>
      <c r="LNH17" s="37"/>
      <c r="LNI17" s="37"/>
      <c r="LNJ17" s="37"/>
      <c r="LNK17" s="37"/>
      <c r="LNL17" s="37"/>
      <c r="LNM17" s="37"/>
      <c r="LNN17" s="37"/>
      <c r="LNO17" s="37"/>
      <c r="LNP17" s="37"/>
      <c r="LNQ17" s="37"/>
      <c r="LNR17" s="37"/>
      <c r="LNS17" s="37"/>
      <c r="LNT17" s="37"/>
      <c r="LNU17" s="37"/>
      <c r="LNV17" s="37"/>
      <c r="LNW17" s="37"/>
      <c r="LNX17" s="37"/>
      <c r="LNY17" s="37"/>
      <c r="LNZ17" s="37"/>
      <c r="LOA17" s="37"/>
      <c r="LOB17" s="37"/>
      <c r="LOC17" s="37"/>
      <c r="LOD17" s="37"/>
      <c r="LOE17" s="37"/>
      <c r="LOF17" s="37"/>
      <c r="LOG17" s="37"/>
      <c r="LOH17" s="37"/>
      <c r="LOI17" s="37"/>
      <c r="LOJ17" s="37"/>
      <c r="LOK17" s="37"/>
      <c r="LOL17" s="37"/>
      <c r="LOM17" s="37"/>
      <c r="LON17" s="37"/>
      <c r="LOO17" s="37"/>
      <c r="LOP17" s="37"/>
      <c r="LOQ17" s="37"/>
      <c r="LOR17" s="37"/>
      <c r="LOS17" s="37"/>
      <c r="LOT17" s="37"/>
      <c r="LOU17" s="37"/>
      <c r="LOV17" s="37"/>
      <c r="LOW17" s="37"/>
      <c r="LOX17" s="37"/>
      <c r="LOY17" s="37"/>
      <c r="LOZ17" s="37"/>
      <c r="LPA17" s="37"/>
      <c r="LPB17" s="37"/>
      <c r="LPC17" s="37"/>
      <c r="LPD17" s="37"/>
      <c r="LPE17" s="37"/>
      <c r="LPF17" s="37"/>
      <c r="LPG17" s="37"/>
      <c r="LPH17" s="37"/>
      <c r="LPI17" s="37"/>
      <c r="LPJ17" s="37"/>
      <c r="LPK17" s="37"/>
      <c r="LPL17" s="37"/>
      <c r="LPM17" s="37"/>
      <c r="LPN17" s="37"/>
      <c r="LPO17" s="37"/>
      <c r="LPP17" s="37"/>
      <c r="LPQ17" s="37"/>
      <c r="LPR17" s="37"/>
      <c r="LPS17" s="37"/>
      <c r="LPT17" s="37"/>
      <c r="LPU17" s="37"/>
      <c r="LPV17" s="37"/>
      <c r="LPW17" s="37"/>
      <c r="LPX17" s="37"/>
      <c r="LPY17" s="37"/>
      <c r="LPZ17" s="37"/>
      <c r="LQA17" s="37"/>
      <c r="LQB17" s="37"/>
      <c r="LQC17" s="37"/>
      <c r="LQD17" s="37"/>
      <c r="LQE17" s="37"/>
      <c r="LQF17" s="37"/>
      <c r="LQG17" s="37"/>
      <c r="LQH17" s="37"/>
      <c r="LQI17" s="37"/>
      <c r="LQJ17" s="37"/>
      <c r="LQK17" s="37"/>
      <c r="LQL17" s="37"/>
      <c r="LQM17" s="37"/>
      <c r="LQN17" s="37"/>
      <c r="LQO17" s="37"/>
      <c r="LQP17" s="37"/>
      <c r="LQQ17" s="37"/>
      <c r="LQR17" s="37"/>
      <c r="LQS17" s="37"/>
      <c r="LQT17" s="37"/>
      <c r="LQU17" s="37"/>
      <c r="LQV17" s="37"/>
      <c r="LQW17" s="37"/>
      <c r="LQX17" s="37"/>
      <c r="LQY17" s="37"/>
      <c r="LQZ17" s="37"/>
      <c r="LRA17" s="37"/>
      <c r="LRB17" s="37"/>
      <c r="LRC17" s="37"/>
      <c r="LRD17" s="37"/>
      <c r="LRE17" s="37"/>
      <c r="LRF17" s="37"/>
      <c r="LRG17" s="37"/>
      <c r="LRH17" s="37"/>
      <c r="LRI17" s="37"/>
      <c r="LRJ17" s="37"/>
      <c r="LRK17" s="37"/>
      <c r="LRL17" s="37"/>
      <c r="LRM17" s="37"/>
      <c r="LRN17" s="37"/>
      <c r="LRO17" s="37"/>
      <c r="LRP17" s="37"/>
      <c r="LRQ17" s="37"/>
      <c r="LRR17" s="37"/>
      <c r="LRS17" s="37"/>
      <c r="LRT17" s="37"/>
      <c r="LRU17" s="37"/>
      <c r="LRV17" s="37"/>
      <c r="LRW17" s="37"/>
      <c r="LRX17" s="37"/>
      <c r="LRY17" s="37"/>
      <c r="LRZ17" s="37"/>
      <c r="LSA17" s="37"/>
      <c r="LSB17" s="37"/>
      <c r="LSC17" s="37"/>
      <c r="LSD17" s="37"/>
      <c r="LSE17" s="37"/>
      <c r="LSF17" s="37"/>
      <c r="LSG17" s="37"/>
      <c r="LSH17" s="37"/>
      <c r="LSI17" s="37"/>
      <c r="LSJ17" s="37"/>
      <c r="LSK17" s="37"/>
      <c r="LSL17" s="37"/>
      <c r="LSM17" s="37"/>
      <c r="LSN17" s="37"/>
      <c r="LSO17" s="37"/>
      <c r="LSP17" s="37"/>
      <c r="LSQ17" s="37"/>
      <c r="LSR17" s="37"/>
      <c r="LSS17" s="37"/>
      <c r="LST17" s="37"/>
      <c r="LSU17" s="37"/>
      <c r="LSV17" s="37"/>
      <c r="LSW17" s="37"/>
      <c r="LSX17" s="37"/>
      <c r="LSY17" s="37"/>
      <c r="LSZ17" s="37"/>
      <c r="LTA17" s="37"/>
      <c r="LTB17" s="37"/>
      <c r="LTC17" s="37"/>
      <c r="LTD17" s="37"/>
      <c r="LTE17" s="37"/>
      <c r="LTF17" s="37"/>
      <c r="LTG17" s="37"/>
      <c r="LTH17" s="37"/>
      <c r="LTI17" s="37"/>
      <c r="LTJ17" s="37"/>
      <c r="LTK17" s="37"/>
      <c r="LTL17" s="37"/>
      <c r="LTM17" s="37"/>
      <c r="LTN17" s="37"/>
      <c r="LTO17" s="37"/>
      <c r="LTP17" s="37"/>
      <c r="LTQ17" s="37"/>
      <c r="LTR17" s="37"/>
      <c r="LTS17" s="37"/>
      <c r="LTT17" s="37"/>
      <c r="LTU17" s="37"/>
      <c r="LTV17" s="37"/>
      <c r="LTW17" s="37"/>
      <c r="LTX17" s="37"/>
      <c r="LTY17" s="37"/>
      <c r="LTZ17" s="37"/>
      <c r="LUA17" s="37"/>
      <c r="LUB17" s="37"/>
      <c r="LUC17" s="37"/>
      <c r="LUD17" s="37"/>
      <c r="LUE17" s="37"/>
      <c r="LUF17" s="37"/>
      <c r="LUG17" s="37"/>
      <c r="LUH17" s="37"/>
      <c r="LUI17" s="37"/>
      <c r="LUJ17" s="37"/>
      <c r="LUK17" s="37"/>
      <c r="LUL17" s="37"/>
      <c r="LUM17" s="37"/>
      <c r="LUN17" s="37"/>
      <c r="LUO17" s="37"/>
      <c r="LUP17" s="37"/>
      <c r="LUQ17" s="37"/>
      <c r="LUR17" s="37"/>
      <c r="LUS17" s="37"/>
      <c r="LUT17" s="37"/>
      <c r="LUU17" s="37"/>
      <c r="LUV17" s="37"/>
      <c r="LUW17" s="37"/>
      <c r="LUX17" s="37"/>
      <c r="LUY17" s="37"/>
      <c r="LUZ17" s="37"/>
      <c r="LVA17" s="37"/>
      <c r="LVB17" s="37"/>
      <c r="LVC17" s="37"/>
      <c r="LVD17" s="37"/>
      <c r="LVE17" s="37"/>
      <c r="LVF17" s="37"/>
      <c r="LVG17" s="37"/>
      <c r="LVH17" s="37"/>
      <c r="LVI17" s="37"/>
      <c r="LVJ17" s="37"/>
      <c r="LVK17" s="37"/>
      <c r="LVL17" s="37"/>
      <c r="LVM17" s="37"/>
      <c r="LVN17" s="37"/>
      <c r="LVO17" s="37"/>
      <c r="LVP17" s="37"/>
      <c r="LVQ17" s="37"/>
      <c r="LVR17" s="37"/>
      <c r="LVS17" s="37"/>
      <c r="LVT17" s="37"/>
      <c r="LVU17" s="37"/>
      <c r="LVV17" s="37"/>
      <c r="LVW17" s="37"/>
      <c r="LVX17" s="37"/>
      <c r="LVY17" s="37"/>
      <c r="LVZ17" s="37"/>
      <c r="LWA17" s="37"/>
      <c r="LWB17" s="37"/>
      <c r="LWC17" s="37"/>
      <c r="LWD17" s="37"/>
      <c r="LWE17" s="37"/>
      <c r="LWF17" s="37"/>
      <c r="LWG17" s="37"/>
      <c r="LWH17" s="37"/>
      <c r="LWI17" s="37"/>
      <c r="LWJ17" s="37"/>
      <c r="LWK17" s="37"/>
      <c r="LWL17" s="37"/>
      <c r="LWM17" s="37"/>
      <c r="LWN17" s="37"/>
      <c r="LWO17" s="37"/>
      <c r="LWP17" s="37"/>
      <c r="LWQ17" s="37"/>
      <c r="LWR17" s="37"/>
      <c r="LWS17" s="37"/>
      <c r="LWT17" s="37"/>
      <c r="LWU17" s="37"/>
      <c r="LWV17" s="37"/>
      <c r="LWW17" s="37"/>
      <c r="LWX17" s="37"/>
      <c r="LWY17" s="37"/>
      <c r="LWZ17" s="37"/>
      <c r="LXA17" s="37"/>
      <c r="LXB17" s="37"/>
      <c r="LXC17" s="37"/>
      <c r="LXD17" s="37"/>
      <c r="LXE17" s="37"/>
      <c r="LXF17" s="37"/>
      <c r="LXG17" s="37"/>
      <c r="LXH17" s="37"/>
      <c r="LXI17" s="37"/>
      <c r="LXJ17" s="37"/>
      <c r="LXK17" s="37"/>
      <c r="LXL17" s="37"/>
      <c r="LXM17" s="37"/>
      <c r="LXN17" s="37"/>
      <c r="LXO17" s="37"/>
      <c r="LXP17" s="37"/>
      <c r="LXQ17" s="37"/>
      <c r="LXR17" s="37"/>
      <c r="LXS17" s="37"/>
      <c r="LXT17" s="37"/>
      <c r="LXU17" s="37"/>
      <c r="LXV17" s="37"/>
      <c r="LXW17" s="37"/>
      <c r="LXX17" s="37"/>
      <c r="LXY17" s="37"/>
      <c r="LXZ17" s="37"/>
      <c r="LYA17" s="37"/>
      <c r="LYB17" s="37"/>
      <c r="LYC17" s="37"/>
      <c r="LYD17" s="37"/>
      <c r="LYE17" s="37"/>
      <c r="LYF17" s="37"/>
      <c r="LYG17" s="37"/>
      <c r="LYH17" s="37"/>
      <c r="LYI17" s="37"/>
      <c r="LYJ17" s="37"/>
      <c r="LYK17" s="37"/>
      <c r="LYL17" s="37"/>
      <c r="LYM17" s="37"/>
      <c r="LYN17" s="37"/>
      <c r="LYO17" s="37"/>
      <c r="LYP17" s="37"/>
      <c r="LYQ17" s="37"/>
      <c r="LYR17" s="37"/>
      <c r="LYS17" s="37"/>
      <c r="LYT17" s="37"/>
      <c r="LYU17" s="37"/>
      <c r="LYV17" s="37"/>
      <c r="LYW17" s="37"/>
      <c r="LYX17" s="37"/>
      <c r="LYY17" s="37"/>
      <c r="LYZ17" s="37"/>
      <c r="LZA17" s="37"/>
      <c r="LZB17" s="37"/>
      <c r="LZC17" s="37"/>
      <c r="LZD17" s="37"/>
      <c r="LZE17" s="37"/>
      <c r="LZF17" s="37"/>
      <c r="LZG17" s="37"/>
      <c r="LZH17" s="37"/>
      <c r="LZI17" s="37"/>
      <c r="LZJ17" s="37"/>
      <c r="LZK17" s="37"/>
      <c r="LZL17" s="37"/>
      <c r="LZM17" s="37"/>
      <c r="LZN17" s="37"/>
      <c r="LZO17" s="37"/>
      <c r="LZP17" s="37"/>
      <c r="LZQ17" s="37"/>
      <c r="LZR17" s="37"/>
      <c r="LZS17" s="37"/>
      <c r="LZT17" s="37"/>
      <c r="LZU17" s="37"/>
      <c r="LZV17" s="37"/>
      <c r="LZW17" s="37"/>
      <c r="LZX17" s="37"/>
      <c r="LZY17" s="37"/>
      <c r="LZZ17" s="37"/>
      <c r="MAA17" s="37"/>
      <c r="MAB17" s="37"/>
      <c r="MAC17" s="37"/>
      <c r="MAD17" s="37"/>
      <c r="MAE17" s="37"/>
      <c r="MAF17" s="37"/>
      <c r="MAG17" s="37"/>
      <c r="MAH17" s="37"/>
      <c r="MAI17" s="37"/>
      <c r="MAJ17" s="37"/>
      <c r="MAK17" s="37"/>
      <c r="MAL17" s="37"/>
      <c r="MAM17" s="37"/>
      <c r="MAN17" s="37"/>
      <c r="MAO17" s="37"/>
      <c r="MAP17" s="37"/>
      <c r="MAQ17" s="37"/>
      <c r="MAR17" s="37"/>
      <c r="MAS17" s="37"/>
      <c r="MAT17" s="37"/>
      <c r="MAU17" s="37"/>
      <c r="MAV17" s="37"/>
      <c r="MAW17" s="37"/>
      <c r="MAX17" s="37"/>
      <c r="MAY17" s="37"/>
      <c r="MAZ17" s="37"/>
      <c r="MBA17" s="37"/>
      <c r="MBB17" s="37"/>
      <c r="MBC17" s="37"/>
      <c r="MBD17" s="37"/>
      <c r="MBE17" s="37"/>
      <c r="MBF17" s="37"/>
      <c r="MBG17" s="37"/>
      <c r="MBH17" s="37"/>
      <c r="MBI17" s="37"/>
      <c r="MBJ17" s="37"/>
      <c r="MBK17" s="37"/>
      <c r="MBL17" s="37"/>
      <c r="MBM17" s="37"/>
      <c r="MBN17" s="37"/>
      <c r="MBO17" s="37"/>
      <c r="MBP17" s="37"/>
      <c r="MBQ17" s="37"/>
      <c r="MBR17" s="37"/>
      <c r="MBS17" s="37"/>
      <c r="MBT17" s="37"/>
      <c r="MBU17" s="37"/>
      <c r="MBV17" s="37"/>
      <c r="MBW17" s="37"/>
      <c r="MBX17" s="37"/>
      <c r="MBY17" s="37"/>
      <c r="MBZ17" s="37"/>
      <c r="MCA17" s="37"/>
      <c r="MCB17" s="37"/>
      <c r="MCC17" s="37"/>
      <c r="MCD17" s="37"/>
      <c r="MCE17" s="37"/>
      <c r="MCF17" s="37"/>
      <c r="MCG17" s="37"/>
      <c r="MCH17" s="37"/>
      <c r="MCI17" s="37"/>
      <c r="MCJ17" s="37"/>
      <c r="MCK17" s="37"/>
      <c r="MCL17" s="37"/>
      <c r="MCM17" s="37"/>
      <c r="MCN17" s="37"/>
      <c r="MCO17" s="37"/>
      <c r="MCP17" s="37"/>
      <c r="MCQ17" s="37"/>
      <c r="MCR17" s="37"/>
      <c r="MCS17" s="37"/>
      <c r="MCT17" s="37"/>
      <c r="MCU17" s="37"/>
      <c r="MCV17" s="37"/>
      <c r="MCW17" s="37"/>
      <c r="MCX17" s="37"/>
      <c r="MCY17" s="37"/>
      <c r="MCZ17" s="37"/>
      <c r="MDA17" s="37"/>
      <c r="MDB17" s="37"/>
      <c r="MDC17" s="37"/>
      <c r="MDD17" s="37"/>
      <c r="MDE17" s="37"/>
      <c r="MDF17" s="37"/>
      <c r="MDG17" s="37"/>
      <c r="MDH17" s="37"/>
      <c r="MDI17" s="37"/>
      <c r="MDJ17" s="37"/>
      <c r="MDK17" s="37"/>
      <c r="MDL17" s="37"/>
      <c r="MDM17" s="37"/>
      <c r="MDN17" s="37"/>
      <c r="MDO17" s="37"/>
      <c r="MDP17" s="37"/>
      <c r="MDQ17" s="37"/>
      <c r="MDR17" s="37"/>
      <c r="MDS17" s="37"/>
      <c r="MDT17" s="37"/>
      <c r="MDU17" s="37"/>
      <c r="MDV17" s="37"/>
      <c r="MDW17" s="37"/>
      <c r="MDX17" s="37"/>
      <c r="MDY17" s="37"/>
      <c r="MDZ17" s="37"/>
      <c r="MEA17" s="37"/>
      <c r="MEB17" s="37"/>
      <c r="MEC17" s="37"/>
      <c r="MED17" s="37"/>
      <c r="MEE17" s="37"/>
      <c r="MEF17" s="37"/>
      <c r="MEG17" s="37"/>
      <c r="MEH17" s="37"/>
      <c r="MEI17" s="37"/>
      <c r="MEJ17" s="37"/>
      <c r="MEK17" s="37"/>
      <c r="MEL17" s="37"/>
      <c r="MEM17" s="37"/>
      <c r="MEN17" s="37"/>
      <c r="MEO17" s="37"/>
      <c r="MEP17" s="37"/>
      <c r="MEQ17" s="37"/>
      <c r="MER17" s="37"/>
      <c r="MES17" s="37"/>
      <c r="MET17" s="37"/>
      <c r="MEU17" s="37"/>
      <c r="MEV17" s="37"/>
      <c r="MEW17" s="37"/>
      <c r="MEX17" s="37"/>
      <c r="MEY17" s="37"/>
      <c r="MEZ17" s="37"/>
      <c r="MFA17" s="37"/>
      <c r="MFB17" s="37"/>
      <c r="MFC17" s="37"/>
      <c r="MFD17" s="37"/>
      <c r="MFE17" s="37"/>
      <c r="MFF17" s="37"/>
      <c r="MFG17" s="37"/>
      <c r="MFH17" s="37"/>
      <c r="MFI17" s="37"/>
      <c r="MFJ17" s="37"/>
      <c r="MFK17" s="37"/>
      <c r="MFL17" s="37"/>
      <c r="MFM17" s="37"/>
      <c r="MFN17" s="37"/>
      <c r="MFO17" s="37"/>
      <c r="MFP17" s="37"/>
      <c r="MFQ17" s="37"/>
      <c r="MFR17" s="37"/>
      <c r="MFS17" s="37"/>
      <c r="MFT17" s="37"/>
      <c r="MFU17" s="37"/>
      <c r="MFV17" s="37"/>
      <c r="MFW17" s="37"/>
      <c r="MFX17" s="37"/>
      <c r="MFY17" s="37"/>
      <c r="MFZ17" s="37"/>
      <c r="MGA17" s="37"/>
      <c r="MGB17" s="37"/>
      <c r="MGC17" s="37"/>
      <c r="MGD17" s="37"/>
      <c r="MGE17" s="37"/>
      <c r="MGF17" s="37"/>
      <c r="MGG17" s="37"/>
      <c r="MGH17" s="37"/>
      <c r="MGI17" s="37"/>
      <c r="MGJ17" s="37"/>
      <c r="MGK17" s="37"/>
      <c r="MGL17" s="37"/>
      <c r="MGM17" s="37"/>
      <c r="MGN17" s="37"/>
      <c r="MGO17" s="37"/>
      <c r="MGP17" s="37"/>
      <c r="MGQ17" s="37"/>
      <c r="MGR17" s="37"/>
      <c r="MGS17" s="37"/>
      <c r="MGT17" s="37"/>
      <c r="MGU17" s="37"/>
      <c r="MGV17" s="37"/>
      <c r="MGW17" s="37"/>
      <c r="MGX17" s="37"/>
      <c r="MGY17" s="37"/>
      <c r="MGZ17" s="37"/>
      <c r="MHA17" s="37"/>
      <c r="MHB17" s="37"/>
      <c r="MHC17" s="37"/>
      <c r="MHD17" s="37"/>
      <c r="MHE17" s="37"/>
      <c r="MHF17" s="37"/>
      <c r="MHG17" s="37"/>
      <c r="MHH17" s="37"/>
      <c r="MHI17" s="37"/>
      <c r="MHJ17" s="37"/>
      <c r="MHK17" s="37"/>
      <c r="MHL17" s="37"/>
      <c r="MHM17" s="37"/>
      <c r="MHN17" s="37"/>
      <c r="MHO17" s="37"/>
      <c r="MHP17" s="37"/>
      <c r="MHQ17" s="37"/>
      <c r="MHR17" s="37"/>
      <c r="MHS17" s="37"/>
      <c r="MHT17" s="37"/>
      <c r="MHU17" s="37"/>
      <c r="MHV17" s="37"/>
      <c r="MHW17" s="37"/>
      <c r="MHX17" s="37"/>
      <c r="MHY17" s="37"/>
      <c r="MHZ17" s="37"/>
      <c r="MIA17" s="37"/>
      <c r="MIB17" s="37"/>
      <c r="MIC17" s="37"/>
      <c r="MID17" s="37"/>
      <c r="MIE17" s="37"/>
      <c r="MIF17" s="37"/>
      <c r="MIG17" s="37"/>
      <c r="MIH17" s="37"/>
      <c r="MII17" s="37"/>
      <c r="MIJ17" s="37"/>
      <c r="MIK17" s="37"/>
      <c r="MIL17" s="37"/>
      <c r="MIM17" s="37"/>
      <c r="MIN17" s="37"/>
      <c r="MIO17" s="37"/>
      <c r="MIP17" s="37"/>
      <c r="MIQ17" s="37"/>
      <c r="MIR17" s="37"/>
      <c r="MIS17" s="37"/>
      <c r="MIT17" s="37"/>
      <c r="MIU17" s="37"/>
      <c r="MIV17" s="37"/>
      <c r="MIW17" s="37"/>
      <c r="MIX17" s="37"/>
      <c r="MIY17" s="37"/>
      <c r="MIZ17" s="37"/>
      <c r="MJA17" s="37"/>
      <c r="MJB17" s="37"/>
      <c r="MJC17" s="37"/>
      <c r="MJD17" s="37"/>
      <c r="MJE17" s="37"/>
      <c r="MJF17" s="37"/>
      <c r="MJG17" s="37"/>
      <c r="MJH17" s="37"/>
      <c r="MJI17" s="37"/>
      <c r="MJJ17" s="37"/>
      <c r="MJK17" s="37"/>
      <c r="MJL17" s="37"/>
      <c r="MJM17" s="37"/>
      <c r="MJN17" s="37"/>
      <c r="MJO17" s="37"/>
      <c r="MJP17" s="37"/>
      <c r="MJQ17" s="37"/>
      <c r="MJR17" s="37"/>
      <c r="MJS17" s="37"/>
      <c r="MJT17" s="37"/>
      <c r="MJU17" s="37"/>
      <c r="MJV17" s="37"/>
      <c r="MJW17" s="37"/>
      <c r="MJX17" s="37"/>
      <c r="MJY17" s="37"/>
      <c r="MJZ17" s="37"/>
      <c r="MKA17" s="37"/>
      <c r="MKB17" s="37"/>
      <c r="MKC17" s="37"/>
      <c r="MKD17" s="37"/>
      <c r="MKE17" s="37"/>
      <c r="MKF17" s="37"/>
      <c r="MKG17" s="37"/>
      <c r="MKH17" s="37"/>
      <c r="MKI17" s="37"/>
      <c r="MKJ17" s="37"/>
      <c r="MKK17" s="37"/>
      <c r="MKL17" s="37"/>
      <c r="MKM17" s="37"/>
      <c r="MKN17" s="37"/>
      <c r="MKO17" s="37"/>
      <c r="MKP17" s="37"/>
      <c r="MKQ17" s="37"/>
      <c r="MKR17" s="37"/>
      <c r="MKS17" s="37"/>
      <c r="MKT17" s="37"/>
      <c r="MKU17" s="37"/>
      <c r="MKV17" s="37"/>
      <c r="MKW17" s="37"/>
      <c r="MKX17" s="37"/>
      <c r="MKY17" s="37"/>
      <c r="MKZ17" s="37"/>
      <c r="MLA17" s="37"/>
      <c r="MLB17" s="37"/>
      <c r="MLC17" s="37"/>
      <c r="MLD17" s="37"/>
      <c r="MLE17" s="37"/>
      <c r="MLF17" s="37"/>
      <c r="MLG17" s="37"/>
      <c r="MLH17" s="37"/>
      <c r="MLI17" s="37"/>
      <c r="MLJ17" s="37"/>
      <c r="MLK17" s="37"/>
      <c r="MLL17" s="37"/>
      <c r="MLM17" s="37"/>
      <c r="MLN17" s="37"/>
      <c r="MLO17" s="37"/>
      <c r="MLP17" s="37"/>
      <c r="MLQ17" s="37"/>
      <c r="MLR17" s="37"/>
      <c r="MLS17" s="37"/>
      <c r="MLT17" s="37"/>
      <c r="MLU17" s="37"/>
      <c r="MLV17" s="37"/>
      <c r="MLW17" s="37"/>
      <c r="MLX17" s="37"/>
      <c r="MLY17" s="37"/>
      <c r="MLZ17" s="37"/>
      <c r="MMA17" s="37"/>
      <c r="MMB17" s="37"/>
      <c r="MMC17" s="37"/>
      <c r="MMD17" s="37"/>
      <c r="MME17" s="37"/>
      <c r="MMF17" s="37"/>
      <c r="MMG17" s="37"/>
      <c r="MMH17" s="37"/>
      <c r="MMI17" s="37"/>
      <c r="MMJ17" s="37"/>
      <c r="MMK17" s="37"/>
      <c r="MML17" s="37"/>
      <c r="MMM17" s="37"/>
      <c r="MMN17" s="37"/>
      <c r="MMO17" s="37"/>
      <c r="MMP17" s="37"/>
      <c r="MMQ17" s="37"/>
      <c r="MMR17" s="37"/>
      <c r="MMS17" s="37"/>
      <c r="MMT17" s="37"/>
      <c r="MMU17" s="37"/>
      <c r="MMV17" s="37"/>
      <c r="MMW17" s="37"/>
      <c r="MMX17" s="37"/>
      <c r="MMY17" s="37"/>
      <c r="MMZ17" s="37"/>
      <c r="MNA17" s="37"/>
      <c r="MNB17" s="37"/>
      <c r="MNC17" s="37"/>
      <c r="MND17" s="37"/>
      <c r="MNE17" s="37"/>
      <c r="MNF17" s="37"/>
      <c r="MNG17" s="37"/>
      <c r="MNH17" s="37"/>
      <c r="MNI17" s="37"/>
      <c r="MNJ17" s="37"/>
      <c r="MNK17" s="37"/>
      <c r="MNL17" s="37"/>
      <c r="MNM17" s="37"/>
      <c r="MNN17" s="37"/>
      <c r="MNO17" s="37"/>
      <c r="MNP17" s="37"/>
      <c r="MNQ17" s="37"/>
      <c r="MNR17" s="37"/>
      <c r="MNS17" s="37"/>
      <c r="MNT17" s="37"/>
      <c r="MNU17" s="37"/>
      <c r="MNV17" s="37"/>
      <c r="MNW17" s="37"/>
      <c r="MNX17" s="37"/>
      <c r="MNY17" s="37"/>
      <c r="MNZ17" s="37"/>
      <c r="MOA17" s="37"/>
      <c r="MOB17" s="37"/>
      <c r="MOC17" s="37"/>
      <c r="MOD17" s="37"/>
      <c r="MOE17" s="37"/>
      <c r="MOF17" s="37"/>
      <c r="MOG17" s="37"/>
      <c r="MOH17" s="37"/>
      <c r="MOI17" s="37"/>
      <c r="MOJ17" s="37"/>
      <c r="MOK17" s="37"/>
      <c r="MOL17" s="37"/>
      <c r="MOM17" s="37"/>
      <c r="MON17" s="37"/>
      <c r="MOO17" s="37"/>
      <c r="MOP17" s="37"/>
      <c r="MOQ17" s="37"/>
      <c r="MOR17" s="37"/>
      <c r="MOS17" s="37"/>
      <c r="MOT17" s="37"/>
      <c r="MOU17" s="37"/>
      <c r="MOV17" s="37"/>
      <c r="MOW17" s="37"/>
      <c r="MOX17" s="37"/>
      <c r="MOY17" s="37"/>
      <c r="MOZ17" s="37"/>
      <c r="MPA17" s="37"/>
      <c r="MPB17" s="37"/>
      <c r="MPC17" s="37"/>
      <c r="MPD17" s="37"/>
      <c r="MPE17" s="37"/>
      <c r="MPF17" s="37"/>
      <c r="MPG17" s="37"/>
      <c r="MPH17" s="37"/>
      <c r="MPI17" s="37"/>
      <c r="MPJ17" s="37"/>
      <c r="MPK17" s="37"/>
      <c r="MPL17" s="37"/>
      <c r="MPM17" s="37"/>
      <c r="MPN17" s="37"/>
      <c r="MPO17" s="37"/>
      <c r="MPP17" s="37"/>
      <c r="MPQ17" s="37"/>
      <c r="MPR17" s="37"/>
      <c r="MPS17" s="37"/>
      <c r="MPT17" s="37"/>
      <c r="MPU17" s="37"/>
      <c r="MPV17" s="37"/>
      <c r="MPW17" s="37"/>
      <c r="MPX17" s="37"/>
      <c r="MPY17" s="37"/>
      <c r="MPZ17" s="37"/>
      <c r="MQA17" s="37"/>
      <c r="MQB17" s="37"/>
      <c r="MQC17" s="37"/>
      <c r="MQD17" s="37"/>
      <c r="MQE17" s="37"/>
      <c r="MQF17" s="37"/>
      <c r="MQG17" s="37"/>
      <c r="MQH17" s="37"/>
      <c r="MQI17" s="37"/>
      <c r="MQJ17" s="37"/>
      <c r="MQK17" s="37"/>
      <c r="MQL17" s="37"/>
      <c r="MQM17" s="37"/>
      <c r="MQN17" s="37"/>
      <c r="MQO17" s="37"/>
      <c r="MQP17" s="37"/>
      <c r="MQQ17" s="37"/>
      <c r="MQR17" s="37"/>
      <c r="MQS17" s="37"/>
      <c r="MQT17" s="37"/>
      <c r="MQU17" s="37"/>
      <c r="MQV17" s="37"/>
      <c r="MQW17" s="37"/>
      <c r="MQX17" s="37"/>
      <c r="MQY17" s="37"/>
      <c r="MQZ17" s="37"/>
      <c r="MRA17" s="37"/>
      <c r="MRB17" s="37"/>
      <c r="MRC17" s="37"/>
      <c r="MRD17" s="37"/>
      <c r="MRE17" s="37"/>
      <c r="MRF17" s="37"/>
      <c r="MRG17" s="37"/>
      <c r="MRH17" s="37"/>
      <c r="MRI17" s="37"/>
      <c r="MRJ17" s="37"/>
      <c r="MRK17" s="37"/>
      <c r="MRL17" s="37"/>
      <c r="MRM17" s="37"/>
      <c r="MRN17" s="37"/>
      <c r="MRO17" s="37"/>
      <c r="MRP17" s="37"/>
      <c r="MRQ17" s="37"/>
      <c r="MRR17" s="37"/>
      <c r="MRS17" s="37"/>
      <c r="MRT17" s="37"/>
      <c r="MRU17" s="37"/>
      <c r="MRV17" s="37"/>
      <c r="MRW17" s="37"/>
      <c r="MRX17" s="37"/>
      <c r="MRY17" s="37"/>
      <c r="MRZ17" s="37"/>
      <c r="MSA17" s="37"/>
      <c r="MSB17" s="37"/>
      <c r="MSC17" s="37"/>
      <c r="MSD17" s="37"/>
      <c r="MSE17" s="37"/>
      <c r="MSF17" s="37"/>
      <c r="MSG17" s="37"/>
      <c r="MSH17" s="37"/>
      <c r="MSI17" s="37"/>
      <c r="MSJ17" s="37"/>
      <c r="MSK17" s="37"/>
      <c r="MSL17" s="37"/>
      <c r="MSM17" s="37"/>
      <c r="MSN17" s="37"/>
      <c r="MSO17" s="37"/>
      <c r="MSP17" s="37"/>
      <c r="MSQ17" s="37"/>
      <c r="MSR17" s="37"/>
      <c r="MSS17" s="37"/>
      <c r="MST17" s="37"/>
      <c r="MSU17" s="37"/>
      <c r="MSV17" s="37"/>
      <c r="MSW17" s="37"/>
      <c r="MSX17" s="37"/>
      <c r="MSY17" s="37"/>
      <c r="MSZ17" s="37"/>
      <c r="MTA17" s="37"/>
      <c r="MTB17" s="37"/>
      <c r="MTC17" s="37"/>
      <c r="MTD17" s="37"/>
      <c r="MTE17" s="37"/>
      <c r="MTF17" s="37"/>
      <c r="MTG17" s="37"/>
      <c r="MTH17" s="37"/>
      <c r="MTI17" s="37"/>
      <c r="MTJ17" s="37"/>
      <c r="MTK17" s="37"/>
      <c r="MTL17" s="37"/>
      <c r="MTM17" s="37"/>
      <c r="MTN17" s="37"/>
      <c r="MTO17" s="37"/>
      <c r="MTP17" s="37"/>
      <c r="MTQ17" s="37"/>
      <c r="MTR17" s="37"/>
      <c r="MTS17" s="37"/>
      <c r="MTT17" s="37"/>
      <c r="MTU17" s="37"/>
      <c r="MTV17" s="37"/>
      <c r="MTW17" s="37"/>
      <c r="MTX17" s="37"/>
      <c r="MTY17" s="37"/>
      <c r="MTZ17" s="37"/>
      <c r="MUA17" s="37"/>
      <c r="MUB17" s="37"/>
      <c r="MUC17" s="37"/>
      <c r="MUD17" s="37"/>
      <c r="MUE17" s="37"/>
      <c r="MUF17" s="37"/>
      <c r="MUG17" s="37"/>
      <c r="MUH17" s="37"/>
      <c r="MUI17" s="37"/>
      <c r="MUJ17" s="37"/>
      <c r="MUK17" s="37"/>
      <c r="MUL17" s="37"/>
      <c r="MUM17" s="37"/>
      <c r="MUN17" s="37"/>
      <c r="MUO17" s="37"/>
      <c r="MUP17" s="37"/>
      <c r="MUQ17" s="37"/>
      <c r="MUR17" s="37"/>
      <c r="MUS17" s="37"/>
      <c r="MUT17" s="37"/>
      <c r="MUU17" s="37"/>
      <c r="MUV17" s="37"/>
      <c r="MUW17" s="37"/>
      <c r="MUX17" s="37"/>
      <c r="MUY17" s="37"/>
      <c r="MUZ17" s="37"/>
      <c r="MVA17" s="37"/>
      <c r="MVB17" s="37"/>
      <c r="MVC17" s="37"/>
      <c r="MVD17" s="37"/>
      <c r="MVE17" s="37"/>
      <c r="MVF17" s="37"/>
      <c r="MVG17" s="37"/>
      <c r="MVH17" s="37"/>
      <c r="MVI17" s="37"/>
      <c r="MVJ17" s="37"/>
      <c r="MVK17" s="37"/>
      <c r="MVL17" s="37"/>
      <c r="MVM17" s="37"/>
      <c r="MVN17" s="37"/>
      <c r="MVO17" s="37"/>
      <c r="MVP17" s="37"/>
      <c r="MVQ17" s="37"/>
      <c r="MVR17" s="37"/>
      <c r="MVS17" s="37"/>
      <c r="MVT17" s="37"/>
      <c r="MVU17" s="37"/>
      <c r="MVV17" s="37"/>
      <c r="MVW17" s="37"/>
      <c r="MVX17" s="37"/>
      <c r="MVY17" s="37"/>
      <c r="MVZ17" s="37"/>
      <c r="MWA17" s="37"/>
      <c r="MWB17" s="37"/>
      <c r="MWC17" s="37"/>
      <c r="MWD17" s="37"/>
      <c r="MWE17" s="37"/>
      <c r="MWF17" s="37"/>
      <c r="MWG17" s="37"/>
      <c r="MWH17" s="37"/>
      <c r="MWI17" s="37"/>
      <c r="MWJ17" s="37"/>
      <c r="MWK17" s="37"/>
      <c r="MWL17" s="37"/>
      <c r="MWM17" s="37"/>
      <c r="MWN17" s="37"/>
      <c r="MWO17" s="37"/>
      <c r="MWP17" s="37"/>
      <c r="MWQ17" s="37"/>
      <c r="MWR17" s="37"/>
      <c r="MWS17" s="37"/>
      <c r="MWT17" s="37"/>
      <c r="MWU17" s="37"/>
      <c r="MWV17" s="37"/>
      <c r="MWW17" s="37"/>
      <c r="MWX17" s="37"/>
      <c r="MWY17" s="37"/>
      <c r="MWZ17" s="37"/>
      <c r="MXA17" s="37"/>
      <c r="MXB17" s="37"/>
      <c r="MXC17" s="37"/>
      <c r="MXD17" s="37"/>
      <c r="MXE17" s="37"/>
      <c r="MXF17" s="37"/>
      <c r="MXG17" s="37"/>
      <c r="MXH17" s="37"/>
      <c r="MXI17" s="37"/>
      <c r="MXJ17" s="37"/>
      <c r="MXK17" s="37"/>
      <c r="MXL17" s="37"/>
      <c r="MXM17" s="37"/>
      <c r="MXN17" s="37"/>
      <c r="MXO17" s="37"/>
      <c r="MXP17" s="37"/>
      <c r="MXQ17" s="37"/>
      <c r="MXR17" s="37"/>
      <c r="MXS17" s="37"/>
      <c r="MXT17" s="37"/>
      <c r="MXU17" s="37"/>
      <c r="MXV17" s="37"/>
      <c r="MXW17" s="37"/>
      <c r="MXX17" s="37"/>
      <c r="MXY17" s="37"/>
      <c r="MXZ17" s="37"/>
      <c r="MYA17" s="37"/>
      <c r="MYB17" s="37"/>
      <c r="MYC17" s="37"/>
      <c r="MYD17" s="37"/>
      <c r="MYE17" s="37"/>
      <c r="MYF17" s="37"/>
      <c r="MYG17" s="37"/>
      <c r="MYH17" s="37"/>
      <c r="MYI17" s="37"/>
      <c r="MYJ17" s="37"/>
      <c r="MYK17" s="37"/>
      <c r="MYL17" s="37"/>
      <c r="MYM17" s="37"/>
      <c r="MYN17" s="37"/>
      <c r="MYO17" s="37"/>
      <c r="MYP17" s="37"/>
      <c r="MYQ17" s="37"/>
      <c r="MYR17" s="37"/>
      <c r="MYS17" s="37"/>
      <c r="MYT17" s="37"/>
      <c r="MYU17" s="37"/>
      <c r="MYV17" s="37"/>
      <c r="MYW17" s="37"/>
      <c r="MYX17" s="37"/>
      <c r="MYY17" s="37"/>
      <c r="MYZ17" s="37"/>
      <c r="MZA17" s="37"/>
      <c r="MZB17" s="37"/>
      <c r="MZC17" s="37"/>
      <c r="MZD17" s="37"/>
      <c r="MZE17" s="37"/>
      <c r="MZF17" s="37"/>
      <c r="MZG17" s="37"/>
      <c r="MZH17" s="37"/>
      <c r="MZI17" s="37"/>
      <c r="MZJ17" s="37"/>
      <c r="MZK17" s="37"/>
      <c r="MZL17" s="37"/>
      <c r="MZM17" s="37"/>
      <c r="MZN17" s="37"/>
      <c r="MZO17" s="37"/>
      <c r="MZP17" s="37"/>
      <c r="MZQ17" s="37"/>
      <c r="MZR17" s="37"/>
      <c r="MZS17" s="37"/>
      <c r="MZT17" s="37"/>
      <c r="MZU17" s="37"/>
      <c r="MZV17" s="37"/>
      <c r="MZW17" s="37"/>
      <c r="MZX17" s="37"/>
      <c r="MZY17" s="37"/>
      <c r="MZZ17" s="37"/>
      <c r="NAA17" s="37"/>
      <c r="NAB17" s="37"/>
      <c r="NAC17" s="37"/>
      <c r="NAD17" s="37"/>
      <c r="NAE17" s="37"/>
      <c r="NAF17" s="37"/>
      <c r="NAG17" s="37"/>
      <c r="NAH17" s="37"/>
      <c r="NAI17" s="37"/>
      <c r="NAJ17" s="37"/>
      <c r="NAK17" s="37"/>
      <c r="NAL17" s="37"/>
      <c r="NAM17" s="37"/>
      <c r="NAN17" s="37"/>
      <c r="NAO17" s="37"/>
      <c r="NAP17" s="37"/>
      <c r="NAQ17" s="37"/>
      <c r="NAR17" s="37"/>
      <c r="NAS17" s="37"/>
      <c r="NAT17" s="37"/>
      <c r="NAU17" s="37"/>
      <c r="NAV17" s="37"/>
      <c r="NAW17" s="37"/>
      <c r="NAX17" s="37"/>
      <c r="NAY17" s="37"/>
      <c r="NAZ17" s="37"/>
      <c r="NBA17" s="37"/>
      <c r="NBB17" s="37"/>
      <c r="NBC17" s="37"/>
      <c r="NBD17" s="37"/>
      <c r="NBE17" s="37"/>
      <c r="NBF17" s="37"/>
      <c r="NBG17" s="37"/>
      <c r="NBH17" s="37"/>
      <c r="NBI17" s="37"/>
      <c r="NBJ17" s="37"/>
      <c r="NBK17" s="37"/>
      <c r="NBL17" s="37"/>
      <c r="NBM17" s="37"/>
      <c r="NBN17" s="37"/>
      <c r="NBO17" s="37"/>
      <c r="NBP17" s="37"/>
      <c r="NBQ17" s="37"/>
      <c r="NBR17" s="37"/>
      <c r="NBS17" s="37"/>
      <c r="NBT17" s="37"/>
      <c r="NBU17" s="37"/>
      <c r="NBV17" s="37"/>
      <c r="NBW17" s="37"/>
      <c r="NBX17" s="37"/>
      <c r="NBY17" s="37"/>
      <c r="NBZ17" s="37"/>
      <c r="NCA17" s="37"/>
      <c r="NCB17" s="37"/>
      <c r="NCC17" s="37"/>
      <c r="NCD17" s="37"/>
      <c r="NCE17" s="37"/>
      <c r="NCF17" s="37"/>
      <c r="NCG17" s="37"/>
      <c r="NCH17" s="37"/>
      <c r="NCI17" s="37"/>
      <c r="NCJ17" s="37"/>
      <c r="NCK17" s="37"/>
      <c r="NCL17" s="37"/>
      <c r="NCM17" s="37"/>
      <c r="NCN17" s="37"/>
      <c r="NCO17" s="37"/>
      <c r="NCP17" s="37"/>
      <c r="NCQ17" s="37"/>
      <c r="NCR17" s="37"/>
      <c r="NCS17" s="37"/>
      <c r="NCT17" s="37"/>
      <c r="NCU17" s="37"/>
      <c r="NCV17" s="37"/>
      <c r="NCW17" s="37"/>
      <c r="NCX17" s="37"/>
      <c r="NCY17" s="37"/>
      <c r="NCZ17" s="37"/>
      <c r="NDA17" s="37"/>
      <c r="NDB17" s="37"/>
      <c r="NDC17" s="37"/>
      <c r="NDD17" s="37"/>
      <c r="NDE17" s="37"/>
      <c r="NDF17" s="37"/>
      <c r="NDG17" s="37"/>
      <c r="NDH17" s="37"/>
      <c r="NDI17" s="37"/>
      <c r="NDJ17" s="37"/>
      <c r="NDK17" s="37"/>
      <c r="NDL17" s="37"/>
      <c r="NDM17" s="37"/>
      <c r="NDN17" s="37"/>
      <c r="NDO17" s="37"/>
      <c r="NDP17" s="37"/>
      <c r="NDQ17" s="37"/>
      <c r="NDR17" s="37"/>
      <c r="NDS17" s="37"/>
      <c r="NDT17" s="37"/>
      <c r="NDU17" s="37"/>
      <c r="NDV17" s="37"/>
      <c r="NDW17" s="37"/>
      <c r="NDX17" s="37"/>
      <c r="NDY17" s="37"/>
      <c r="NDZ17" s="37"/>
      <c r="NEA17" s="37"/>
      <c r="NEB17" s="37"/>
      <c r="NEC17" s="37"/>
      <c r="NED17" s="37"/>
      <c r="NEE17" s="37"/>
      <c r="NEF17" s="37"/>
      <c r="NEG17" s="37"/>
      <c r="NEH17" s="37"/>
      <c r="NEI17" s="37"/>
      <c r="NEJ17" s="37"/>
      <c r="NEK17" s="37"/>
      <c r="NEL17" s="37"/>
      <c r="NEM17" s="37"/>
      <c r="NEN17" s="37"/>
      <c r="NEO17" s="37"/>
      <c r="NEP17" s="37"/>
      <c r="NEQ17" s="37"/>
      <c r="NER17" s="37"/>
      <c r="NES17" s="37"/>
      <c r="NET17" s="37"/>
      <c r="NEU17" s="37"/>
      <c r="NEV17" s="37"/>
      <c r="NEW17" s="37"/>
      <c r="NEX17" s="37"/>
      <c r="NEY17" s="37"/>
      <c r="NEZ17" s="37"/>
      <c r="NFA17" s="37"/>
      <c r="NFB17" s="37"/>
      <c r="NFC17" s="37"/>
      <c r="NFD17" s="37"/>
      <c r="NFE17" s="37"/>
      <c r="NFF17" s="37"/>
      <c r="NFG17" s="37"/>
      <c r="NFH17" s="37"/>
      <c r="NFI17" s="37"/>
      <c r="NFJ17" s="37"/>
      <c r="NFK17" s="37"/>
      <c r="NFL17" s="37"/>
      <c r="NFM17" s="37"/>
      <c r="NFN17" s="37"/>
      <c r="NFO17" s="37"/>
      <c r="NFP17" s="37"/>
      <c r="NFQ17" s="37"/>
      <c r="NFR17" s="37"/>
      <c r="NFS17" s="37"/>
      <c r="NFT17" s="37"/>
      <c r="NFU17" s="37"/>
      <c r="NFV17" s="37"/>
      <c r="NFW17" s="37"/>
      <c r="NFX17" s="37"/>
      <c r="NFY17" s="37"/>
      <c r="NFZ17" s="37"/>
      <c r="NGA17" s="37"/>
      <c r="NGB17" s="37"/>
      <c r="NGC17" s="37"/>
      <c r="NGD17" s="37"/>
      <c r="NGE17" s="37"/>
      <c r="NGF17" s="37"/>
      <c r="NGG17" s="37"/>
      <c r="NGH17" s="37"/>
      <c r="NGI17" s="37"/>
      <c r="NGJ17" s="37"/>
      <c r="NGK17" s="37"/>
      <c r="NGL17" s="37"/>
      <c r="NGM17" s="37"/>
      <c r="NGN17" s="37"/>
      <c r="NGO17" s="37"/>
      <c r="NGP17" s="37"/>
      <c r="NGQ17" s="37"/>
      <c r="NGR17" s="37"/>
      <c r="NGS17" s="37"/>
      <c r="NGT17" s="37"/>
      <c r="NGU17" s="37"/>
      <c r="NGV17" s="37"/>
      <c r="NGW17" s="37"/>
      <c r="NGX17" s="37"/>
      <c r="NGY17" s="37"/>
      <c r="NGZ17" s="37"/>
      <c r="NHA17" s="37"/>
      <c r="NHB17" s="37"/>
      <c r="NHC17" s="37"/>
      <c r="NHD17" s="37"/>
      <c r="NHE17" s="37"/>
      <c r="NHF17" s="37"/>
      <c r="NHG17" s="37"/>
      <c r="NHH17" s="37"/>
      <c r="NHI17" s="37"/>
      <c r="NHJ17" s="37"/>
      <c r="NHK17" s="37"/>
      <c r="NHL17" s="37"/>
      <c r="NHM17" s="37"/>
      <c r="NHN17" s="37"/>
      <c r="NHO17" s="37"/>
      <c r="NHP17" s="37"/>
      <c r="NHQ17" s="37"/>
      <c r="NHR17" s="37"/>
      <c r="NHS17" s="37"/>
      <c r="NHT17" s="37"/>
      <c r="NHU17" s="37"/>
      <c r="NHV17" s="37"/>
      <c r="NHW17" s="37"/>
      <c r="NHX17" s="37"/>
      <c r="NHY17" s="37"/>
      <c r="NHZ17" s="37"/>
      <c r="NIA17" s="37"/>
      <c r="NIB17" s="37"/>
      <c r="NIC17" s="37"/>
      <c r="NID17" s="37"/>
      <c r="NIE17" s="37"/>
      <c r="NIF17" s="37"/>
      <c r="NIG17" s="37"/>
      <c r="NIH17" s="37"/>
      <c r="NII17" s="37"/>
      <c r="NIJ17" s="37"/>
      <c r="NIK17" s="37"/>
      <c r="NIL17" s="37"/>
      <c r="NIM17" s="37"/>
      <c r="NIN17" s="37"/>
      <c r="NIO17" s="37"/>
      <c r="NIP17" s="37"/>
      <c r="NIQ17" s="37"/>
      <c r="NIR17" s="37"/>
      <c r="NIS17" s="37"/>
      <c r="NIT17" s="37"/>
      <c r="NIU17" s="37"/>
      <c r="NIV17" s="37"/>
      <c r="NIW17" s="37"/>
      <c r="NIX17" s="37"/>
      <c r="NIY17" s="37"/>
      <c r="NIZ17" s="37"/>
      <c r="NJA17" s="37"/>
      <c r="NJB17" s="37"/>
      <c r="NJC17" s="37"/>
      <c r="NJD17" s="37"/>
      <c r="NJE17" s="37"/>
      <c r="NJF17" s="37"/>
      <c r="NJG17" s="37"/>
      <c r="NJH17" s="37"/>
      <c r="NJI17" s="37"/>
      <c r="NJJ17" s="37"/>
      <c r="NJK17" s="37"/>
      <c r="NJL17" s="37"/>
      <c r="NJM17" s="37"/>
      <c r="NJN17" s="37"/>
      <c r="NJO17" s="37"/>
      <c r="NJP17" s="37"/>
      <c r="NJQ17" s="37"/>
      <c r="NJR17" s="37"/>
      <c r="NJS17" s="37"/>
      <c r="NJT17" s="37"/>
      <c r="NJU17" s="37"/>
      <c r="NJV17" s="37"/>
      <c r="NJW17" s="37"/>
      <c r="NJX17" s="37"/>
      <c r="NJY17" s="37"/>
      <c r="NJZ17" s="37"/>
      <c r="NKA17" s="37"/>
      <c r="NKB17" s="37"/>
      <c r="NKC17" s="37"/>
      <c r="NKD17" s="37"/>
      <c r="NKE17" s="37"/>
      <c r="NKF17" s="37"/>
      <c r="NKG17" s="37"/>
      <c r="NKH17" s="37"/>
      <c r="NKI17" s="37"/>
      <c r="NKJ17" s="37"/>
      <c r="NKK17" s="37"/>
      <c r="NKL17" s="37"/>
      <c r="NKM17" s="37"/>
      <c r="NKN17" s="37"/>
      <c r="NKO17" s="37"/>
      <c r="NKP17" s="37"/>
      <c r="NKQ17" s="37"/>
      <c r="NKR17" s="37"/>
      <c r="NKS17" s="37"/>
      <c r="NKT17" s="37"/>
      <c r="NKU17" s="37"/>
      <c r="NKV17" s="37"/>
      <c r="NKW17" s="37"/>
      <c r="NKX17" s="37"/>
      <c r="NKY17" s="37"/>
      <c r="NKZ17" s="37"/>
      <c r="NLA17" s="37"/>
      <c r="NLB17" s="37"/>
      <c r="NLC17" s="37"/>
      <c r="NLD17" s="37"/>
      <c r="NLE17" s="37"/>
      <c r="NLF17" s="37"/>
      <c r="NLG17" s="37"/>
      <c r="NLH17" s="37"/>
      <c r="NLI17" s="37"/>
      <c r="NLJ17" s="37"/>
      <c r="NLK17" s="37"/>
      <c r="NLL17" s="37"/>
      <c r="NLM17" s="37"/>
      <c r="NLN17" s="37"/>
      <c r="NLO17" s="37"/>
      <c r="NLP17" s="37"/>
      <c r="NLQ17" s="37"/>
      <c r="NLR17" s="37"/>
      <c r="NLS17" s="37"/>
      <c r="NLT17" s="37"/>
      <c r="NLU17" s="37"/>
      <c r="NLV17" s="37"/>
      <c r="NLW17" s="37"/>
      <c r="NLX17" s="37"/>
      <c r="NLY17" s="37"/>
      <c r="NLZ17" s="37"/>
      <c r="NMA17" s="37"/>
      <c r="NMB17" s="37"/>
      <c r="NMC17" s="37"/>
      <c r="NMD17" s="37"/>
      <c r="NME17" s="37"/>
      <c r="NMF17" s="37"/>
      <c r="NMG17" s="37"/>
      <c r="NMH17" s="37"/>
      <c r="NMI17" s="37"/>
      <c r="NMJ17" s="37"/>
      <c r="NMK17" s="37"/>
      <c r="NML17" s="37"/>
      <c r="NMM17" s="37"/>
      <c r="NMN17" s="37"/>
      <c r="NMO17" s="37"/>
      <c r="NMP17" s="37"/>
      <c r="NMQ17" s="37"/>
      <c r="NMR17" s="37"/>
      <c r="NMS17" s="37"/>
      <c r="NMT17" s="37"/>
      <c r="NMU17" s="37"/>
      <c r="NMV17" s="37"/>
      <c r="NMW17" s="37"/>
      <c r="NMX17" s="37"/>
      <c r="NMY17" s="37"/>
      <c r="NMZ17" s="37"/>
      <c r="NNA17" s="37"/>
      <c r="NNB17" s="37"/>
      <c r="NNC17" s="37"/>
      <c r="NND17" s="37"/>
      <c r="NNE17" s="37"/>
      <c r="NNF17" s="37"/>
      <c r="NNG17" s="37"/>
      <c r="NNH17" s="37"/>
      <c r="NNI17" s="37"/>
      <c r="NNJ17" s="37"/>
      <c r="NNK17" s="37"/>
      <c r="NNL17" s="37"/>
      <c r="NNM17" s="37"/>
      <c r="NNN17" s="37"/>
      <c r="NNO17" s="37"/>
      <c r="NNP17" s="37"/>
      <c r="NNQ17" s="37"/>
      <c r="NNR17" s="37"/>
      <c r="NNS17" s="37"/>
      <c r="NNT17" s="37"/>
      <c r="NNU17" s="37"/>
      <c r="NNV17" s="37"/>
      <c r="NNW17" s="37"/>
      <c r="NNX17" s="37"/>
      <c r="NNY17" s="37"/>
      <c r="NNZ17" s="37"/>
      <c r="NOA17" s="37"/>
      <c r="NOB17" s="37"/>
      <c r="NOC17" s="37"/>
      <c r="NOD17" s="37"/>
      <c r="NOE17" s="37"/>
      <c r="NOF17" s="37"/>
      <c r="NOG17" s="37"/>
      <c r="NOH17" s="37"/>
      <c r="NOI17" s="37"/>
      <c r="NOJ17" s="37"/>
      <c r="NOK17" s="37"/>
      <c r="NOL17" s="37"/>
      <c r="NOM17" s="37"/>
      <c r="NON17" s="37"/>
      <c r="NOO17" s="37"/>
      <c r="NOP17" s="37"/>
      <c r="NOQ17" s="37"/>
      <c r="NOR17" s="37"/>
      <c r="NOS17" s="37"/>
      <c r="NOT17" s="37"/>
      <c r="NOU17" s="37"/>
      <c r="NOV17" s="37"/>
      <c r="NOW17" s="37"/>
      <c r="NOX17" s="37"/>
      <c r="NOY17" s="37"/>
      <c r="NOZ17" s="37"/>
      <c r="NPA17" s="37"/>
      <c r="NPB17" s="37"/>
      <c r="NPC17" s="37"/>
      <c r="NPD17" s="37"/>
      <c r="NPE17" s="37"/>
      <c r="NPF17" s="37"/>
      <c r="NPG17" s="37"/>
      <c r="NPH17" s="37"/>
      <c r="NPI17" s="37"/>
      <c r="NPJ17" s="37"/>
      <c r="NPK17" s="37"/>
      <c r="NPL17" s="37"/>
      <c r="NPM17" s="37"/>
      <c r="NPN17" s="37"/>
      <c r="NPO17" s="37"/>
      <c r="NPP17" s="37"/>
      <c r="NPQ17" s="37"/>
      <c r="NPR17" s="37"/>
      <c r="NPS17" s="37"/>
      <c r="NPT17" s="37"/>
      <c r="NPU17" s="37"/>
      <c r="NPV17" s="37"/>
      <c r="NPW17" s="37"/>
      <c r="NPX17" s="37"/>
      <c r="NPY17" s="37"/>
      <c r="NPZ17" s="37"/>
      <c r="NQA17" s="37"/>
      <c r="NQB17" s="37"/>
      <c r="NQC17" s="37"/>
      <c r="NQD17" s="37"/>
      <c r="NQE17" s="37"/>
      <c r="NQF17" s="37"/>
      <c r="NQG17" s="37"/>
      <c r="NQH17" s="37"/>
      <c r="NQI17" s="37"/>
      <c r="NQJ17" s="37"/>
      <c r="NQK17" s="37"/>
      <c r="NQL17" s="37"/>
      <c r="NQM17" s="37"/>
      <c r="NQN17" s="37"/>
      <c r="NQO17" s="37"/>
      <c r="NQP17" s="37"/>
      <c r="NQQ17" s="37"/>
      <c r="NQR17" s="37"/>
      <c r="NQS17" s="37"/>
      <c r="NQT17" s="37"/>
      <c r="NQU17" s="37"/>
      <c r="NQV17" s="37"/>
      <c r="NQW17" s="37"/>
      <c r="NQX17" s="37"/>
      <c r="NQY17" s="37"/>
      <c r="NQZ17" s="37"/>
      <c r="NRA17" s="37"/>
      <c r="NRB17" s="37"/>
      <c r="NRC17" s="37"/>
      <c r="NRD17" s="37"/>
      <c r="NRE17" s="37"/>
      <c r="NRF17" s="37"/>
      <c r="NRG17" s="37"/>
      <c r="NRH17" s="37"/>
      <c r="NRI17" s="37"/>
      <c r="NRJ17" s="37"/>
      <c r="NRK17" s="37"/>
      <c r="NRL17" s="37"/>
      <c r="NRM17" s="37"/>
      <c r="NRN17" s="37"/>
      <c r="NRO17" s="37"/>
      <c r="NRP17" s="37"/>
      <c r="NRQ17" s="37"/>
      <c r="NRR17" s="37"/>
      <c r="NRS17" s="37"/>
      <c r="NRT17" s="37"/>
      <c r="NRU17" s="37"/>
      <c r="NRV17" s="37"/>
      <c r="NRW17" s="37"/>
      <c r="NRX17" s="37"/>
      <c r="NRY17" s="37"/>
      <c r="NRZ17" s="37"/>
      <c r="NSA17" s="37"/>
      <c r="NSB17" s="37"/>
      <c r="NSC17" s="37"/>
      <c r="NSD17" s="37"/>
      <c r="NSE17" s="37"/>
      <c r="NSF17" s="37"/>
      <c r="NSG17" s="37"/>
      <c r="NSH17" s="37"/>
      <c r="NSI17" s="37"/>
      <c r="NSJ17" s="37"/>
      <c r="NSK17" s="37"/>
      <c r="NSL17" s="37"/>
      <c r="NSM17" s="37"/>
      <c r="NSN17" s="37"/>
      <c r="NSO17" s="37"/>
      <c r="NSP17" s="37"/>
      <c r="NSQ17" s="37"/>
      <c r="NSR17" s="37"/>
      <c r="NSS17" s="37"/>
      <c r="NST17" s="37"/>
      <c r="NSU17" s="37"/>
      <c r="NSV17" s="37"/>
      <c r="NSW17" s="37"/>
      <c r="NSX17" s="37"/>
      <c r="NSY17" s="37"/>
      <c r="NSZ17" s="37"/>
      <c r="NTA17" s="37"/>
      <c r="NTB17" s="37"/>
      <c r="NTC17" s="37"/>
      <c r="NTD17" s="37"/>
      <c r="NTE17" s="37"/>
      <c r="NTF17" s="37"/>
      <c r="NTG17" s="37"/>
      <c r="NTH17" s="37"/>
      <c r="NTI17" s="37"/>
      <c r="NTJ17" s="37"/>
      <c r="NTK17" s="37"/>
      <c r="NTL17" s="37"/>
      <c r="NTM17" s="37"/>
      <c r="NTN17" s="37"/>
      <c r="NTO17" s="37"/>
      <c r="NTP17" s="37"/>
      <c r="NTQ17" s="37"/>
      <c r="NTR17" s="37"/>
      <c r="NTS17" s="37"/>
      <c r="NTT17" s="37"/>
      <c r="NTU17" s="37"/>
      <c r="NTV17" s="37"/>
      <c r="NTW17" s="37"/>
      <c r="NTX17" s="37"/>
      <c r="NTY17" s="37"/>
      <c r="NTZ17" s="37"/>
      <c r="NUA17" s="37"/>
      <c r="NUB17" s="37"/>
      <c r="NUC17" s="37"/>
      <c r="NUD17" s="37"/>
      <c r="NUE17" s="37"/>
      <c r="NUF17" s="37"/>
      <c r="NUG17" s="37"/>
      <c r="NUH17" s="37"/>
      <c r="NUI17" s="37"/>
      <c r="NUJ17" s="37"/>
      <c r="NUK17" s="37"/>
      <c r="NUL17" s="37"/>
      <c r="NUM17" s="37"/>
      <c r="NUN17" s="37"/>
      <c r="NUO17" s="37"/>
      <c r="NUP17" s="37"/>
      <c r="NUQ17" s="37"/>
      <c r="NUR17" s="37"/>
      <c r="NUS17" s="37"/>
      <c r="NUT17" s="37"/>
      <c r="NUU17" s="37"/>
      <c r="NUV17" s="37"/>
      <c r="NUW17" s="37"/>
      <c r="NUX17" s="37"/>
      <c r="NUY17" s="37"/>
      <c r="NUZ17" s="37"/>
      <c r="NVA17" s="37"/>
      <c r="NVB17" s="37"/>
      <c r="NVC17" s="37"/>
      <c r="NVD17" s="37"/>
      <c r="NVE17" s="37"/>
      <c r="NVF17" s="37"/>
      <c r="NVG17" s="37"/>
      <c r="NVH17" s="37"/>
      <c r="NVI17" s="37"/>
      <c r="NVJ17" s="37"/>
      <c r="NVK17" s="37"/>
      <c r="NVL17" s="37"/>
      <c r="NVM17" s="37"/>
      <c r="NVN17" s="37"/>
      <c r="NVO17" s="37"/>
      <c r="NVP17" s="37"/>
      <c r="NVQ17" s="37"/>
      <c r="NVR17" s="37"/>
      <c r="NVS17" s="37"/>
      <c r="NVT17" s="37"/>
      <c r="NVU17" s="37"/>
      <c r="NVV17" s="37"/>
      <c r="NVW17" s="37"/>
      <c r="NVX17" s="37"/>
      <c r="NVY17" s="37"/>
      <c r="NVZ17" s="37"/>
      <c r="NWA17" s="37"/>
      <c r="NWB17" s="37"/>
      <c r="NWC17" s="37"/>
      <c r="NWD17" s="37"/>
      <c r="NWE17" s="37"/>
      <c r="NWF17" s="37"/>
      <c r="NWG17" s="37"/>
      <c r="NWH17" s="37"/>
      <c r="NWI17" s="37"/>
      <c r="NWJ17" s="37"/>
      <c r="NWK17" s="37"/>
      <c r="NWL17" s="37"/>
      <c r="NWM17" s="37"/>
      <c r="NWN17" s="37"/>
      <c r="NWO17" s="37"/>
      <c r="NWP17" s="37"/>
      <c r="NWQ17" s="37"/>
      <c r="NWR17" s="37"/>
      <c r="NWS17" s="37"/>
      <c r="NWT17" s="37"/>
      <c r="NWU17" s="37"/>
      <c r="NWV17" s="37"/>
      <c r="NWW17" s="37"/>
      <c r="NWX17" s="37"/>
      <c r="NWY17" s="37"/>
      <c r="NWZ17" s="37"/>
      <c r="NXA17" s="37"/>
      <c r="NXB17" s="37"/>
      <c r="NXC17" s="37"/>
      <c r="NXD17" s="37"/>
      <c r="NXE17" s="37"/>
      <c r="NXF17" s="37"/>
      <c r="NXG17" s="37"/>
      <c r="NXH17" s="37"/>
      <c r="NXI17" s="37"/>
      <c r="NXJ17" s="37"/>
      <c r="NXK17" s="37"/>
      <c r="NXL17" s="37"/>
      <c r="NXM17" s="37"/>
      <c r="NXN17" s="37"/>
      <c r="NXO17" s="37"/>
      <c r="NXP17" s="37"/>
      <c r="NXQ17" s="37"/>
      <c r="NXR17" s="37"/>
      <c r="NXS17" s="37"/>
      <c r="NXT17" s="37"/>
      <c r="NXU17" s="37"/>
      <c r="NXV17" s="37"/>
      <c r="NXW17" s="37"/>
      <c r="NXX17" s="37"/>
      <c r="NXY17" s="37"/>
      <c r="NXZ17" s="37"/>
      <c r="NYA17" s="37"/>
      <c r="NYB17" s="37"/>
      <c r="NYC17" s="37"/>
      <c r="NYD17" s="37"/>
      <c r="NYE17" s="37"/>
      <c r="NYF17" s="37"/>
      <c r="NYG17" s="37"/>
      <c r="NYH17" s="37"/>
      <c r="NYI17" s="37"/>
      <c r="NYJ17" s="37"/>
      <c r="NYK17" s="37"/>
      <c r="NYL17" s="37"/>
      <c r="NYM17" s="37"/>
      <c r="NYN17" s="37"/>
      <c r="NYO17" s="37"/>
      <c r="NYP17" s="37"/>
      <c r="NYQ17" s="37"/>
      <c r="NYR17" s="37"/>
      <c r="NYS17" s="37"/>
      <c r="NYT17" s="37"/>
      <c r="NYU17" s="37"/>
      <c r="NYV17" s="37"/>
      <c r="NYW17" s="37"/>
      <c r="NYX17" s="37"/>
      <c r="NYY17" s="37"/>
      <c r="NYZ17" s="37"/>
      <c r="NZA17" s="37"/>
      <c r="NZB17" s="37"/>
      <c r="NZC17" s="37"/>
      <c r="NZD17" s="37"/>
      <c r="NZE17" s="37"/>
      <c r="NZF17" s="37"/>
      <c r="NZG17" s="37"/>
      <c r="NZH17" s="37"/>
      <c r="NZI17" s="37"/>
      <c r="NZJ17" s="37"/>
      <c r="NZK17" s="37"/>
      <c r="NZL17" s="37"/>
      <c r="NZM17" s="37"/>
      <c r="NZN17" s="37"/>
      <c r="NZO17" s="37"/>
      <c r="NZP17" s="37"/>
      <c r="NZQ17" s="37"/>
      <c r="NZR17" s="37"/>
      <c r="NZS17" s="37"/>
      <c r="NZT17" s="37"/>
      <c r="NZU17" s="37"/>
      <c r="NZV17" s="37"/>
      <c r="NZW17" s="37"/>
      <c r="NZX17" s="37"/>
      <c r="NZY17" s="37"/>
      <c r="NZZ17" s="37"/>
      <c r="OAA17" s="37"/>
      <c r="OAB17" s="37"/>
      <c r="OAC17" s="37"/>
      <c r="OAD17" s="37"/>
      <c r="OAE17" s="37"/>
      <c r="OAF17" s="37"/>
      <c r="OAG17" s="37"/>
      <c r="OAH17" s="37"/>
      <c r="OAI17" s="37"/>
      <c r="OAJ17" s="37"/>
      <c r="OAK17" s="37"/>
      <c r="OAL17" s="37"/>
      <c r="OAM17" s="37"/>
      <c r="OAN17" s="37"/>
      <c r="OAO17" s="37"/>
      <c r="OAP17" s="37"/>
      <c r="OAQ17" s="37"/>
      <c r="OAR17" s="37"/>
      <c r="OAS17" s="37"/>
      <c r="OAT17" s="37"/>
      <c r="OAU17" s="37"/>
      <c r="OAV17" s="37"/>
      <c r="OAW17" s="37"/>
      <c r="OAX17" s="37"/>
      <c r="OAY17" s="37"/>
      <c r="OAZ17" s="37"/>
      <c r="OBA17" s="37"/>
      <c r="OBB17" s="37"/>
      <c r="OBC17" s="37"/>
      <c r="OBD17" s="37"/>
      <c r="OBE17" s="37"/>
      <c r="OBF17" s="37"/>
      <c r="OBG17" s="37"/>
      <c r="OBH17" s="37"/>
      <c r="OBI17" s="37"/>
      <c r="OBJ17" s="37"/>
      <c r="OBK17" s="37"/>
      <c r="OBL17" s="37"/>
      <c r="OBM17" s="37"/>
      <c r="OBN17" s="37"/>
      <c r="OBO17" s="37"/>
      <c r="OBP17" s="37"/>
      <c r="OBQ17" s="37"/>
      <c r="OBR17" s="37"/>
      <c r="OBS17" s="37"/>
      <c r="OBT17" s="37"/>
      <c r="OBU17" s="37"/>
      <c r="OBV17" s="37"/>
      <c r="OBW17" s="37"/>
      <c r="OBX17" s="37"/>
      <c r="OBY17" s="37"/>
      <c r="OBZ17" s="37"/>
      <c r="OCA17" s="37"/>
      <c r="OCB17" s="37"/>
      <c r="OCC17" s="37"/>
      <c r="OCD17" s="37"/>
      <c r="OCE17" s="37"/>
      <c r="OCF17" s="37"/>
      <c r="OCG17" s="37"/>
      <c r="OCH17" s="37"/>
      <c r="OCI17" s="37"/>
      <c r="OCJ17" s="37"/>
      <c r="OCK17" s="37"/>
      <c r="OCL17" s="37"/>
      <c r="OCM17" s="37"/>
      <c r="OCN17" s="37"/>
      <c r="OCO17" s="37"/>
      <c r="OCP17" s="37"/>
      <c r="OCQ17" s="37"/>
      <c r="OCR17" s="37"/>
      <c r="OCS17" s="37"/>
      <c r="OCT17" s="37"/>
      <c r="OCU17" s="37"/>
      <c r="OCV17" s="37"/>
      <c r="OCW17" s="37"/>
      <c r="OCX17" s="37"/>
      <c r="OCY17" s="37"/>
      <c r="OCZ17" s="37"/>
      <c r="ODA17" s="37"/>
      <c r="ODB17" s="37"/>
      <c r="ODC17" s="37"/>
      <c r="ODD17" s="37"/>
      <c r="ODE17" s="37"/>
      <c r="ODF17" s="37"/>
      <c r="ODG17" s="37"/>
      <c r="ODH17" s="37"/>
      <c r="ODI17" s="37"/>
      <c r="ODJ17" s="37"/>
      <c r="ODK17" s="37"/>
      <c r="ODL17" s="37"/>
      <c r="ODM17" s="37"/>
      <c r="ODN17" s="37"/>
      <c r="ODO17" s="37"/>
      <c r="ODP17" s="37"/>
      <c r="ODQ17" s="37"/>
      <c r="ODR17" s="37"/>
      <c r="ODS17" s="37"/>
      <c r="ODT17" s="37"/>
      <c r="ODU17" s="37"/>
      <c r="ODV17" s="37"/>
      <c r="ODW17" s="37"/>
      <c r="ODX17" s="37"/>
      <c r="ODY17" s="37"/>
      <c r="ODZ17" s="37"/>
      <c r="OEA17" s="37"/>
      <c r="OEB17" s="37"/>
      <c r="OEC17" s="37"/>
      <c r="OED17" s="37"/>
      <c r="OEE17" s="37"/>
      <c r="OEF17" s="37"/>
      <c r="OEG17" s="37"/>
      <c r="OEH17" s="37"/>
      <c r="OEI17" s="37"/>
      <c r="OEJ17" s="37"/>
      <c r="OEK17" s="37"/>
      <c r="OEL17" s="37"/>
      <c r="OEM17" s="37"/>
      <c r="OEN17" s="37"/>
      <c r="OEO17" s="37"/>
      <c r="OEP17" s="37"/>
      <c r="OEQ17" s="37"/>
      <c r="OER17" s="37"/>
      <c r="OES17" s="37"/>
      <c r="OET17" s="37"/>
      <c r="OEU17" s="37"/>
      <c r="OEV17" s="37"/>
      <c r="OEW17" s="37"/>
      <c r="OEX17" s="37"/>
      <c r="OEY17" s="37"/>
      <c r="OEZ17" s="37"/>
      <c r="OFA17" s="37"/>
      <c r="OFB17" s="37"/>
      <c r="OFC17" s="37"/>
      <c r="OFD17" s="37"/>
      <c r="OFE17" s="37"/>
      <c r="OFF17" s="37"/>
      <c r="OFG17" s="37"/>
      <c r="OFH17" s="37"/>
      <c r="OFI17" s="37"/>
      <c r="OFJ17" s="37"/>
      <c r="OFK17" s="37"/>
      <c r="OFL17" s="37"/>
      <c r="OFM17" s="37"/>
      <c r="OFN17" s="37"/>
      <c r="OFO17" s="37"/>
      <c r="OFP17" s="37"/>
      <c r="OFQ17" s="37"/>
      <c r="OFR17" s="37"/>
      <c r="OFS17" s="37"/>
      <c r="OFT17" s="37"/>
      <c r="OFU17" s="37"/>
      <c r="OFV17" s="37"/>
      <c r="OFW17" s="37"/>
      <c r="OFX17" s="37"/>
      <c r="OFY17" s="37"/>
      <c r="OFZ17" s="37"/>
      <c r="OGA17" s="37"/>
      <c r="OGB17" s="37"/>
      <c r="OGC17" s="37"/>
      <c r="OGD17" s="37"/>
      <c r="OGE17" s="37"/>
      <c r="OGF17" s="37"/>
      <c r="OGG17" s="37"/>
      <c r="OGH17" s="37"/>
      <c r="OGI17" s="37"/>
      <c r="OGJ17" s="37"/>
      <c r="OGK17" s="37"/>
      <c r="OGL17" s="37"/>
      <c r="OGM17" s="37"/>
      <c r="OGN17" s="37"/>
      <c r="OGO17" s="37"/>
      <c r="OGP17" s="37"/>
      <c r="OGQ17" s="37"/>
      <c r="OGR17" s="37"/>
      <c r="OGS17" s="37"/>
      <c r="OGT17" s="37"/>
      <c r="OGU17" s="37"/>
      <c r="OGV17" s="37"/>
      <c r="OGW17" s="37"/>
      <c r="OGX17" s="37"/>
      <c r="OGY17" s="37"/>
      <c r="OGZ17" s="37"/>
      <c r="OHA17" s="37"/>
      <c r="OHB17" s="37"/>
      <c r="OHC17" s="37"/>
      <c r="OHD17" s="37"/>
      <c r="OHE17" s="37"/>
      <c r="OHF17" s="37"/>
      <c r="OHG17" s="37"/>
      <c r="OHH17" s="37"/>
      <c r="OHI17" s="37"/>
      <c r="OHJ17" s="37"/>
      <c r="OHK17" s="37"/>
      <c r="OHL17" s="37"/>
      <c r="OHM17" s="37"/>
      <c r="OHN17" s="37"/>
      <c r="OHO17" s="37"/>
      <c r="OHP17" s="37"/>
      <c r="OHQ17" s="37"/>
      <c r="OHR17" s="37"/>
      <c r="OHS17" s="37"/>
      <c r="OHT17" s="37"/>
      <c r="OHU17" s="37"/>
      <c r="OHV17" s="37"/>
      <c r="OHW17" s="37"/>
      <c r="OHX17" s="37"/>
      <c r="OHY17" s="37"/>
      <c r="OHZ17" s="37"/>
      <c r="OIA17" s="37"/>
      <c r="OIB17" s="37"/>
      <c r="OIC17" s="37"/>
      <c r="OID17" s="37"/>
      <c r="OIE17" s="37"/>
      <c r="OIF17" s="37"/>
      <c r="OIG17" s="37"/>
      <c r="OIH17" s="37"/>
      <c r="OII17" s="37"/>
      <c r="OIJ17" s="37"/>
      <c r="OIK17" s="37"/>
      <c r="OIL17" s="37"/>
      <c r="OIM17" s="37"/>
      <c r="OIN17" s="37"/>
      <c r="OIO17" s="37"/>
      <c r="OIP17" s="37"/>
      <c r="OIQ17" s="37"/>
      <c r="OIR17" s="37"/>
      <c r="OIS17" s="37"/>
      <c r="OIT17" s="37"/>
      <c r="OIU17" s="37"/>
      <c r="OIV17" s="37"/>
      <c r="OIW17" s="37"/>
      <c r="OIX17" s="37"/>
      <c r="OIY17" s="37"/>
      <c r="OIZ17" s="37"/>
      <c r="OJA17" s="37"/>
      <c r="OJB17" s="37"/>
      <c r="OJC17" s="37"/>
      <c r="OJD17" s="37"/>
      <c r="OJE17" s="37"/>
      <c r="OJF17" s="37"/>
      <c r="OJG17" s="37"/>
      <c r="OJH17" s="37"/>
      <c r="OJI17" s="37"/>
      <c r="OJJ17" s="37"/>
      <c r="OJK17" s="37"/>
      <c r="OJL17" s="37"/>
      <c r="OJM17" s="37"/>
      <c r="OJN17" s="37"/>
      <c r="OJO17" s="37"/>
      <c r="OJP17" s="37"/>
      <c r="OJQ17" s="37"/>
      <c r="OJR17" s="37"/>
      <c r="OJS17" s="37"/>
      <c r="OJT17" s="37"/>
      <c r="OJU17" s="37"/>
      <c r="OJV17" s="37"/>
      <c r="OJW17" s="37"/>
      <c r="OJX17" s="37"/>
      <c r="OJY17" s="37"/>
      <c r="OJZ17" s="37"/>
      <c r="OKA17" s="37"/>
      <c r="OKB17" s="37"/>
      <c r="OKC17" s="37"/>
      <c r="OKD17" s="37"/>
      <c r="OKE17" s="37"/>
      <c r="OKF17" s="37"/>
      <c r="OKG17" s="37"/>
      <c r="OKH17" s="37"/>
      <c r="OKI17" s="37"/>
      <c r="OKJ17" s="37"/>
      <c r="OKK17" s="37"/>
      <c r="OKL17" s="37"/>
      <c r="OKM17" s="37"/>
      <c r="OKN17" s="37"/>
      <c r="OKO17" s="37"/>
      <c r="OKP17" s="37"/>
      <c r="OKQ17" s="37"/>
      <c r="OKR17" s="37"/>
      <c r="OKS17" s="37"/>
      <c r="OKT17" s="37"/>
      <c r="OKU17" s="37"/>
      <c r="OKV17" s="37"/>
      <c r="OKW17" s="37"/>
      <c r="OKX17" s="37"/>
      <c r="OKY17" s="37"/>
      <c r="OKZ17" s="37"/>
      <c r="OLA17" s="37"/>
      <c r="OLB17" s="37"/>
      <c r="OLC17" s="37"/>
      <c r="OLD17" s="37"/>
      <c r="OLE17" s="37"/>
      <c r="OLF17" s="37"/>
      <c r="OLG17" s="37"/>
      <c r="OLH17" s="37"/>
      <c r="OLI17" s="37"/>
      <c r="OLJ17" s="37"/>
      <c r="OLK17" s="37"/>
      <c r="OLL17" s="37"/>
      <c r="OLM17" s="37"/>
      <c r="OLN17" s="37"/>
      <c r="OLO17" s="37"/>
      <c r="OLP17" s="37"/>
      <c r="OLQ17" s="37"/>
      <c r="OLR17" s="37"/>
      <c r="OLS17" s="37"/>
      <c r="OLT17" s="37"/>
      <c r="OLU17" s="37"/>
      <c r="OLV17" s="37"/>
      <c r="OLW17" s="37"/>
      <c r="OLX17" s="37"/>
      <c r="OLY17" s="37"/>
      <c r="OLZ17" s="37"/>
      <c r="OMA17" s="37"/>
      <c r="OMB17" s="37"/>
      <c r="OMC17" s="37"/>
      <c r="OMD17" s="37"/>
      <c r="OME17" s="37"/>
      <c r="OMF17" s="37"/>
      <c r="OMG17" s="37"/>
      <c r="OMH17" s="37"/>
      <c r="OMI17" s="37"/>
      <c r="OMJ17" s="37"/>
      <c r="OMK17" s="37"/>
      <c r="OML17" s="37"/>
      <c r="OMM17" s="37"/>
      <c r="OMN17" s="37"/>
      <c r="OMO17" s="37"/>
      <c r="OMP17" s="37"/>
      <c r="OMQ17" s="37"/>
      <c r="OMR17" s="37"/>
      <c r="OMS17" s="37"/>
      <c r="OMT17" s="37"/>
      <c r="OMU17" s="37"/>
      <c r="OMV17" s="37"/>
      <c r="OMW17" s="37"/>
      <c r="OMX17" s="37"/>
      <c r="OMY17" s="37"/>
      <c r="OMZ17" s="37"/>
      <c r="ONA17" s="37"/>
      <c r="ONB17" s="37"/>
      <c r="ONC17" s="37"/>
      <c r="OND17" s="37"/>
      <c r="ONE17" s="37"/>
      <c r="ONF17" s="37"/>
      <c r="ONG17" s="37"/>
      <c r="ONH17" s="37"/>
      <c r="ONI17" s="37"/>
      <c r="ONJ17" s="37"/>
      <c r="ONK17" s="37"/>
      <c r="ONL17" s="37"/>
      <c r="ONM17" s="37"/>
      <c r="ONN17" s="37"/>
      <c r="ONO17" s="37"/>
      <c r="ONP17" s="37"/>
      <c r="ONQ17" s="37"/>
      <c r="ONR17" s="37"/>
      <c r="ONS17" s="37"/>
      <c r="ONT17" s="37"/>
      <c r="ONU17" s="37"/>
      <c r="ONV17" s="37"/>
      <c r="ONW17" s="37"/>
      <c r="ONX17" s="37"/>
      <c r="ONY17" s="37"/>
      <c r="ONZ17" s="37"/>
      <c r="OOA17" s="37"/>
      <c r="OOB17" s="37"/>
      <c r="OOC17" s="37"/>
      <c r="OOD17" s="37"/>
      <c r="OOE17" s="37"/>
      <c r="OOF17" s="37"/>
      <c r="OOG17" s="37"/>
      <c r="OOH17" s="37"/>
      <c r="OOI17" s="37"/>
      <c r="OOJ17" s="37"/>
      <c r="OOK17" s="37"/>
      <c r="OOL17" s="37"/>
      <c r="OOM17" s="37"/>
      <c r="OON17" s="37"/>
      <c r="OOO17" s="37"/>
      <c r="OOP17" s="37"/>
      <c r="OOQ17" s="37"/>
      <c r="OOR17" s="37"/>
      <c r="OOS17" s="37"/>
      <c r="OOT17" s="37"/>
      <c r="OOU17" s="37"/>
      <c r="OOV17" s="37"/>
      <c r="OOW17" s="37"/>
      <c r="OOX17" s="37"/>
      <c r="OOY17" s="37"/>
      <c r="OOZ17" s="37"/>
      <c r="OPA17" s="37"/>
      <c r="OPB17" s="37"/>
      <c r="OPC17" s="37"/>
      <c r="OPD17" s="37"/>
      <c r="OPE17" s="37"/>
      <c r="OPF17" s="37"/>
      <c r="OPG17" s="37"/>
      <c r="OPH17" s="37"/>
      <c r="OPI17" s="37"/>
      <c r="OPJ17" s="37"/>
      <c r="OPK17" s="37"/>
      <c r="OPL17" s="37"/>
      <c r="OPM17" s="37"/>
      <c r="OPN17" s="37"/>
      <c r="OPO17" s="37"/>
      <c r="OPP17" s="37"/>
      <c r="OPQ17" s="37"/>
      <c r="OPR17" s="37"/>
      <c r="OPS17" s="37"/>
      <c r="OPT17" s="37"/>
      <c r="OPU17" s="37"/>
      <c r="OPV17" s="37"/>
      <c r="OPW17" s="37"/>
      <c r="OPX17" s="37"/>
      <c r="OPY17" s="37"/>
      <c r="OPZ17" s="37"/>
      <c r="OQA17" s="37"/>
      <c r="OQB17" s="37"/>
      <c r="OQC17" s="37"/>
      <c r="OQD17" s="37"/>
      <c r="OQE17" s="37"/>
      <c r="OQF17" s="37"/>
      <c r="OQG17" s="37"/>
      <c r="OQH17" s="37"/>
      <c r="OQI17" s="37"/>
      <c r="OQJ17" s="37"/>
      <c r="OQK17" s="37"/>
      <c r="OQL17" s="37"/>
      <c r="OQM17" s="37"/>
      <c r="OQN17" s="37"/>
      <c r="OQO17" s="37"/>
      <c r="OQP17" s="37"/>
      <c r="OQQ17" s="37"/>
      <c r="OQR17" s="37"/>
      <c r="OQS17" s="37"/>
      <c r="OQT17" s="37"/>
      <c r="OQU17" s="37"/>
      <c r="OQV17" s="37"/>
      <c r="OQW17" s="37"/>
      <c r="OQX17" s="37"/>
      <c r="OQY17" s="37"/>
      <c r="OQZ17" s="37"/>
      <c r="ORA17" s="37"/>
      <c r="ORB17" s="37"/>
      <c r="ORC17" s="37"/>
      <c r="ORD17" s="37"/>
      <c r="ORE17" s="37"/>
      <c r="ORF17" s="37"/>
      <c r="ORG17" s="37"/>
      <c r="ORH17" s="37"/>
      <c r="ORI17" s="37"/>
      <c r="ORJ17" s="37"/>
      <c r="ORK17" s="37"/>
      <c r="ORL17" s="37"/>
      <c r="ORM17" s="37"/>
      <c r="ORN17" s="37"/>
      <c r="ORO17" s="37"/>
      <c r="ORP17" s="37"/>
      <c r="ORQ17" s="37"/>
      <c r="ORR17" s="37"/>
      <c r="ORS17" s="37"/>
      <c r="ORT17" s="37"/>
      <c r="ORU17" s="37"/>
      <c r="ORV17" s="37"/>
      <c r="ORW17" s="37"/>
      <c r="ORX17" s="37"/>
      <c r="ORY17" s="37"/>
      <c r="ORZ17" s="37"/>
      <c r="OSA17" s="37"/>
      <c r="OSB17" s="37"/>
      <c r="OSC17" s="37"/>
      <c r="OSD17" s="37"/>
      <c r="OSE17" s="37"/>
      <c r="OSF17" s="37"/>
      <c r="OSG17" s="37"/>
      <c r="OSH17" s="37"/>
      <c r="OSI17" s="37"/>
      <c r="OSJ17" s="37"/>
      <c r="OSK17" s="37"/>
      <c r="OSL17" s="37"/>
      <c r="OSM17" s="37"/>
      <c r="OSN17" s="37"/>
      <c r="OSO17" s="37"/>
      <c r="OSP17" s="37"/>
      <c r="OSQ17" s="37"/>
      <c r="OSR17" s="37"/>
      <c r="OSS17" s="37"/>
      <c r="OST17" s="37"/>
      <c r="OSU17" s="37"/>
      <c r="OSV17" s="37"/>
      <c r="OSW17" s="37"/>
      <c r="OSX17" s="37"/>
      <c r="OSY17" s="37"/>
      <c r="OSZ17" s="37"/>
      <c r="OTA17" s="37"/>
      <c r="OTB17" s="37"/>
      <c r="OTC17" s="37"/>
      <c r="OTD17" s="37"/>
      <c r="OTE17" s="37"/>
      <c r="OTF17" s="37"/>
      <c r="OTG17" s="37"/>
      <c r="OTH17" s="37"/>
      <c r="OTI17" s="37"/>
      <c r="OTJ17" s="37"/>
      <c r="OTK17" s="37"/>
      <c r="OTL17" s="37"/>
      <c r="OTM17" s="37"/>
      <c r="OTN17" s="37"/>
      <c r="OTO17" s="37"/>
      <c r="OTP17" s="37"/>
      <c r="OTQ17" s="37"/>
      <c r="OTR17" s="37"/>
      <c r="OTS17" s="37"/>
      <c r="OTT17" s="37"/>
      <c r="OTU17" s="37"/>
      <c r="OTV17" s="37"/>
      <c r="OTW17" s="37"/>
      <c r="OTX17" s="37"/>
      <c r="OTY17" s="37"/>
      <c r="OTZ17" s="37"/>
      <c r="OUA17" s="37"/>
      <c r="OUB17" s="37"/>
      <c r="OUC17" s="37"/>
      <c r="OUD17" s="37"/>
      <c r="OUE17" s="37"/>
      <c r="OUF17" s="37"/>
      <c r="OUG17" s="37"/>
      <c r="OUH17" s="37"/>
      <c r="OUI17" s="37"/>
      <c r="OUJ17" s="37"/>
      <c r="OUK17" s="37"/>
      <c r="OUL17" s="37"/>
      <c r="OUM17" s="37"/>
      <c r="OUN17" s="37"/>
      <c r="OUO17" s="37"/>
      <c r="OUP17" s="37"/>
      <c r="OUQ17" s="37"/>
      <c r="OUR17" s="37"/>
      <c r="OUS17" s="37"/>
      <c r="OUT17" s="37"/>
      <c r="OUU17" s="37"/>
      <c r="OUV17" s="37"/>
      <c r="OUW17" s="37"/>
      <c r="OUX17" s="37"/>
      <c r="OUY17" s="37"/>
      <c r="OUZ17" s="37"/>
      <c r="OVA17" s="37"/>
      <c r="OVB17" s="37"/>
      <c r="OVC17" s="37"/>
      <c r="OVD17" s="37"/>
      <c r="OVE17" s="37"/>
      <c r="OVF17" s="37"/>
      <c r="OVG17" s="37"/>
      <c r="OVH17" s="37"/>
      <c r="OVI17" s="37"/>
      <c r="OVJ17" s="37"/>
      <c r="OVK17" s="37"/>
      <c r="OVL17" s="37"/>
      <c r="OVM17" s="37"/>
      <c r="OVN17" s="37"/>
      <c r="OVO17" s="37"/>
      <c r="OVP17" s="37"/>
      <c r="OVQ17" s="37"/>
      <c r="OVR17" s="37"/>
      <c r="OVS17" s="37"/>
      <c r="OVT17" s="37"/>
      <c r="OVU17" s="37"/>
      <c r="OVV17" s="37"/>
      <c r="OVW17" s="37"/>
      <c r="OVX17" s="37"/>
      <c r="OVY17" s="37"/>
      <c r="OVZ17" s="37"/>
      <c r="OWA17" s="37"/>
      <c r="OWB17" s="37"/>
      <c r="OWC17" s="37"/>
      <c r="OWD17" s="37"/>
      <c r="OWE17" s="37"/>
      <c r="OWF17" s="37"/>
      <c r="OWG17" s="37"/>
      <c r="OWH17" s="37"/>
      <c r="OWI17" s="37"/>
      <c r="OWJ17" s="37"/>
      <c r="OWK17" s="37"/>
      <c r="OWL17" s="37"/>
      <c r="OWM17" s="37"/>
      <c r="OWN17" s="37"/>
      <c r="OWO17" s="37"/>
      <c r="OWP17" s="37"/>
      <c r="OWQ17" s="37"/>
      <c r="OWR17" s="37"/>
      <c r="OWS17" s="37"/>
      <c r="OWT17" s="37"/>
      <c r="OWU17" s="37"/>
      <c r="OWV17" s="37"/>
      <c r="OWW17" s="37"/>
      <c r="OWX17" s="37"/>
      <c r="OWY17" s="37"/>
      <c r="OWZ17" s="37"/>
      <c r="OXA17" s="37"/>
      <c r="OXB17" s="37"/>
      <c r="OXC17" s="37"/>
      <c r="OXD17" s="37"/>
      <c r="OXE17" s="37"/>
      <c r="OXF17" s="37"/>
      <c r="OXG17" s="37"/>
      <c r="OXH17" s="37"/>
      <c r="OXI17" s="37"/>
      <c r="OXJ17" s="37"/>
      <c r="OXK17" s="37"/>
      <c r="OXL17" s="37"/>
      <c r="OXM17" s="37"/>
      <c r="OXN17" s="37"/>
      <c r="OXO17" s="37"/>
      <c r="OXP17" s="37"/>
      <c r="OXQ17" s="37"/>
      <c r="OXR17" s="37"/>
      <c r="OXS17" s="37"/>
      <c r="OXT17" s="37"/>
      <c r="OXU17" s="37"/>
      <c r="OXV17" s="37"/>
      <c r="OXW17" s="37"/>
      <c r="OXX17" s="37"/>
      <c r="OXY17" s="37"/>
      <c r="OXZ17" s="37"/>
      <c r="OYA17" s="37"/>
      <c r="OYB17" s="37"/>
      <c r="OYC17" s="37"/>
      <c r="OYD17" s="37"/>
      <c r="OYE17" s="37"/>
      <c r="OYF17" s="37"/>
      <c r="OYG17" s="37"/>
      <c r="OYH17" s="37"/>
      <c r="OYI17" s="37"/>
      <c r="OYJ17" s="37"/>
      <c r="OYK17" s="37"/>
      <c r="OYL17" s="37"/>
      <c r="OYM17" s="37"/>
      <c r="OYN17" s="37"/>
      <c r="OYO17" s="37"/>
      <c r="OYP17" s="37"/>
      <c r="OYQ17" s="37"/>
      <c r="OYR17" s="37"/>
      <c r="OYS17" s="37"/>
      <c r="OYT17" s="37"/>
      <c r="OYU17" s="37"/>
      <c r="OYV17" s="37"/>
      <c r="OYW17" s="37"/>
      <c r="OYX17" s="37"/>
      <c r="OYY17" s="37"/>
      <c r="OYZ17" s="37"/>
      <c r="OZA17" s="37"/>
      <c r="OZB17" s="37"/>
      <c r="OZC17" s="37"/>
      <c r="OZD17" s="37"/>
      <c r="OZE17" s="37"/>
      <c r="OZF17" s="37"/>
      <c r="OZG17" s="37"/>
      <c r="OZH17" s="37"/>
      <c r="OZI17" s="37"/>
      <c r="OZJ17" s="37"/>
      <c r="OZK17" s="37"/>
      <c r="OZL17" s="37"/>
      <c r="OZM17" s="37"/>
      <c r="OZN17" s="37"/>
      <c r="OZO17" s="37"/>
      <c r="OZP17" s="37"/>
      <c r="OZQ17" s="37"/>
      <c r="OZR17" s="37"/>
      <c r="OZS17" s="37"/>
      <c r="OZT17" s="37"/>
      <c r="OZU17" s="37"/>
      <c r="OZV17" s="37"/>
      <c r="OZW17" s="37"/>
      <c r="OZX17" s="37"/>
      <c r="OZY17" s="37"/>
      <c r="OZZ17" s="37"/>
      <c r="PAA17" s="37"/>
      <c r="PAB17" s="37"/>
      <c r="PAC17" s="37"/>
      <c r="PAD17" s="37"/>
      <c r="PAE17" s="37"/>
      <c r="PAF17" s="37"/>
      <c r="PAG17" s="37"/>
      <c r="PAH17" s="37"/>
      <c r="PAI17" s="37"/>
      <c r="PAJ17" s="37"/>
      <c r="PAK17" s="37"/>
      <c r="PAL17" s="37"/>
      <c r="PAM17" s="37"/>
      <c r="PAN17" s="37"/>
      <c r="PAO17" s="37"/>
      <c r="PAP17" s="37"/>
      <c r="PAQ17" s="37"/>
      <c r="PAR17" s="37"/>
      <c r="PAS17" s="37"/>
      <c r="PAT17" s="37"/>
      <c r="PAU17" s="37"/>
      <c r="PAV17" s="37"/>
      <c r="PAW17" s="37"/>
      <c r="PAX17" s="37"/>
      <c r="PAY17" s="37"/>
      <c r="PAZ17" s="37"/>
      <c r="PBA17" s="37"/>
      <c r="PBB17" s="37"/>
      <c r="PBC17" s="37"/>
      <c r="PBD17" s="37"/>
      <c r="PBE17" s="37"/>
      <c r="PBF17" s="37"/>
      <c r="PBG17" s="37"/>
      <c r="PBH17" s="37"/>
      <c r="PBI17" s="37"/>
      <c r="PBJ17" s="37"/>
      <c r="PBK17" s="37"/>
      <c r="PBL17" s="37"/>
      <c r="PBM17" s="37"/>
      <c r="PBN17" s="37"/>
      <c r="PBO17" s="37"/>
      <c r="PBP17" s="37"/>
      <c r="PBQ17" s="37"/>
      <c r="PBR17" s="37"/>
      <c r="PBS17" s="37"/>
      <c r="PBT17" s="37"/>
      <c r="PBU17" s="37"/>
      <c r="PBV17" s="37"/>
      <c r="PBW17" s="37"/>
      <c r="PBX17" s="37"/>
      <c r="PBY17" s="37"/>
      <c r="PBZ17" s="37"/>
      <c r="PCA17" s="37"/>
      <c r="PCB17" s="37"/>
      <c r="PCC17" s="37"/>
      <c r="PCD17" s="37"/>
      <c r="PCE17" s="37"/>
      <c r="PCF17" s="37"/>
      <c r="PCG17" s="37"/>
      <c r="PCH17" s="37"/>
      <c r="PCI17" s="37"/>
      <c r="PCJ17" s="37"/>
      <c r="PCK17" s="37"/>
      <c r="PCL17" s="37"/>
      <c r="PCM17" s="37"/>
      <c r="PCN17" s="37"/>
      <c r="PCO17" s="37"/>
      <c r="PCP17" s="37"/>
      <c r="PCQ17" s="37"/>
      <c r="PCR17" s="37"/>
      <c r="PCS17" s="37"/>
      <c r="PCT17" s="37"/>
      <c r="PCU17" s="37"/>
      <c r="PCV17" s="37"/>
      <c r="PCW17" s="37"/>
      <c r="PCX17" s="37"/>
      <c r="PCY17" s="37"/>
      <c r="PCZ17" s="37"/>
      <c r="PDA17" s="37"/>
      <c r="PDB17" s="37"/>
      <c r="PDC17" s="37"/>
      <c r="PDD17" s="37"/>
      <c r="PDE17" s="37"/>
      <c r="PDF17" s="37"/>
      <c r="PDG17" s="37"/>
      <c r="PDH17" s="37"/>
      <c r="PDI17" s="37"/>
      <c r="PDJ17" s="37"/>
      <c r="PDK17" s="37"/>
      <c r="PDL17" s="37"/>
      <c r="PDM17" s="37"/>
      <c r="PDN17" s="37"/>
      <c r="PDO17" s="37"/>
      <c r="PDP17" s="37"/>
      <c r="PDQ17" s="37"/>
      <c r="PDR17" s="37"/>
      <c r="PDS17" s="37"/>
      <c r="PDT17" s="37"/>
      <c r="PDU17" s="37"/>
      <c r="PDV17" s="37"/>
      <c r="PDW17" s="37"/>
      <c r="PDX17" s="37"/>
      <c r="PDY17" s="37"/>
      <c r="PDZ17" s="37"/>
      <c r="PEA17" s="37"/>
      <c r="PEB17" s="37"/>
      <c r="PEC17" s="37"/>
      <c r="PED17" s="37"/>
      <c r="PEE17" s="37"/>
      <c r="PEF17" s="37"/>
      <c r="PEG17" s="37"/>
      <c r="PEH17" s="37"/>
      <c r="PEI17" s="37"/>
      <c r="PEJ17" s="37"/>
      <c r="PEK17" s="37"/>
      <c r="PEL17" s="37"/>
      <c r="PEM17" s="37"/>
      <c r="PEN17" s="37"/>
      <c r="PEO17" s="37"/>
      <c r="PEP17" s="37"/>
      <c r="PEQ17" s="37"/>
      <c r="PER17" s="37"/>
      <c r="PES17" s="37"/>
      <c r="PET17" s="37"/>
      <c r="PEU17" s="37"/>
      <c r="PEV17" s="37"/>
      <c r="PEW17" s="37"/>
      <c r="PEX17" s="37"/>
      <c r="PEY17" s="37"/>
      <c r="PEZ17" s="37"/>
      <c r="PFA17" s="37"/>
      <c r="PFB17" s="37"/>
      <c r="PFC17" s="37"/>
      <c r="PFD17" s="37"/>
      <c r="PFE17" s="37"/>
      <c r="PFF17" s="37"/>
      <c r="PFG17" s="37"/>
      <c r="PFH17" s="37"/>
      <c r="PFI17" s="37"/>
      <c r="PFJ17" s="37"/>
      <c r="PFK17" s="37"/>
      <c r="PFL17" s="37"/>
      <c r="PFM17" s="37"/>
      <c r="PFN17" s="37"/>
      <c r="PFO17" s="37"/>
      <c r="PFP17" s="37"/>
      <c r="PFQ17" s="37"/>
      <c r="PFR17" s="37"/>
      <c r="PFS17" s="37"/>
      <c r="PFT17" s="37"/>
      <c r="PFU17" s="37"/>
      <c r="PFV17" s="37"/>
      <c r="PFW17" s="37"/>
      <c r="PFX17" s="37"/>
      <c r="PFY17" s="37"/>
      <c r="PFZ17" s="37"/>
      <c r="PGA17" s="37"/>
      <c r="PGB17" s="37"/>
      <c r="PGC17" s="37"/>
      <c r="PGD17" s="37"/>
      <c r="PGE17" s="37"/>
      <c r="PGF17" s="37"/>
      <c r="PGG17" s="37"/>
      <c r="PGH17" s="37"/>
      <c r="PGI17" s="37"/>
      <c r="PGJ17" s="37"/>
      <c r="PGK17" s="37"/>
      <c r="PGL17" s="37"/>
      <c r="PGM17" s="37"/>
      <c r="PGN17" s="37"/>
      <c r="PGO17" s="37"/>
      <c r="PGP17" s="37"/>
      <c r="PGQ17" s="37"/>
      <c r="PGR17" s="37"/>
      <c r="PGS17" s="37"/>
      <c r="PGT17" s="37"/>
      <c r="PGU17" s="37"/>
      <c r="PGV17" s="37"/>
      <c r="PGW17" s="37"/>
      <c r="PGX17" s="37"/>
      <c r="PGY17" s="37"/>
      <c r="PGZ17" s="37"/>
      <c r="PHA17" s="37"/>
      <c r="PHB17" s="37"/>
      <c r="PHC17" s="37"/>
      <c r="PHD17" s="37"/>
      <c r="PHE17" s="37"/>
      <c r="PHF17" s="37"/>
      <c r="PHG17" s="37"/>
      <c r="PHH17" s="37"/>
      <c r="PHI17" s="37"/>
      <c r="PHJ17" s="37"/>
      <c r="PHK17" s="37"/>
      <c r="PHL17" s="37"/>
      <c r="PHM17" s="37"/>
      <c r="PHN17" s="37"/>
      <c r="PHO17" s="37"/>
      <c r="PHP17" s="37"/>
      <c r="PHQ17" s="37"/>
      <c r="PHR17" s="37"/>
      <c r="PHS17" s="37"/>
      <c r="PHT17" s="37"/>
      <c r="PHU17" s="37"/>
      <c r="PHV17" s="37"/>
      <c r="PHW17" s="37"/>
      <c r="PHX17" s="37"/>
      <c r="PHY17" s="37"/>
      <c r="PHZ17" s="37"/>
      <c r="PIA17" s="37"/>
      <c r="PIB17" s="37"/>
      <c r="PIC17" s="37"/>
      <c r="PID17" s="37"/>
      <c r="PIE17" s="37"/>
      <c r="PIF17" s="37"/>
      <c r="PIG17" s="37"/>
      <c r="PIH17" s="37"/>
      <c r="PII17" s="37"/>
      <c r="PIJ17" s="37"/>
      <c r="PIK17" s="37"/>
      <c r="PIL17" s="37"/>
      <c r="PIM17" s="37"/>
      <c r="PIN17" s="37"/>
      <c r="PIO17" s="37"/>
      <c r="PIP17" s="37"/>
      <c r="PIQ17" s="37"/>
      <c r="PIR17" s="37"/>
      <c r="PIS17" s="37"/>
      <c r="PIT17" s="37"/>
      <c r="PIU17" s="37"/>
      <c r="PIV17" s="37"/>
      <c r="PIW17" s="37"/>
      <c r="PIX17" s="37"/>
      <c r="PIY17" s="37"/>
      <c r="PIZ17" s="37"/>
      <c r="PJA17" s="37"/>
      <c r="PJB17" s="37"/>
      <c r="PJC17" s="37"/>
      <c r="PJD17" s="37"/>
      <c r="PJE17" s="37"/>
      <c r="PJF17" s="37"/>
      <c r="PJG17" s="37"/>
      <c r="PJH17" s="37"/>
      <c r="PJI17" s="37"/>
      <c r="PJJ17" s="37"/>
      <c r="PJK17" s="37"/>
      <c r="PJL17" s="37"/>
      <c r="PJM17" s="37"/>
      <c r="PJN17" s="37"/>
      <c r="PJO17" s="37"/>
      <c r="PJP17" s="37"/>
      <c r="PJQ17" s="37"/>
      <c r="PJR17" s="37"/>
      <c r="PJS17" s="37"/>
      <c r="PJT17" s="37"/>
      <c r="PJU17" s="37"/>
      <c r="PJV17" s="37"/>
      <c r="PJW17" s="37"/>
      <c r="PJX17" s="37"/>
      <c r="PJY17" s="37"/>
      <c r="PJZ17" s="37"/>
      <c r="PKA17" s="37"/>
      <c r="PKB17" s="37"/>
      <c r="PKC17" s="37"/>
      <c r="PKD17" s="37"/>
      <c r="PKE17" s="37"/>
      <c r="PKF17" s="37"/>
      <c r="PKG17" s="37"/>
      <c r="PKH17" s="37"/>
      <c r="PKI17" s="37"/>
      <c r="PKJ17" s="37"/>
      <c r="PKK17" s="37"/>
      <c r="PKL17" s="37"/>
      <c r="PKM17" s="37"/>
      <c r="PKN17" s="37"/>
      <c r="PKO17" s="37"/>
      <c r="PKP17" s="37"/>
      <c r="PKQ17" s="37"/>
      <c r="PKR17" s="37"/>
      <c r="PKS17" s="37"/>
      <c r="PKT17" s="37"/>
      <c r="PKU17" s="37"/>
      <c r="PKV17" s="37"/>
      <c r="PKW17" s="37"/>
      <c r="PKX17" s="37"/>
      <c r="PKY17" s="37"/>
      <c r="PKZ17" s="37"/>
      <c r="PLA17" s="37"/>
      <c r="PLB17" s="37"/>
      <c r="PLC17" s="37"/>
      <c r="PLD17" s="37"/>
      <c r="PLE17" s="37"/>
      <c r="PLF17" s="37"/>
      <c r="PLG17" s="37"/>
      <c r="PLH17" s="37"/>
      <c r="PLI17" s="37"/>
      <c r="PLJ17" s="37"/>
      <c r="PLK17" s="37"/>
      <c r="PLL17" s="37"/>
      <c r="PLM17" s="37"/>
      <c r="PLN17" s="37"/>
      <c r="PLO17" s="37"/>
      <c r="PLP17" s="37"/>
      <c r="PLQ17" s="37"/>
      <c r="PLR17" s="37"/>
      <c r="PLS17" s="37"/>
      <c r="PLT17" s="37"/>
      <c r="PLU17" s="37"/>
      <c r="PLV17" s="37"/>
      <c r="PLW17" s="37"/>
      <c r="PLX17" s="37"/>
      <c r="PLY17" s="37"/>
      <c r="PLZ17" s="37"/>
      <c r="PMA17" s="37"/>
      <c r="PMB17" s="37"/>
      <c r="PMC17" s="37"/>
      <c r="PMD17" s="37"/>
      <c r="PME17" s="37"/>
      <c r="PMF17" s="37"/>
      <c r="PMG17" s="37"/>
      <c r="PMH17" s="37"/>
      <c r="PMI17" s="37"/>
      <c r="PMJ17" s="37"/>
      <c r="PMK17" s="37"/>
      <c r="PML17" s="37"/>
      <c r="PMM17" s="37"/>
      <c r="PMN17" s="37"/>
      <c r="PMO17" s="37"/>
      <c r="PMP17" s="37"/>
      <c r="PMQ17" s="37"/>
      <c r="PMR17" s="37"/>
      <c r="PMS17" s="37"/>
      <c r="PMT17" s="37"/>
      <c r="PMU17" s="37"/>
      <c r="PMV17" s="37"/>
      <c r="PMW17" s="37"/>
      <c r="PMX17" s="37"/>
      <c r="PMY17" s="37"/>
      <c r="PMZ17" s="37"/>
      <c r="PNA17" s="37"/>
      <c r="PNB17" s="37"/>
      <c r="PNC17" s="37"/>
      <c r="PND17" s="37"/>
      <c r="PNE17" s="37"/>
      <c r="PNF17" s="37"/>
      <c r="PNG17" s="37"/>
      <c r="PNH17" s="37"/>
      <c r="PNI17" s="37"/>
      <c r="PNJ17" s="37"/>
      <c r="PNK17" s="37"/>
      <c r="PNL17" s="37"/>
      <c r="PNM17" s="37"/>
      <c r="PNN17" s="37"/>
      <c r="PNO17" s="37"/>
      <c r="PNP17" s="37"/>
      <c r="PNQ17" s="37"/>
      <c r="PNR17" s="37"/>
      <c r="PNS17" s="37"/>
      <c r="PNT17" s="37"/>
      <c r="PNU17" s="37"/>
      <c r="PNV17" s="37"/>
      <c r="PNW17" s="37"/>
      <c r="PNX17" s="37"/>
      <c r="PNY17" s="37"/>
      <c r="PNZ17" s="37"/>
      <c r="POA17" s="37"/>
      <c r="POB17" s="37"/>
      <c r="POC17" s="37"/>
      <c r="POD17" s="37"/>
      <c r="POE17" s="37"/>
      <c r="POF17" s="37"/>
      <c r="POG17" s="37"/>
      <c r="POH17" s="37"/>
      <c r="POI17" s="37"/>
      <c r="POJ17" s="37"/>
      <c r="POK17" s="37"/>
      <c r="POL17" s="37"/>
      <c r="POM17" s="37"/>
      <c r="PON17" s="37"/>
      <c r="POO17" s="37"/>
      <c r="POP17" s="37"/>
      <c r="POQ17" s="37"/>
      <c r="POR17" s="37"/>
      <c r="POS17" s="37"/>
      <c r="POT17" s="37"/>
      <c r="POU17" s="37"/>
      <c r="POV17" s="37"/>
      <c r="POW17" s="37"/>
      <c r="POX17" s="37"/>
      <c r="POY17" s="37"/>
      <c r="POZ17" s="37"/>
      <c r="PPA17" s="37"/>
      <c r="PPB17" s="37"/>
      <c r="PPC17" s="37"/>
      <c r="PPD17" s="37"/>
      <c r="PPE17" s="37"/>
      <c r="PPF17" s="37"/>
      <c r="PPG17" s="37"/>
      <c r="PPH17" s="37"/>
      <c r="PPI17" s="37"/>
      <c r="PPJ17" s="37"/>
      <c r="PPK17" s="37"/>
      <c r="PPL17" s="37"/>
      <c r="PPM17" s="37"/>
      <c r="PPN17" s="37"/>
      <c r="PPO17" s="37"/>
      <c r="PPP17" s="37"/>
      <c r="PPQ17" s="37"/>
      <c r="PPR17" s="37"/>
      <c r="PPS17" s="37"/>
      <c r="PPT17" s="37"/>
      <c r="PPU17" s="37"/>
      <c r="PPV17" s="37"/>
      <c r="PPW17" s="37"/>
      <c r="PPX17" s="37"/>
      <c r="PPY17" s="37"/>
      <c r="PPZ17" s="37"/>
      <c r="PQA17" s="37"/>
      <c r="PQB17" s="37"/>
      <c r="PQC17" s="37"/>
      <c r="PQD17" s="37"/>
      <c r="PQE17" s="37"/>
      <c r="PQF17" s="37"/>
      <c r="PQG17" s="37"/>
      <c r="PQH17" s="37"/>
      <c r="PQI17" s="37"/>
      <c r="PQJ17" s="37"/>
      <c r="PQK17" s="37"/>
      <c r="PQL17" s="37"/>
      <c r="PQM17" s="37"/>
      <c r="PQN17" s="37"/>
      <c r="PQO17" s="37"/>
      <c r="PQP17" s="37"/>
      <c r="PQQ17" s="37"/>
      <c r="PQR17" s="37"/>
      <c r="PQS17" s="37"/>
      <c r="PQT17" s="37"/>
      <c r="PQU17" s="37"/>
      <c r="PQV17" s="37"/>
      <c r="PQW17" s="37"/>
      <c r="PQX17" s="37"/>
      <c r="PQY17" s="37"/>
      <c r="PQZ17" s="37"/>
      <c r="PRA17" s="37"/>
      <c r="PRB17" s="37"/>
      <c r="PRC17" s="37"/>
      <c r="PRD17" s="37"/>
      <c r="PRE17" s="37"/>
      <c r="PRF17" s="37"/>
      <c r="PRG17" s="37"/>
      <c r="PRH17" s="37"/>
      <c r="PRI17" s="37"/>
      <c r="PRJ17" s="37"/>
      <c r="PRK17" s="37"/>
      <c r="PRL17" s="37"/>
      <c r="PRM17" s="37"/>
      <c r="PRN17" s="37"/>
      <c r="PRO17" s="37"/>
      <c r="PRP17" s="37"/>
      <c r="PRQ17" s="37"/>
      <c r="PRR17" s="37"/>
      <c r="PRS17" s="37"/>
      <c r="PRT17" s="37"/>
      <c r="PRU17" s="37"/>
      <c r="PRV17" s="37"/>
      <c r="PRW17" s="37"/>
      <c r="PRX17" s="37"/>
      <c r="PRY17" s="37"/>
      <c r="PRZ17" s="37"/>
      <c r="PSA17" s="37"/>
      <c r="PSB17" s="37"/>
      <c r="PSC17" s="37"/>
      <c r="PSD17" s="37"/>
      <c r="PSE17" s="37"/>
      <c r="PSF17" s="37"/>
      <c r="PSG17" s="37"/>
      <c r="PSH17" s="37"/>
      <c r="PSI17" s="37"/>
      <c r="PSJ17" s="37"/>
      <c r="PSK17" s="37"/>
      <c r="PSL17" s="37"/>
      <c r="PSM17" s="37"/>
      <c r="PSN17" s="37"/>
      <c r="PSO17" s="37"/>
      <c r="PSP17" s="37"/>
      <c r="PSQ17" s="37"/>
      <c r="PSR17" s="37"/>
      <c r="PSS17" s="37"/>
      <c r="PST17" s="37"/>
      <c r="PSU17" s="37"/>
      <c r="PSV17" s="37"/>
      <c r="PSW17" s="37"/>
      <c r="PSX17" s="37"/>
      <c r="PSY17" s="37"/>
      <c r="PSZ17" s="37"/>
      <c r="PTA17" s="37"/>
      <c r="PTB17" s="37"/>
      <c r="PTC17" s="37"/>
      <c r="PTD17" s="37"/>
      <c r="PTE17" s="37"/>
      <c r="PTF17" s="37"/>
      <c r="PTG17" s="37"/>
      <c r="PTH17" s="37"/>
      <c r="PTI17" s="37"/>
      <c r="PTJ17" s="37"/>
      <c r="PTK17" s="37"/>
      <c r="PTL17" s="37"/>
      <c r="PTM17" s="37"/>
      <c r="PTN17" s="37"/>
      <c r="PTO17" s="37"/>
      <c r="PTP17" s="37"/>
      <c r="PTQ17" s="37"/>
      <c r="PTR17" s="37"/>
      <c r="PTS17" s="37"/>
      <c r="PTT17" s="37"/>
      <c r="PTU17" s="37"/>
      <c r="PTV17" s="37"/>
      <c r="PTW17" s="37"/>
      <c r="PTX17" s="37"/>
      <c r="PTY17" s="37"/>
      <c r="PTZ17" s="37"/>
      <c r="PUA17" s="37"/>
      <c r="PUB17" s="37"/>
      <c r="PUC17" s="37"/>
      <c r="PUD17" s="37"/>
      <c r="PUE17" s="37"/>
      <c r="PUF17" s="37"/>
      <c r="PUG17" s="37"/>
      <c r="PUH17" s="37"/>
      <c r="PUI17" s="37"/>
      <c r="PUJ17" s="37"/>
      <c r="PUK17" s="37"/>
      <c r="PUL17" s="37"/>
      <c r="PUM17" s="37"/>
      <c r="PUN17" s="37"/>
      <c r="PUO17" s="37"/>
      <c r="PUP17" s="37"/>
      <c r="PUQ17" s="37"/>
      <c r="PUR17" s="37"/>
      <c r="PUS17" s="37"/>
      <c r="PUT17" s="37"/>
      <c r="PUU17" s="37"/>
      <c r="PUV17" s="37"/>
      <c r="PUW17" s="37"/>
      <c r="PUX17" s="37"/>
      <c r="PUY17" s="37"/>
      <c r="PUZ17" s="37"/>
      <c r="PVA17" s="37"/>
      <c r="PVB17" s="37"/>
      <c r="PVC17" s="37"/>
      <c r="PVD17" s="37"/>
      <c r="PVE17" s="37"/>
      <c r="PVF17" s="37"/>
      <c r="PVG17" s="37"/>
      <c r="PVH17" s="37"/>
      <c r="PVI17" s="37"/>
      <c r="PVJ17" s="37"/>
      <c r="PVK17" s="37"/>
      <c r="PVL17" s="37"/>
      <c r="PVM17" s="37"/>
      <c r="PVN17" s="37"/>
      <c r="PVO17" s="37"/>
      <c r="PVP17" s="37"/>
      <c r="PVQ17" s="37"/>
      <c r="PVR17" s="37"/>
      <c r="PVS17" s="37"/>
      <c r="PVT17" s="37"/>
      <c r="PVU17" s="37"/>
      <c r="PVV17" s="37"/>
      <c r="PVW17" s="37"/>
      <c r="PVX17" s="37"/>
      <c r="PVY17" s="37"/>
      <c r="PVZ17" s="37"/>
      <c r="PWA17" s="37"/>
      <c r="PWB17" s="37"/>
      <c r="PWC17" s="37"/>
      <c r="PWD17" s="37"/>
      <c r="PWE17" s="37"/>
      <c r="PWF17" s="37"/>
      <c r="PWG17" s="37"/>
      <c r="PWH17" s="37"/>
      <c r="PWI17" s="37"/>
      <c r="PWJ17" s="37"/>
      <c r="PWK17" s="37"/>
      <c r="PWL17" s="37"/>
      <c r="PWM17" s="37"/>
      <c r="PWN17" s="37"/>
      <c r="PWO17" s="37"/>
      <c r="PWP17" s="37"/>
      <c r="PWQ17" s="37"/>
      <c r="PWR17" s="37"/>
      <c r="PWS17" s="37"/>
      <c r="PWT17" s="37"/>
      <c r="PWU17" s="37"/>
      <c r="PWV17" s="37"/>
      <c r="PWW17" s="37"/>
      <c r="PWX17" s="37"/>
      <c r="PWY17" s="37"/>
      <c r="PWZ17" s="37"/>
      <c r="PXA17" s="37"/>
      <c r="PXB17" s="37"/>
      <c r="PXC17" s="37"/>
      <c r="PXD17" s="37"/>
      <c r="PXE17" s="37"/>
      <c r="PXF17" s="37"/>
      <c r="PXG17" s="37"/>
      <c r="PXH17" s="37"/>
      <c r="PXI17" s="37"/>
      <c r="PXJ17" s="37"/>
      <c r="PXK17" s="37"/>
      <c r="PXL17" s="37"/>
      <c r="PXM17" s="37"/>
      <c r="PXN17" s="37"/>
      <c r="PXO17" s="37"/>
      <c r="PXP17" s="37"/>
      <c r="PXQ17" s="37"/>
      <c r="PXR17" s="37"/>
      <c r="PXS17" s="37"/>
      <c r="PXT17" s="37"/>
      <c r="PXU17" s="37"/>
      <c r="PXV17" s="37"/>
      <c r="PXW17" s="37"/>
      <c r="PXX17" s="37"/>
      <c r="PXY17" s="37"/>
      <c r="PXZ17" s="37"/>
      <c r="PYA17" s="37"/>
      <c r="PYB17" s="37"/>
      <c r="PYC17" s="37"/>
      <c r="PYD17" s="37"/>
      <c r="PYE17" s="37"/>
      <c r="PYF17" s="37"/>
      <c r="PYG17" s="37"/>
      <c r="PYH17" s="37"/>
      <c r="PYI17" s="37"/>
      <c r="PYJ17" s="37"/>
      <c r="PYK17" s="37"/>
      <c r="PYL17" s="37"/>
      <c r="PYM17" s="37"/>
      <c r="PYN17" s="37"/>
      <c r="PYO17" s="37"/>
      <c r="PYP17" s="37"/>
      <c r="PYQ17" s="37"/>
      <c r="PYR17" s="37"/>
      <c r="PYS17" s="37"/>
      <c r="PYT17" s="37"/>
      <c r="PYU17" s="37"/>
      <c r="PYV17" s="37"/>
      <c r="PYW17" s="37"/>
      <c r="PYX17" s="37"/>
      <c r="PYY17" s="37"/>
      <c r="PYZ17" s="37"/>
      <c r="PZA17" s="37"/>
      <c r="PZB17" s="37"/>
      <c r="PZC17" s="37"/>
      <c r="PZD17" s="37"/>
      <c r="PZE17" s="37"/>
      <c r="PZF17" s="37"/>
      <c r="PZG17" s="37"/>
      <c r="PZH17" s="37"/>
      <c r="PZI17" s="37"/>
      <c r="PZJ17" s="37"/>
      <c r="PZK17" s="37"/>
      <c r="PZL17" s="37"/>
      <c r="PZM17" s="37"/>
      <c r="PZN17" s="37"/>
      <c r="PZO17" s="37"/>
      <c r="PZP17" s="37"/>
      <c r="PZQ17" s="37"/>
      <c r="PZR17" s="37"/>
      <c r="PZS17" s="37"/>
      <c r="PZT17" s="37"/>
      <c r="PZU17" s="37"/>
      <c r="PZV17" s="37"/>
      <c r="PZW17" s="37"/>
      <c r="PZX17" s="37"/>
      <c r="PZY17" s="37"/>
      <c r="PZZ17" s="37"/>
      <c r="QAA17" s="37"/>
      <c r="QAB17" s="37"/>
      <c r="QAC17" s="37"/>
      <c r="QAD17" s="37"/>
      <c r="QAE17" s="37"/>
      <c r="QAF17" s="37"/>
      <c r="QAG17" s="37"/>
      <c r="QAH17" s="37"/>
      <c r="QAI17" s="37"/>
      <c r="QAJ17" s="37"/>
      <c r="QAK17" s="37"/>
      <c r="QAL17" s="37"/>
      <c r="QAM17" s="37"/>
      <c r="QAN17" s="37"/>
      <c r="QAO17" s="37"/>
      <c r="QAP17" s="37"/>
      <c r="QAQ17" s="37"/>
      <c r="QAR17" s="37"/>
      <c r="QAS17" s="37"/>
      <c r="QAT17" s="37"/>
      <c r="QAU17" s="37"/>
      <c r="QAV17" s="37"/>
      <c r="QAW17" s="37"/>
      <c r="QAX17" s="37"/>
      <c r="QAY17" s="37"/>
      <c r="QAZ17" s="37"/>
      <c r="QBA17" s="37"/>
      <c r="QBB17" s="37"/>
      <c r="QBC17" s="37"/>
      <c r="QBD17" s="37"/>
      <c r="QBE17" s="37"/>
      <c r="QBF17" s="37"/>
      <c r="QBG17" s="37"/>
      <c r="QBH17" s="37"/>
      <c r="QBI17" s="37"/>
      <c r="QBJ17" s="37"/>
      <c r="QBK17" s="37"/>
      <c r="QBL17" s="37"/>
      <c r="QBM17" s="37"/>
      <c r="QBN17" s="37"/>
      <c r="QBO17" s="37"/>
      <c r="QBP17" s="37"/>
      <c r="QBQ17" s="37"/>
      <c r="QBR17" s="37"/>
      <c r="QBS17" s="37"/>
      <c r="QBT17" s="37"/>
      <c r="QBU17" s="37"/>
      <c r="QBV17" s="37"/>
      <c r="QBW17" s="37"/>
      <c r="QBX17" s="37"/>
      <c r="QBY17" s="37"/>
      <c r="QBZ17" s="37"/>
      <c r="QCA17" s="37"/>
      <c r="QCB17" s="37"/>
      <c r="QCC17" s="37"/>
      <c r="QCD17" s="37"/>
      <c r="QCE17" s="37"/>
      <c r="QCF17" s="37"/>
      <c r="QCG17" s="37"/>
      <c r="QCH17" s="37"/>
      <c r="QCI17" s="37"/>
      <c r="QCJ17" s="37"/>
      <c r="QCK17" s="37"/>
      <c r="QCL17" s="37"/>
      <c r="QCM17" s="37"/>
      <c r="QCN17" s="37"/>
      <c r="QCO17" s="37"/>
      <c r="QCP17" s="37"/>
      <c r="QCQ17" s="37"/>
      <c r="QCR17" s="37"/>
      <c r="QCS17" s="37"/>
      <c r="QCT17" s="37"/>
      <c r="QCU17" s="37"/>
      <c r="QCV17" s="37"/>
      <c r="QCW17" s="37"/>
      <c r="QCX17" s="37"/>
      <c r="QCY17" s="37"/>
      <c r="QCZ17" s="37"/>
      <c r="QDA17" s="37"/>
      <c r="QDB17" s="37"/>
      <c r="QDC17" s="37"/>
      <c r="QDD17" s="37"/>
      <c r="QDE17" s="37"/>
      <c r="QDF17" s="37"/>
      <c r="QDG17" s="37"/>
      <c r="QDH17" s="37"/>
      <c r="QDI17" s="37"/>
      <c r="QDJ17" s="37"/>
      <c r="QDK17" s="37"/>
      <c r="QDL17" s="37"/>
      <c r="QDM17" s="37"/>
      <c r="QDN17" s="37"/>
      <c r="QDO17" s="37"/>
      <c r="QDP17" s="37"/>
      <c r="QDQ17" s="37"/>
      <c r="QDR17" s="37"/>
      <c r="QDS17" s="37"/>
      <c r="QDT17" s="37"/>
      <c r="QDU17" s="37"/>
      <c r="QDV17" s="37"/>
      <c r="QDW17" s="37"/>
      <c r="QDX17" s="37"/>
      <c r="QDY17" s="37"/>
      <c r="QDZ17" s="37"/>
      <c r="QEA17" s="37"/>
      <c r="QEB17" s="37"/>
      <c r="QEC17" s="37"/>
      <c r="QED17" s="37"/>
      <c r="QEE17" s="37"/>
      <c r="QEF17" s="37"/>
      <c r="QEG17" s="37"/>
      <c r="QEH17" s="37"/>
      <c r="QEI17" s="37"/>
      <c r="QEJ17" s="37"/>
      <c r="QEK17" s="37"/>
      <c r="QEL17" s="37"/>
      <c r="QEM17" s="37"/>
      <c r="QEN17" s="37"/>
      <c r="QEO17" s="37"/>
      <c r="QEP17" s="37"/>
      <c r="QEQ17" s="37"/>
      <c r="QER17" s="37"/>
      <c r="QES17" s="37"/>
      <c r="QET17" s="37"/>
      <c r="QEU17" s="37"/>
      <c r="QEV17" s="37"/>
      <c r="QEW17" s="37"/>
      <c r="QEX17" s="37"/>
      <c r="QEY17" s="37"/>
      <c r="QEZ17" s="37"/>
      <c r="QFA17" s="37"/>
      <c r="QFB17" s="37"/>
      <c r="QFC17" s="37"/>
      <c r="QFD17" s="37"/>
      <c r="QFE17" s="37"/>
      <c r="QFF17" s="37"/>
      <c r="QFG17" s="37"/>
      <c r="QFH17" s="37"/>
      <c r="QFI17" s="37"/>
      <c r="QFJ17" s="37"/>
      <c r="QFK17" s="37"/>
      <c r="QFL17" s="37"/>
      <c r="QFM17" s="37"/>
      <c r="QFN17" s="37"/>
      <c r="QFO17" s="37"/>
      <c r="QFP17" s="37"/>
      <c r="QFQ17" s="37"/>
      <c r="QFR17" s="37"/>
      <c r="QFS17" s="37"/>
      <c r="QFT17" s="37"/>
      <c r="QFU17" s="37"/>
      <c r="QFV17" s="37"/>
      <c r="QFW17" s="37"/>
      <c r="QFX17" s="37"/>
      <c r="QFY17" s="37"/>
      <c r="QFZ17" s="37"/>
      <c r="QGA17" s="37"/>
      <c r="QGB17" s="37"/>
      <c r="QGC17" s="37"/>
      <c r="QGD17" s="37"/>
      <c r="QGE17" s="37"/>
      <c r="QGF17" s="37"/>
      <c r="QGG17" s="37"/>
      <c r="QGH17" s="37"/>
      <c r="QGI17" s="37"/>
      <c r="QGJ17" s="37"/>
      <c r="QGK17" s="37"/>
      <c r="QGL17" s="37"/>
      <c r="QGM17" s="37"/>
      <c r="QGN17" s="37"/>
      <c r="QGO17" s="37"/>
      <c r="QGP17" s="37"/>
      <c r="QGQ17" s="37"/>
      <c r="QGR17" s="37"/>
      <c r="QGS17" s="37"/>
      <c r="QGT17" s="37"/>
      <c r="QGU17" s="37"/>
      <c r="QGV17" s="37"/>
      <c r="QGW17" s="37"/>
      <c r="QGX17" s="37"/>
      <c r="QGY17" s="37"/>
      <c r="QGZ17" s="37"/>
      <c r="QHA17" s="37"/>
      <c r="QHB17" s="37"/>
      <c r="QHC17" s="37"/>
      <c r="QHD17" s="37"/>
      <c r="QHE17" s="37"/>
      <c r="QHF17" s="37"/>
      <c r="QHG17" s="37"/>
      <c r="QHH17" s="37"/>
      <c r="QHI17" s="37"/>
      <c r="QHJ17" s="37"/>
      <c r="QHK17" s="37"/>
      <c r="QHL17" s="37"/>
      <c r="QHM17" s="37"/>
      <c r="QHN17" s="37"/>
      <c r="QHO17" s="37"/>
      <c r="QHP17" s="37"/>
      <c r="QHQ17" s="37"/>
      <c r="QHR17" s="37"/>
      <c r="QHS17" s="37"/>
      <c r="QHT17" s="37"/>
      <c r="QHU17" s="37"/>
      <c r="QHV17" s="37"/>
      <c r="QHW17" s="37"/>
      <c r="QHX17" s="37"/>
      <c r="QHY17" s="37"/>
      <c r="QHZ17" s="37"/>
      <c r="QIA17" s="37"/>
      <c r="QIB17" s="37"/>
      <c r="QIC17" s="37"/>
      <c r="QID17" s="37"/>
      <c r="QIE17" s="37"/>
      <c r="QIF17" s="37"/>
      <c r="QIG17" s="37"/>
      <c r="QIH17" s="37"/>
      <c r="QII17" s="37"/>
      <c r="QIJ17" s="37"/>
      <c r="QIK17" s="37"/>
      <c r="QIL17" s="37"/>
      <c r="QIM17" s="37"/>
      <c r="QIN17" s="37"/>
      <c r="QIO17" s="37"/>
      <c r="QIP17" s="37"/>
      <c r="QIQ17" s="37"/>
      <c r="QIR17" s="37"/>
      <c r="QIS17" s="37"/>
      <c r="QIT17" s="37"/>
      <c r="QIU17" s="37"/>
      <c r="QIV17" s="37"/>
      <c r="QIW17" s="37"/>
      <c r="QIX17" s="37"/>
      <c r="QIY17" s="37"/>
      <c r="QIZ17" s="37"/>
      <c r="QJA17" s="37"/>
      <c r="QJB17" s="37"/>
      <c r="QJC17" s="37"/>
      <c r="QJD17" s="37"/>
      <c r="QJE17" s="37"/>
      <c r="QJF17" s="37"/>
      <c r="QJG17" s="37"/>
      <c r="QJH17" s="37"/>
      <c r="QJI17" s="37"/>
      <c r="QJJ17" s="37"/>
      <c r="QJK17" s="37"/>
      <c r="QJL17" s="37"/>
      <c r="QJM17" s="37"/>
      <c r="QJN17" s="37"/>
      <c r="QJO17" s="37"/>
      <c r="QJP17" s="37"/>
      <c r="QJQ17" s="37"/>
      <c r="QJR17" s="37"/>
      <c r="QJS17" s="37"/>
      <c r="QJT17" s="37"/>
      <c r="QJU17" s="37"/>
      <c r="QJV17" s="37"/>
      <c r="QJW17" s="37"/>
      <c r="QJX17" s="37"/>
      <c r="QJY17" s="37"/>
      <c r="QJZ17" s="37"/>
      <c r="QKA17" s="37"/>
      <c r="QKB17" s="37"/>
      <c r="QKC17" s="37"/>
      <c r="QKD17" s="37"/>
      <c r="QKE17" s="37"/>
      <c r="QKF17" s="37"/>
      <c r="QKG17" s="37"/>
      <c r="QKH17" s="37"/>
      <c r="QKI17" s="37"/>
      <c r="QKJ17" s="37"/>
      <c r="QKK17" s="37"/>
      <c r="QKL17" s="37"/>
      <c r="QKM17" s="37"/>
      <c r="QKN17" s="37"/>
      <c r="QKO17" s="37"/>
      <c r="QKP17" s="37"/>
      <c r="QKQ17" s="37"/>
      <c r="QKR17" s="37"/>
      <c r="QKS17" s="37"/>
      <c r="QKT17" s="37"/>
      <c r="QKU17" s="37"/>
      <c r="QKV17" s="37"/>
      <c r="QKW17" s="37"/>
      <c r="QKX17" s="37"/>
      <c r="QKY17" s="37"/>
      <c r="QKZ17" s="37"/>
      <c r="QLA17" s="37"/>
      <c r="QLB17" s="37"/>
      <c r="QLC17" s="37"/>
      <c r="QLD17" s="37"/>
      <c r="QLE17" s="37"/>
      <c r="QLF17" s="37"/>
      <c r="QLG17" s="37"/>
      <c r="QLH17" s="37"/>
      <c r="QLI17" s="37"/>
      <c r="QLJ17" s="37"/>
      <c r="QLK17" s="37"/>
      <c r="QLL17" s="37"/>
      <c r="QLM17" s="37"/>
      <c r="QLN17" s="37"/>
      <c r="QLO17" s="37"/>
      <c r="QLP17" s="37"/>
      <c r="QLQ17" s="37"/>
      <c r="QLR17" s="37"/>
      <c r="QLS17" s="37"/>
      <c r="QLT17" s="37"/>
      <c r="QLU17" s="37"/>
      <c r="QLV17" s="37"/>
      <c r="QLW17" s="37"/>
      <c r="QLX17" s="37"/>
      <c r="QLY17" s="37"/>
      <c r="QLZ17" s="37"/>
      <c r="QMA17" s="37"/>
      <c r="QMB17" s="37"/>
      <c r="QMC17" s="37"/>
      <c r="QMD17" s="37"/>
      <c r="QME17" s="37"/>
      <c r="QMF17" s="37"/>
      <c r="QMG17" s="37"/>
      <c r="QMH17" s="37"/>
      <c r="QMI17" s="37"/>
      <c r="QMJ17" s="37"/>
      <c r="QMK17" s="37"/>
      <c r="QML17" s="37"/>
      <c r="QMM17" s="37"/>
      <c r="QMN17" s="37"/>
      <c r="QMO17" s="37"/>
      <c r="QMP17" s="37"/>
      <c r="QMQ17" s="37"/>
      <c r="QMR17" s="37"/>
      <c r="QMS17" s="37"/>
      <c r="QMT17" s="37"/>
      <c r="QMU17" s="37"/>
      <c r="QMV17" s="37"/>
      <c r="QMW17" s="37"/>
      <c r="QMX17" s="37"/>
      <c r="QMY17" s="37"/>
      <c r="QMZ17" s="37"/>
      <c r="QNA17" s="37"/>
      <c r="QNB17" s="37"/>
      <c r="QNC17" s="37"/>
      <c r="QND17" s="37"/>
      <c r="QNE17" s="37"/>
      <c r="QNF17" s="37"/>
      <c r="QNG17" s="37"/>
      <c r="QNH17" s="37"/>
      <c r="QNI17" s="37"/>
      <c r="QNJ17" s="37"/>
      <c r="QNK17" s="37"/>
      <c r="QNL17" s="37"/>
      <c r="QNM17" s="37"/>
      <c r="QNN17" s="37"/>
      <c r="QNO17" s="37"/>
      <c r="QNP17" s="37"/>
      <c r="QNQ17" s="37"/>
      <c r="QNR17" s="37"/>
      <c r="QNS17" s="37"/>
      <c r="QNT17" s="37"/>
      <c r="QNU17" s="37"/>
      <c r="QNV17" s="37"/>
      <c r="QNW17" s="37"/>
      <c r="QNX17" s="37"/>
      <c r="QNY17" s="37"/>
      <c r="QNZ17" s="37"/>
      <c r="QOA17" s="37"/>
      <c r="QOB17" s="37"/>
      <c r="QOC17" s="37"/>
      <c r="QOD17" s="37"/>
      <c r="QOE17" s="37"/>
      <c r="QOF17" s="37"/>
      <c r="QOG17" s="37"/>
      <c r="QOH17" s="37"/>
      <c r="QOI17" s="37"/>
      <c r="QOJ17" s="37"/>
      <c r="QOK17" s="37"/>
      <c r="QOL17" s="37"/>
      <c r="QOM17" s="37"/>
      <c r="QON17" s="37"/>
      <c r="QOO17" s="37"/>
      <c r="QOP17" s="37"/>
      <c r="QOQ17" s="37"/>
      <c r="QOR17" s="37"/>
      <c r="QOS17" s="37"/>
      <c r="QOT17" s="37"/>
      <c r="QOU17" s="37"/>
      <c r="QOV17" s="37"/>
      <c r="QOW17" s="37"/>
      <c r="QOX17" s="37"/>
      <c r="QOY17" s="37"/>
      <c r="QOZ17" s="37"/>
      <c r="QPA17" s="37"/>
      <c r="QPB17" s="37"/>
      <c r="QPC17" s="37"/>
      <c r="QPD17" s="37"/>
      <c r="QPE17" s="37"/>
      <c r="QPF17" s="37"/>
      <c r="QPG17" s="37"/>
      <c r="QPH17" s="37"/>
      <c r="QPI17" s="37"/>
      <c r="QPJ17" s="37"/>
      <c r="QPK17" s="37"/>
      <c r="QPL17" s="37"/>
      <c r="QPM17" s="37"/>
      <c r="QPN17" s="37"/>
      <c r="QPO17" s="37"/>
      <c r="QPP17" s="37"/>
      <c r="QPQ17" s="37"/>
      <c r="QPR17" s="37"/>
      <c r="QPS17" s="37"/>
      <c r="QPT17" s="37"/>
      <c r="QPU17" s="37"/>
      <c r="QPV17" s="37"/>
      <c r="QPW17" s="37"/>
      <c r="QPX17" s="37"/>
      <c r="QPY17" s="37"/>
      <c r="QPZ17" s="37"/>
      <c r="QQA17" s="37"/>
      <c r="QQB17" s="37"/>
      <c r="QQC17" s="37"/>
      <c r="QQD17" s="37"/>
      <c r="QQE17" s="37"/>
      <c r="QQF17" s="37"/>
      <c r="QQG17" s="37"/>
      <c r="QQH17" s="37"/>
      <c r="QQI17" s="37"/>
      <c r="QQJ17" s="37"/>
      <c r="QQK17" s="37"/>
      <c r="QQL17" s="37"/>
      <c r="QQM17" s="37"/>
      <c r="QQN17" s="37"/>
      <c r="QQO17" s="37"/>
      <c r="QQP17" s="37"/>
      <c r="QQQ17" s="37"/>
      <c r="QQR17" s="37"/>
      <c r="QQS17" s="37"/>
      <c r="QQT17" s="37"/>
      <c r="QQU17" s="37"/>
      <c r="QQV17" s="37"/>
      <c r="QQW17" s="37"/>
      <c r="QQX17" s="37"/>
      <c r="QQY17" s="37"/>
      <c r="QQZ17" s="37"/>
      <c r="QRA17" s="37"/>
      <c r="QRB17" s="37"/>
      <c r="QRC17" s="37"/>
      <c r="QRD17" s="37"/>
      <c r="QRE17" s="37"/>
      <c r="QRF17" s="37"/>
      <c r="QRG17" s="37"/>
      <c r="QRH17" s="37"/>
      <c r="QRI17" s="37"/>
      <c r="QRJ17" s="37"/>
      <c r="QRK17" s="37"/>
      <c r="QRL17" s="37"/>
      <c r="QRM17" s="37"/>
      <c r="QRN17" s="37"/>
      <c r="QRO17" s="37"/>
      <c r="QRP17" s="37"/>
      <c r="QRQ17" s="37"/>
      <c r="QRR17" s="37"/>
      <c r="QRS17" s="37"/>
      <c r="QRT17" s="37"/>
      <c r="QRU17" s="37"/>
      <c r="QRV17" s="37"/>
      <c r="QRW17" s="37"/>
      <c r="QRX17" s="37"/>
      <c r="QRY17" s="37"/>
      <c r="QRZ17" s="37"/>
      <c r="QSA17" s="37"/>
      <c r="QSB17" s="37"/>
      <c r="QSC17" s="37"/>
      <c r="QSD17" s="37"/>
      <c r="QSE17" s="37"/>
      <c r="QSF17" s="37"/>
      <c r="QSG17" s="37"/>
      <c r="QSH17" s="37"/>
      <c r="QSI17" s="37"/>
      <c r="QSJ17" s="37"/>
      <c r="QSK17" s="37"/>
      <c r="QSL17" s="37"/>
      <c r="QSM17" s="37"/>
      <c r="QSN17" s="37"/>
      <c r="QSO17" s="37"/>
      <c r="QSP17" s="37"/>
      <c r="QSQ17" s="37"/>
      <c r="QSR17" s="37"/>
      <c r="QSS17" s="37"/>
      <c r="QST17" s="37"/>
      <c r="QSU17" s="37"/>
      <c r="QSV17" s="37"/>
      <c r="QSW17" s="37"/>
      <c r="QSX17" s="37"/>
      <c r="QSY17" s="37"/>
      <c r="QSZ17" s="37"/>
      <c r="QTA17" s="37"/>
      <c r="QTB17" s="37"/>
      <c r="QTC17" s="37"/>
      <c r="QTD17" s="37"/>
      <c r="QTE17" s="37"/>
      <c r="QTF17" s="37"/>
      <c r="QTG17" s="37"/>
      <c r="QTH17" s="37"/>
      <c r="QTI17" s="37"/>
      <c r="QTJ17" s="37"/>
      <c r="QTK17" s="37"/>
      <c r="QTL17" s="37"/>
      <c r="QTM17" s="37"/>
      <c r="QTN17" s="37"/>
      <c r="QTO17" s="37"/>
      <c r="QTP17" s="37"/>
      <c r="QTQ17" s="37"/>
      <c r="QTR17" s="37"/>
      <c r="QTS17" s="37"/>
      <c r="QTT17" s="37"/>
      <c r="QTU17" s="37"/>
      <c r="QTV17" s="37"/>
      <c r="QTW17" s="37"/>
      <c r="QTX17" s="37"/>
      <c r="QTY17" s="37"/>
      <c r="QTZ17" s="37"/>
      <c r="QUA17" s="37"/>
      <c r="QUB17" s="37"/>
      <c r="QUC17" s="37"/>
      <c r="QUD17" s="37"/>
      <c r="QUE17" s="37"/>
      <c r="QUF17" s="37"/>
      <c r="QUG17" s="37"/>
      <c r="QUH17" s="37"/>
      <c r="QUI17" s="37"/>
      <c r="QUJ17" s="37"/>
      <c r="QUK17" s="37"/>
      <c r="QUL17" s="37"/>
      <c r="QUM17" s="37"/>
      <c r="QUN17" s="37"/>
      <c r="QUO17" s="37"/>
      <c r="QUP17" s="37"/>
      <c r="QUQ17" s="37"/>
      <c r="QUR17" s="37"/>
      <c r="QUS17" s="37"/>
      <c r="QUT17" s="37"/>
      <c r="QUU17" s="37"/>
      <c r="QUV17" s="37"/>
      <c r="QUW17" s="37"/>
      <c r="QUX17" s="37"/>
      <c r="QUY17" s="37"/>
      <c r="QUZ17" s="37"/>
      <c r="QVA17" s="37"/>
      <c r="QVB17" s="37"/>
      <c r="QVC17" s="37"/>
      <c r="QVD17" s="37"/>
      <c r="QVE17" s="37"/>
      <c r="QVF17" s="37"/>
      <c r="QVG17" s="37"/>
      <c r="QVH17" s="37"/>
      <c r="QVI17" s="37"/>
      <c r="QVJ17" s="37"/>
      <c r="QVK17" s="37"/>
      <c r="QVL17" s="37"/>
      <c r="QVM17" s="37"/>
      <c r="QVN17" s="37"/>
      <c r="QVO17" s="37"/>
      <c r="QVP17" s="37"/>
      <c r="QVQ17" s="37"/>
      <c r="QVR17" s="37"/>
      <c r="QVS17" s="37"/>
      <c r="QVT17" s="37"/>
      <c r="QVU17" s="37"/>
      <c r="QVV17" s="37"/>
      <c r="QVW17" s="37"/>
      <c r="QVX17" s="37"/>
      <c r="QVY17" s="37"/>
      <c r="QVZ17" s="37"/>
      <c r="QWA17" s="37"/>
      <c r="QWB17" s="37"/>
      <c r="QWC17" s="37"/>
      <c r="QWD17" s="37"/>
      <c r="QWE17" s="37"/>
      <c r="QWF17" s="37"/>
      <c r="QWG17" s="37"/>
      <c r="QWH17" s="37"/>
      <c r="QWI17" s="37"/>
      <c r="QWJ17" s="37"/>
      <c r="QWK17" s="37"/>
      <c r="QWL17" s="37"/>
      <c r="QWM17" s="37"/>
      <c r="QWN17" s="37"/>
      <c r="QWO17" s="37"/>
      <c r="QWP17" s="37"/>
      <c r="QWQ17" s="37"/>
      <c r="QWR17" s="37"/>
      <c r="QWS17" s="37"/>
      <c r="QWT17" s="37"/>
      <c r="QWU17" s="37"/>
      <c r="QWV17" s="37"/>
      <c r="QWW17" s="37"/>
      <c r="QWX17" s="37"/>
      <c r="QWY17" s="37"/>
      <c r="QWZ17" s="37"/>
      <c r="QXA17" s="37"/>
      <c r="QXB17" s="37"/>
      <c r="QXC17" s="37"/>
      <c r="QXD17" s="37"/>
      <c r="QXE17" s="37"/>
      <c r="QXF17" s="37"/>
      <c r="QXG17" s="37"/>
      <c r="QXH17" s="37"/>
      <c r="QXI17" s="37"/>
      <c r="QXJ17" s="37"/>
      <c r="QXK17" s="37"/>
      <c r="QXL17" s="37"/>
      <c r="QXM17" s="37"/>
      <c r="QXN17" s="37"/>
      <c r="QXO17" s="37"/>
      <c r="QXP17" s="37"/>
      <c r="QXQ17" s="37"/>
      <c r="QXR17" s="37"/>
      <c r="QXS17" s="37"/>
      <c r="QXT17" s="37"/>
      <c r="QXU17" s="37"/>
      <c r="QXV17" s="37"/>
      <c r="QXW17" s="37"/>
      <c r="QXX17" s="37"/>
      <c r="QXY17" s="37"/>
      <c r="QXZ17" s="37"/>
      <c r="QYA17" s="37"/>
      <c r="QYB17" s="37"/>
      <c r="QYC17" s="37"/>
      <c r="QYD17" s="37"/>
      <c r="QYE17" s="37"/>
      <c r="QYF17" s="37"/>
      <c r="QYG17" s="37"/>
      <c r="QYH17" s="37"/>
      <c r="QYI17" s="37"/>
      <c r="QYJ17" s="37"/>
      <c r="QYK17" s="37"/>
      <c r="QYL17" s="37"/>
      <c r="QYM17" s="37"/>
      <c r="QYN17" s="37"/>
      <c r="QYO17" s="37"/>
      <c r="QYP17" s="37"/>
      <c r="QYQ17" s="37"/>
      <c r="QYR17" s="37"/>
      <c r="QYS17" s="37"/>
      <c r="QYT17" s="37"/>
      <c r="QYU17" s="37"/>
      <c r="QYV17" s="37"/>
      <c r="QYW17" s="37"/>
      <c r="QYX17" s="37"/>
      <c r="QYY17" s="37"/>
      <c r="QYZ17" s="37"/>
      <c r="QZA17" s="37"/>
      <c r="QZB17" s="37"/>
      <c r="QZC17" s="37"/>
      <c r="QZD17" s="37"/>
      <c r="QZE17" s="37"/>
      <c r="QZF17" s="37"/>
      <c r="QZG17" s="37"/>
      <c r="QZH17" s="37"/>
      <c r="QZI17" s="37"/>
      <c r="QZJ17" s="37"/>
      <c r="QZK17" s="37"/>
      <c r="QZL17" s="37"/>
      <c r="QZM17" s="37"/>
      <c r="QZN17" s="37"/>
      <c r="QZO17" s="37"/>
      <c r="QZP17" s="37"/>
      <c r="QZQ17" s="37"/>
      <c r="QZR17" s="37"/>
      <c r="QZS17" s="37"/>
      <c r="QZT17" s="37"/>
      <c r="QZU17" s="37"/>
      <c r="QZV17" s="37"/>
      <c r="QZW17" s="37"/>
      <c r="QZX17" s="37"/>
      <c r="QZY17" s="37"/>
      <c r="QZZ17" s="37"/>
      <c r="RAA17" s="37"/>
      <c r="RAB17" s="37"/>
      <c r="RAC17" s="37"/>
      <c r="RAD17" s="37"/>
      <c r="RAE17" s="37"/>
      <c r="RAF17" s="37"/>
      <c r="RAG17" s="37"/>
      <c r="RAH17" s="37"/>
      <c r="RAI17" s="37"/>
      <c r="RAJ17" s="37"/>
      <c r="RAK17" s="37"/>
      <c r="RAL17" s="37"/>
      <c r="RAM17" s="37"/>
      <c r="RAN17" s="37"/>
      <c r="RAO17" s="37"/>
      <c r="RAP17" s="37"/>
      <c r="RAQ17" s="37"/>
      <c r="RAR17" s="37"/>
      <c r="RAS17" s="37"/>
      <c r="RAT17" s="37"/>
      <c r="RAU17" s="37"/>
      <c r="RAV17" s="37"/>
      <c r="RAW17" s="37"/>
      <c r="RAX17" s="37"/>
      <c r="RAY17" s="37"/>
      <c r="RAZ17" s="37"/>
      <c r="RBA17" s="37"/>
      <c r="RBB17" s="37"/>
      <c r="RBC17" s="37"/>
      <c r="RBD17" s="37"/>
      <c r="RBE17" s="37"/>
      <c r="RBF17" s="37"/>
      <c r="RBG17" s="37"/>
      <c r="RBH17" s="37"/>
      <c r="RBI17" s="37"/>
      <c r="RBJ17" s="37"/>
      <c r="RBK17" s="37"/>
      <c r="RBL17" s="37"/>
      <c r="RBM17" s="37"/>
      <c r="RBN17" s="37"/>
      <c r="RBO17" s="37"/>
      <c r="RBP17" s="37"/>
      <c r="RBQ17" s="37"/>
      <c r="RBR17" s="37"/>
      <c r="RBS17" s="37"/>
      <c r="RBT17" s="37"/>
      <c r="RBU17" s="37"/>
      <c r="RBV17" s="37"/>
      <c r="RBW17" s="37"/>
      <c r="RBX17" s="37"/>
      <c r="RBY17" s="37"/>
      <c r="RBZ17" s="37"/>
      <c r="RCA17" s="37"/>
      <c r="RCB17" s="37"/>
      <c r="RCC17" s="37"/>
      <c r="RCD17" s="37"/>
      <c r="RCE17" s="37"/>
      <c r="RCF17" s="37"/>
      <c r="RCG17" s="37"/>
      <c r="RCH17" s="37"/>
      <c r="RCI17" s="37"/>
      <c r="RCJ17" s="37"/>
      <c r="RCK17" s="37"/>
      <c r="RCL17" s="37"/>
      <c r="RCM17" s="37"/>
      <c r="RCN17" s="37"/>
      <c r="RCO17" s="37"/>
      <c r="RCP17" s="37"/>
      <c r="RCQ17" s="37"/>
      <c r="RCR17" s="37"/>
      <c r="RCS17" s="37"/>
      <c r="RCT17" s="37"/>
      <c r="RCU17" s="37"/>
      <c r="RCV17" s="37"/>
      <c r="RCW17" s="37"/>
      <c r="RCX17" s="37"/>
      <c r="RCY17" s="37"/>
      <c r="RCZ17" s="37"/>
      <c r="RDA17" s="37"/>
      <c r="RDB17" s="37"/>
      <c r="RDC17" s="37"/>
      <c r="RDD17" s="37"/>
      <c r="RDE17" s="37"/>
      <c r="RDF17" s="37"/>
      <c r="RDG17" s="37"/>
      <c r="RDH17" s="37"/>
      <c r="RDI17" s="37"/>
      <c r="RDJ17" s="37"/>
      <c r="RDK17" s="37"/>
      <c r="RDL17" s="37"/>
      <c r="RDM17" s="37"/>
      <c r="RDN17" s="37"/>
      <c r="RDO17" s="37"/>
      <c r="RDP17" s="37"/>
      <c r="RDQ17" s="37"/>
      <c r="RDR17" s="37"/>
      <c r="RDS17" s="37"/>
      <c r="RDT17" s="37"/>
      <c r="RDU17" s="37"/>
      <c r="RDV17" s="37"/>
      <c r="RDW17" s="37"/>
      <c r="RDX17" s="37"/>
      <c r="RDY17" s="37"/>
      <c r="RDZ17" s="37"/>
      <c r="REA17" s="37"/>
      <c r="REB17" s="37"/>
      <c r="REC17" s="37"/>
      <c r="RED17" s="37"/>
      <c r="REE17" s="37"/>
      <c r="REF17" s="37"/>
      <c r="REG17" s="37"/>
      <c r="REH17" s="37"/>
      <c r="REI17" s="37"/>
      <c r="REJ17" s="37"/>
      <c r="REK17" s="37"/>
      <c r="REL17" s="37"/>
      <c r="REM17" s="37"/>
      <c r="REN17" s="37"/>
      <c r="REO17" s="37"/>
      <c r="REP17" s="37"/>
      <c r="REQ17" s="37"/>
      <c r="RER17" s="37"/>
      <c r="RES17" s="37"/>
      <c r="RET17" s="37"/>
      <c r="REU17" s="37"/>
      <c r="REV17" s="37"/>
      <c r="REW17" s="37"/>
      <c r="REX17" s="37"/>
      <c r="REY17" s="37"/>
      <c r="REZ17" s="37"/>
      <c r="RFA17" s="37"/>
      <c r="RFB17" s="37"/>
      <c r="RFC17" s="37"/>
      <c r="RFD17" s="37"/>
      <c r="RFE17" s="37"/>
      <c r="RFF17" s="37"/>
      <c r="RFG17" s="37"/>
      <c r="RFH17" s="37"/>
      <c r="RFI17" s="37"/>
      <c r="RFJ17" s="37"/>
      <c r="RFK17" s="37"/>
      <c r="RFL17" s="37"/>
      <c r="RFM17" s="37"/>
      <c r="RFN17" s="37"/>
      <c r="RFO17" s="37"/>
      <c r="RFP17" s="37"/>
      <c r="RFQ17" s="37"/>
      <c r="RFR17" s="37"/>
      <c r="RFS17" s="37"/>
      <c r="RFT17" s="37"/>
      <c r="RFU17" s="37"/>
      <c r="RFV17" s="37"/>
      <c r="RFW17" s="37"/>
      <c r="RFX17" s="37"/>
      <c r="RFY17" s="37"/>
      <c r="RFZ17" s="37"/>
      <c r="RGA17" s="37"/>
      <c r="RGB17" s="37"/>
      <c r="RGC17" s="37"/>
      <c r="RGD17" s="37"/>
      <c r="RGE17" s="37"/>
      <c r="RGF17" s="37"/>
      <c r="RGG17" s="37"/>
      <c r="RGH17" s="37"/>
      <c r="RGI17" s="37"/>
      <c r="RGJ17" s="37"/>
      <c r="RGK17" s="37"/>
      <c r="RGL17" s="37"/>
      <c r="RGM17" s="37"/>
      <c r="RGN17" s="37"/>
      <c r="RGO17" s="37"/>
      <c r="RGP17" s="37"/>
      <c r="RGQ17" s="37"/>
      <c r="RGR17" s="37"/>
      <c r="RGS17" s="37"/>
      <c r="RGT17" s="37"/>
      <c r="RGU17" s="37"/>
      <c r="RGV17" s="37"/>
      <c r="RGW17" s="37"/>
      <c r="RGX17" s="37"/>
      <c r="RGY17" s="37"/>
      <c r="RGZ17" s="37"/>
      <c r="RHA17" s="37"/>
      <c r="RHB17" s="37"/>
      <c r="RHC17" s="37"/>
      <c r="RHD17" s="37"/>
      <c r="RHE17" s="37"/>
      <c r="RHF17" s="37"/>
      <c r="RHG17" s="37"/>
      <c r="RHH17" s="37"/>
      <c r="RHI17" s="37"/>
      <c r="RHJ17" s="37"/>
      <c r="RHK17" s="37"/>
      <c r="RHL17" s="37"/>
      <c r="RHM17" s="37"/>
      <c r="RHN17" s="37"/>
      <c r="RHO17" s="37"/>
      <c r="RHP17" s="37"/>
      <c r="RHQ17" s="37"/>
      <c r="RHR17" s="37"/>
      <c r="RHS17" s="37"/>
      <c r="RHT17" s="37"/>
      <c r="RHU17" s="37"/>
      <c r="RHV17" s="37"/>
      <c r="RHW17" s="37"/>
      <c r="RHX17" s="37"/>
      <c r="RHY17" s="37"/>
      <c r="RHZ17" s="37"/>
      <c r="RIA17" s="37"/>
      <c r="RIB17" s="37"/>
      <c r="RIC17" s="37"/>
      <c r="RID17" s="37"/>
      <c r="RIE17" s="37"/>
      <c r="RIF17" s="37"/>
      <c r="RIG17" s="37"/>
      <c r="RIH17" s="37"/>
      <c r="RII17" s="37"/>
      <c r="RIJ17" s="37"/>
      <c r="RIK17" s="37"/>
      <c r="RIL17" s="37"/>
      <c r="RIM17" s="37"/>
      <c r="RIN17" s="37"/>
      <c r="RIO17" s="37"/>
      <c r="RIP17" s="37"/>
      <c r="RIQ17" s="37"/>
      <c r="RIR17" s="37"/>
      <c r="RIS17" s="37"/>
      <c r="RIT17" s="37"/>
      <c r="RIU17" s="37"/>
      <c r="RIV17" s="37"/>
      <c r="RIW17" s="37"/>
      <c r="RIX17" s="37"/>
      <c r="RIY17" s="37"/>
      <c r="RIZ17" s="37"/>
      <c r="RJA17" s="37"/>
      <c r="RJB17" s="37"/>
      <c r="RJC17" s="37"/>
      <c r="RJD17" s="37"/>
      <c r="RJE17" s="37"/>
      <c r="RJF17" s="37"/>
      <c r="RJG17" s="37"/>
      <c r="RJH17" s="37"/>
      <c r="RJI17" s="37"/>
      <c r="RJJ17" s="37"/>
      <c r="RJK17" s="37"/>
      <c r="RJL17" s="37"/>
      <c r="RJM17" s="37"/>
      <c r="RJN17" s="37"/>
      <c r="RJO17" s="37"/>
      <c r="RJP17" s="37"/>
      <c r="RJQ17" s="37"/>
      <c r="RJR17" s="37"/>
      <c r="RJS17" s="37"/>
      <c r="RJT17" s="37"/>
      <c r="RJU17" s="37"/>
      <c r="RJV17" s="37"/>
      <c r="RJW17" s="37"/>
      <c r="RJX17" s="37"/>
      <c r="RJY17" s="37"/>
      <c r="RJZ17" s="37"/>
      <c r="RKA17" s="37"/>
      <c r="RKB17" s="37"/>
      <c r="RKC17" s="37"/>
      <c r="RKD17" s="37"/>
      <c r="RKE17" s="37"/>
      <c r="RKF17" s="37"/>
      <c r="RKG17" s="37"/>
      <c r="RKH17" s="37"/>
      <c r="RKI17" s="37"/>
      <c r="RKJ17" s="37"/>
      <c r="RKK17" s="37"/>
      <c r="RKL17" s="37"/>
      <c r="RKM17" s="37"/>
      <c r="RKN17" s="37"/>
      <c r="RKO17" s="37"/>
      <c r="RKP17" s="37"/>
      <c r="RKQ17" s="37"/>
      <c r="RKR17" s="37"/>
      <c r="RKS17" s="37"/>
      <c r="RKT17" s="37"/>
      <c r="RKU17" s="37"/>
      <c r="RKV17" s="37"/>
      <c r="RKW17" s="37"/>
      <c r="RKX17" s="37"/>
      <c r="RKY17" s="37"/>
      <c r="RKZ17" s="37"/>
      <c r="RLA17" s="37"/>
      <c r="RLB17" s="37"/>
      <c r="RLC17" s="37"/>
      <c r="RLD17" s="37"/>
      <c r="RLE17" s="37"/>
      <c r="RLF17" s="37"/>
      <c r="RLG17" s="37"/>
      <c r="RLH17" s="37"/>
      <c r="RLI17" s="37"/>
      <c r="RLJ17" s="37"/>
      <c r="RLK17" s="37"/>
      <c r="RLL17" s="37"/>
      <c r="RLM17" s="37"/>
      <c r="RLN17" s="37"/>
      <c r="RLO17" s="37"/>
      <c r="RLP17" s="37"/>
      <c r="RLQ17" s="37"/>
      <c r="RLR17" s="37"/>
      <c r="RLS17" s="37"/>
      <c r="RLT17" s="37"/>
      <c r="RLU17" s="37"/>
      <c r="RLV17" s="37"/>
      <c r="RLW17" s="37"/>
      <c r="RLX17" s="37"/>
      <c r="RLY17" s="37"/>
      <c r="RLZ17" s="37"/>
      <c r="RMA17" s="37"/>
      <c r="RMB17" s="37"/>
      <c r="RMC17" s="37"/>
      <c r="RMD17" s="37"/>
      <c r="RME17" s="37"/>
      <c r="RMF17" s="37"/>
      <c r="RMG17" s="37"/>
      <c r="RMH17" s="37"/>
      <c r="RMI17" s="37"/>
      <c r="RMJ17" s="37"/>
      <c r="RMK17" s="37"/>
      <c r="RML17" s="37"/>
      <c r="RMM17" s="37"/>
      <c r="RMN17" s="37"/>
      <c r="RMO17" s="37"/>
      <c r="RMP17" s="37"/>
      <c r="RMQ17" s="37"/>
      <c r="RMR17" s="37"/>
      <c r="RMS17" s="37"/>
      <c r="RMT17" s="37"/>
      <c r="RMU17" s="37"/>
      <c r="RMV17" s="37"/>
      <c r="RMW17" s="37"/>
      <c r="RMX17" s="37"/>
      <c r="RMY17" s="37"/>
      <c r="RMZ17" s="37"/>
      <c r="RNA17" s="37"/>
      <c r="RNB17" s="37"/>
      <c r="RNC17" s="37"/>
      <c r="RND17" s="37"/>
      <c r="RNE17" s="37"/>
      <c r="RNF17" s="37"/>
      <c r="RNG17" s="37"/>
      <c r="RNH17" s="37"/>
      <c r="RNI17" s="37"/>
      <c r="RNJ17" s="37"/>
      <c r="RNK17" s="37"/>
      <c r="RNL17" s="37"/>
      <c r="RNM17" s="37"/>
      <c r="RNN17" s="37"/>
      <c r="RNO17" s="37"/>
      <c r="RNP17" s="37"/>
      <c r="RNQ17" s="37"/>
      <c r="RNR17" s="37"/>
      <c r="RNS17" s="37"/>
      <c r="RNT17" s="37"/>
      <c r="RNU17" s="37"/>
      <c r="RNV17" s="37"/>
      <c r="RNW17" s="37"/>
      <c r="RNX17" s="37"/>
      <c r="RNY17" s="37"/>
      <c r="RNZ17" s="37"/>
      <c r="ROA17" s="37"/>
      <c r="ROB17" s="37"/>
      <c r="ROC17" s="37"/>
      <c r="ROD17" s="37"/>
      <c r="ROE17" s="37"/>
      <c r="ROF17" s="37"/>
      <c r="ROG17" s="37"/>
      <c r="ROH17" s="37"/>
      <c r="ROI17" s="37"/>
      <c r="ROJ17" s="37"/>
      <c r="ROK17" s="37"/>
      <c r="ROL17" s="37"/>
      <c r="ROM17" s="37"/>
      <c r="RON17" s="37"/>
      <c r="ROO17" s="37"/>
      <c r="ROP17" s="37"/>
      <c r="ROQ17" s="37"/>
      <c r="ROR17" s="37"/>
      <c r="ROS17" s="37"/>
      <c r="ROT17" s="37"/>
      <c r="ROU17" s="37"/>
      <c r="ROV17" s="37"/>
      <c r="ROW17" s="37"/>
      <c r="ROX17" s="37"/>
      <c r="ROY17" s="37"/>
      <c r="ROZ17" s="37"/>
      <c r="RPA17" s="37"/>
      <c r="RPB17" s="37"/>
      <c r="RPC17" s="37"/>
      <c r="RPD17" s="37"/>
      <c r="RPE17" s="37"/>
      <c r="RPF17" s="37"/>
      <c r="RPG17" s="37"/>
      <c r="RPH17" s="37"/>
      <c r="RPI17" s="37"/>
      <c r="RPJ17" s="37"/>
      <c r="RPK17" s="37"/>
      <c r="RPL17" s="37"/>
      <c r="RPM17" s="37"/>
      <c r="RPN17" s="37"/>
      <c r="RPO17" s="37"/>
      <c r="RPP17" s="37"/>
      <c r="RPQ17" s="37"/>
      <c r="RPR17" s="37"/>
      <c r="RPS17" s="37"/>
      <c r="RPT17" s="37"/>
      <c r="RPU17" s="37"/>
      <c r="RPV17" s="37"/>
      <c r="RPW17" s="37"/>
      <c r="RPX17" s="37"/>
      <c r="RPY17" s="37"/>
      <c r="RPZ17" s="37"/>
      <c r="RQA17" s="37"/>
      <c r="RQB17" s="37"/>
      <c r="RQC17" s="37"/>
      <c r="RQD17" s="37"/>
      <c r="RQE17" s="37"/>
      <c r="RQF17" s="37"/>
      <c r="RQG17" s="37"/>
      <c r="RQH17" s="37"/>
      <c r="RQI17" s="37"/>
      <c r="RQJ17" s="37"/>
      <c r="RQK17" s="37"/>
      <c r="RQL17" s="37"/>
      <c r="RQM17" s="37"/>
      <c r="RQN17" s="37"/>
      <c r="RQO17" s="37"/>
      <c r="RQP17" s="37"/>
      <c r="RQQ17" s="37"/>
      <c r="RQR17" s="37"/>
      <c r="RQS17" s="37"/>
      <c r="RQT17" s="37"/>
      <c r="RQU17" s="37"/>
      <c r="RQV17" s="37"/>
      <c r="RQW17" s="37"/>
      <c r="RQX17" s="37"/>
      <c r="RQY17" s="37"/>
      <c r="RQZ17" s="37"/>
      <c r="RRA17" s="37"/>
      <c r="RRB17" s="37"/>
      <c r="RRC17" s="37"/>
      <c r="RRD17" s="37"/>
      <c r="RRE17" s="37"/>
      <c r="RRF17" s="37"/>
      <c r="RRG17" s="37"/>
      <c r="RRH17" s="37"/>
      <c r="RRI17" s="37"/>
      <c r="RRJ17" s="37"/>
      <c r="RRK17" s="37"/>
      <c r="RRL17" s="37"/>
      <c r="RRM17" s="37"/>
      <c r="RRN17" s="37"/>
      <c r="RRO17" s="37"/>
      <c r="RRP17" s="37"/>
      <c r="RRQ17" s="37"/>
      <c r="RRR17" s="37"/>
      <c r="RRS17" s="37"/>
      <c r="RRT17" s="37"/>
      <c r="RRU17" s="37"/>
      <c r="RRV17" s="37"/>
      <c r="RRW17" s="37"/>
      <c r="RRX17" s="37"/>
      <c r="RRY17" s="37"/>
      <c r="RRZ17" s="37"/>
      <c r="RSA17" s="37"/>
      <c r="RSB17" s="37"/>
      <c r="RSC17" s="37"/>
      <c r="RSD17" s="37"/>
      <c r="RSE17" s="37"/>
      <c r="RSF17" s="37"/>
      <c r="RSG17" s="37"/>
      <c r="RSH17" s="37"/>
      <c r="RSI17" s="37"/>
      <c r="RSJ17" s="37"/>
      <c r="RSK17" s="37"/>
      <c r="RSL17" s="37"/>
      <c r="RSM17" s="37"/>
      <c r="RSN17" s="37"/>
      <c r="RSO17" s="37"/>
      <c r="RSP17" s="37"/>
      <c r="RSQ17" s="37"/>
      <c r="RSR17" s="37"/>
      <c r="RSS17" s="37"/>
      <c r="RST17" s="37"/>
      <c r="RSU17" s="37"/>
      <c r="RSV17" s="37"/>
      <c r="RSW17" s="37"/>
      <c r="RSX17" s="37"/>
      <c r="RSY17" s="37"/>
      <c r="RSZ17" s="37"/>
      <c r="RTA17" s="37"/>
      <c r="RTB17" s="37"/>
      <c r="RTC17" s="37"/>
      <c r="RTD17" s="37"/>
      <c r="RTE17" s="37"/>
      <c r="RTF17" s="37"/>
      <c r="RTG17" s="37"/>
      <c r="RTH17" s="37"/>
      <c r="RTI17" s="37"/>
      <c r="RTJ17" s="37"/>
      <c r="RTK17" s="37"/>
      <c r="RTL17" s="37"/>
      <c r="RTM17" s="37"/>
      <c r="RTN17" s="37"/>
      <c r="RTO17" s="37"/>
      <c r="RTP17" s="37"/>
      <c r="RTQ17" s="37"/>
      <c r="RTR17" s="37"/>
      <c r="RTS17" s="37"/>
      <c r="RTT17" s="37"/>
      <c r="RTU17" s="37"/>
      <c r="RTV17" s="37"/>
      <c r="RTW17" s="37"/>
      <c r="RTX17" s="37"/>
      <c r="RTY17" s="37"/>
      <c r="RTZ17" s="37"/>
      <c r="RUA17" s="37"/>
      <c r="RUB17" s="37"/>
      <c r="RUC17" s="37"/>
      <c r="RUD17" s="37"/>
      <c r="RUE17" s="37"/>
      <c r="RUF17" s="37"/>
      <c r="RUG17" s="37"/>
      <c r="RUH17" s="37"/>
      <c r="RUI17" s="37"/>
      <c r="RUJ17" s="37"/>
      <c r="RUK17" s="37"/>
      <c r="RUL17" s="37"/>
      <c r="RUM17" s="37"/>
      <c r="RUN17" s="37"/>
      <c r="RUO17" s="37"/>
      <c r="RUP17" s="37"/>
      <c r="RUQ17" s="37"/>
      <c r="RUR17" s="37"/>
      <c r="RUS17" s="37"/>
      <c r="RUT17" s="37"/>
      <c r="RUU17" s="37"/>
      <c r="RUV17" s="37"/>
      <c r="RUW17" s="37"/>
      <c r="RUX17" s="37"/>
      <c r="RUY17" s="37"/>
      <c r="RUZ17" s="37"/>
      <c r="RVA17" s="37"/>
      <c r="RVB17" s="37"/>
      <c r="RVC17" s="37"/>
      <c r="RVD17" s="37"/>
      <c r="RVE17" s="37"/>
      <c r="RVF17" s="37"/>
      <c r="RVG17" s="37"/>
      <c r="RVH17" s="37"/>
      <c r="RVI17" s="37"/>
      <c r="RVJ17" s="37"/>
      <c r="RVK17" s="37"/>
      <c r="RVL17" s="37"/>
      <c r="RVM17" s="37"/>
      <c r="RVN17" s="37"/>
      <c r="RVO17" s="37"/>
      <c r="RVP17" s="37"/>
      <c r="RVQ17" s="37"/>
      <c r="RVR17" s="37"/>
      <c r="RVS17" s="37"/>
      <c r="RVT17" s="37"/>
      <c r="RVU17" s="37"/>
      <c r="RVV17" s="37"/>
      <c r="RVW17" s="37"/>
      <c r="RVX17" s="37"/>
      <c r="RVY17" s="37"/>
      <c r="RVZ17" s="37"/>
      <c r="RWA17" s="37"/>
      <c r="RWB17" s="37"/>
      <c r="RWC17" s="37"/>
      <c r="RWD17" s="37"/>
      <c r="RWE17" s="37"/>
      <c r="RWF17" s="37"/>
      <c r="RWG17" s="37"/>
      <c r="RWH17" s="37"/>
      <c r="RWI17" s="37"/>
      <c r="RWJ17" s="37"/>
      <c r="RWK17" s="37"/>
      <c r="RWL17" s="37"/>
      <c r="RWM17" s="37"/>
      <c r="RWN17" s="37"/>
      <c r="RWO17" s="37"/>
      <c r="RWP17" s="37"/>
      <c r="RWQ17" s="37"/>
      <c r="RWR17" s="37"/>
      <c r="RWS17" s="37"/>
      <c r="RWT17" s="37"/>
      <c r="RWU17" s="37"/>
      <c r="RWV17" s="37"/>
      <c r="RWW17" s="37"/>
      <c r="RWX17" s="37"/>
      <c r="RWY17" s="37"/>
      <c r="RWZ17" s="37"/>
      <c r="RXA17" s="37"/>
      <c r="RXB17" s="37"/>
      <c r="RXC17" s="37"/>
      <c r="RXD17" s="37"/>
      <c r="RXE17" s="37"/>
      <c r="RXF17" s="37"/>
      <c r="RXG17" s="37"/>
      <c r="RXH17" s="37"/>
      <c r="RXI17" s="37"/>
      <c r="RXJ17" s="37"/>
      <c r="RXK17" s="37"/>
      <c r="RXL17" s="37"/>
      <c r="RXM17" s="37"/>
      <c r="RXN17" s="37"/>
      <c r="RXO17" s="37"/>
      <c r="RXP17" s="37"/>
      <c r="RXQ17" s="37"/>
      <c r="RXR17" s="37"/>
      <c r="RXS17" s="37"/>
      <c r="RXT17" s="37"/>
      <c r="RXU17" s="37"/>
      <c r="RXV17" s="37"/>
      <c r="RXW17" s="37"/>
      <c r="RXX17" s="37"/>
      <c r="RXY17" s="37"/>
      <c r="RXZ17" s="37"/>
      <c r="RYA17" s="37"/>
      <c r="RYB17" s="37"/>
      <c r="RYC17" s="37"/>
      <c r="RYD17" s="37"/>
      <c r="RYE17" s="37"/>
      <c r="RYF17" s="37"/>
      <c r="RYG17" s="37"/>
      <c r="RYH17" s="37"/>
      <c r="RYI17" s="37"/>
      <c r="RYJ17" s="37"/>
      <c r="RYK17" s="37"/>
      <c r="RYL17" s="37"/>
      <c r="RYM17" s="37"/>
      <c r="RYN17" s="37"/>
      <c r="RYO17" s="37"/>
      <c r="RYP17" s="37"/>
      <c r="RYQ17" s="37"/>
      <c r="RYR17" s="37"/>
      <c r="RYS17" s="37"/>
      <c r="RYT17" s="37"/>
      <c r="RYU17" s="37"/>
      <c r="RYV17" s="37"/>
      <c r="RYW17" s="37"/>
      <c r="RYX17" s="37"/>
      <c r="RYY17" s="37"/>
      <c r="RYZ17" s="37"/>
      <c r="RZA17" s="37"/>
      <c r="RZB17" s="37"/>
      <c r="RZC17" s="37"/>
      <c r="RZD17" s="37"/>
      <c r="RZE17" s="37"/>
      <c r="RZF17" s="37"/>
      <c r="RZG17" s="37"/>
      <c r="RZH17" s="37"/>
      <c r="RZI17" s="37"/>
      <c r="RZJ17" s="37"/>
      <c r="RZK17" s="37"/>
      <c r="RZL17" s="37"/>
      <c r="RZM17" s="37"/>
      <c r="RZN17" s="37"/>
      <c r="RZO17" s="37"/>
      <c r="RZP17" s="37"/>
      <c r="RZQ17" s="37"/>
      <c r="RZR17" s="37"/>
      <c r="RZS17" s="37"/>
      <c r="RZT17" s="37"/>
      <c r="RZU17" s="37"/>
      <c r="RZV17" s="37"/>
      <c r="RZW17" s="37"/>
      <c r="RZX17" s="37"/>
      <c r="RZY17" s="37"/>
      <c r="RZZ17" s="37"/>
      <c r="SAA17" s="37"/>
      <c r="SAB17" s="37"/>
      <c r="SAC17" s="37"/>
      <c r="SAD17" s="37"/>
      <c r="SAE17" s="37"/>
      <c r="SAF17" s="37"/>
      <c r="SAG17" s="37"/>
      <c r="SAH17" s="37"/>
      <c r="SAI17" s="37"/>
      <c r="SAJ17" s="37"/>
      <c r="SAK17" s="37"/>
      <c r="SAL17" s="37"/>
      <c r="SAM17" s="37"/>
      <c r="SAN17" s="37"/>
      <c r="SAO17" s="37"/>
      <c r="SAP17" s="37"/>
      <c r="SAQ17" s="37"/>
      <c r="SAR17" s="37"/>
      <c r="SAS17" s="37"/>
      <c r="SAT17" s="37"/>
      <c r="SAU17" s="37"/>
      <c r="SAV17" s="37"/>
      <c r="SAW17" s="37"/>
      <c r="SAX17" s="37"/>
      <c r="SAY17" s="37"/>
      <c r="SAZ17" s="37"/>
      <c r="SBA17" s="37"/>
      <c r="SBB17" s="37"/>
      <c r="SBC17" s="37"/>
      <c r="SBD17" s="37"/>
      <c r="SBE17" s="37"/>
      <c r="SBF17" s="37"/>
      <c r="SBG17" s="37"/>
      <c r="SBH17" s="37"/>
      <c r="SBI17" s="37"/>
      <c r="SBJ17" s="37"/>
      <c r="SBK17" s="37"/>
      <c r="SBL17" s="37"/>
      <c r="SBM17" s="37"/>
      <c r="SBN17" s="37"/>
      <c r="SBO17" s="37"/>
      <c r="SBP17" s="37"/>
      <c r="SBQ17" s="37"/>
      <c r="SBR17" s="37"/>
      <c r="SBS17" s="37"/>
      <c r="SBT17" s="37"/>
      <c r="SBU17" s="37"/>
      <c r="SBV17" s="37"/>
      <c r="SBW17" s="37"/>
      <c r="SBX17" s="37"/>
      <c r="SBY17" s="37"/>
      <c r="SBZ17" s="37"/>
      <c r="SCA17" s="37"/>
      <c r="SCB17" s="37"/>
      <c r="SCC17" s="37"/>
      <c r="SCD17" s="37"/>
      <c r="SCE17" s="37"/>
      <c r="SCF17" s="37"/>
      <c r="SCG17" s="37"/>
      <c r="SCH17" s="37"/>
      <c r="SCI17" s="37"/>
      <c r="SCJ17" s="37"/>
      <c r="SCK17" s="37"/>
      <c r="SCL17" s="37"/>
      <c r="SCM17" s="37"/>
      <c r="SCN17" s="37"/>
      <c r="SCO17" s="37"/>
      <c r="SCP17" s="37"/>
      <c r="SCQ17" s="37"/>
      <c r="SCR17" s="37"/>
      <c r="SCS17" s="37"/>
      <c r="SCT17" s="37"/>
      <c r="SCU17" s="37"/>
      <c r="SCV17" s="37"/>
      <c r="SCW17" s="37"/>
      <c r="SCX17" s="37"/>
      <c r="SCY17" s="37"/>
      <c r="SCZ17" s="37"/>
      <c r="SDA17" s="37"/>
      <c r="SDB17" s="37"/>
      <c r="SDC17" s="37"/>
      <c r="SDD17" s="37"/>
      <c r="SDE17" s="37"/>
      <c r="SDF17" s="37"/>
      <c r="SDG17" s="37"/>
      <c r="SDH17" s="37"/>
      <c r="SDI17" s="37"/>
      <c r="SDJ17" s="37"/>
      <c r="SDK17" s="37"/>
      <c r="SDL17" s="37"/>
      <c r="SDM17" s="37"/>
      <c r="SDN17" s="37"/>
      <c r="SDO17" s="37"/>
      <c r="SDP17" s="37"/>
      <c r="SDQ17" s="37"/>
      <c r="SDR17" s="37"/>
      <c r="SDS17" s="37"/>
      <c r="SDT17" s="37"/>
      <c r="SDU17" s="37"/>
      <c r="SDV17" s="37"/>
      <c r="SDW17" s="37"/>
      <c r="SDX17" s="37"/>
      <c r="SDY17" s="37"/>
      <c r="SDZ17" s="37"/>
      <c r="SEA17" s="37"/>
      <c r="SEB17" s="37"/>
      <c r="SEC17" s="37"/>
      <c r="SED17" s="37"/>
      <c r="SEE17" s="37"/>
      <c r="SEF17" s="37"/>
      <c r="SEG17" s="37"/>
      <c r="SEH17" s="37"/>
      <c r="SEI17" s="37"/>
      <c r="SEJ17" s="37"/>
      <c r="SEK17" s="37"/>
      <c r="SEL17" s="37"/>
      <c r="SEM17" s="37"/>
      <c r="SEN17" s="37"/>
      <c r="SEO17" s="37"/>
      <c r="SEP17" s="37"/>
      <c r="SEQ17" s="37"/>
      <c r="SER17" s="37"/>
      <c r="SES17" s="37"/>
      <c r="SET17" s="37"/>
      <c r="SEU17" s="37"/>
      <c r="SEV17" s="37"/>
      <c r="SEW17" s="37"/>
      <c r="SEX17" s="37"/>
      <c r="SEY17" s="37"/>
      <c r="SEZ17" s="37"/>
      <c r="SFA17" s="37"/>
      <c r="SFB17" s="37"/>
      <c r="SFC17" s="37"/>
      <c r="SFD17" s="37"/>
      <c r="SFE17" s="37"/>
      <c r="SFF17" s="37"/>
      <c r="SFG17" s="37"/>
      <c r="SFH17" s="37"/>
      <c r="SFI17" s="37"/>
      <c r="SFJ17" s="37"/>
      <c r="SFK17" s="37"/>
      <c r="SFL17" s="37"/>
      <c r="SFM17" s="37"/>
      <c r="SFN17" s="37"/>
      <c r="SFO17" s="37"/>
      <c r="SFP17" s="37"/>
      <c r="SFQ17" s="37"/>
      <c r="SFR17" s="37"/>
      <c r="SFS17" s="37"/>
      <c r="SFT17" s="37"/>
      <c r="SFU17" s="37"/>
      <c r="SFV17" s="37"/>
      <c r="SFW17" s="37"/>
      <c r="SFX17" s="37"/>
      <c r="SFY17" s="37"/>
      <c r="SFZ17" s="37"/>
      <c r="SGA17" s="37"/>
      <c r="SGB17" s="37"/>
      <c r="SGC17" s="37"/>
      <c r="SGD17" s="37"/>
      <c r="SGE17" s="37"/>
      <c r="SGF17" s="37"/>
      <c r="SGG17" s="37"/>
      <c r="SGH17" s="37"/>
      <c r="SGI17" s="37"/>
      <c r="SGJ17" s="37"/>
      <c r="SGK17" s="37"/>
      <c r="SGL17" s="37"/>
      <c r="SGM17" s="37"/>
      <c r="SGN17" s="37"/>
      <c r="SGO17" s="37"/>
      <c r="SGP17" s="37"/>
      <c r="SGQ17" s="37"/>
      <c r="SGR17" s="37"/>
      <c r="SGS17" s="37"/>
      <c r="SGT17" s="37"/>
      <c r="SGU17" s="37"/>
      <c r="SGV17" s="37"/>
      <c r="SGW17" s="37"/>
      <c r="SGX17" s="37"/>
      <c r="SGY17" s="37"/>
      <c r="SGZ17" s="37"/>
      <c r="SHA17" s="37"/>
      <c r="SHB17" s="37"/>
      <c r="SHC17" s="37"/>
      <c r="SHD17" s="37"/>
      <c r="SHE17" s="37"/>
      <c r="SHF17" s="37"/>
      <c r="SHG17" s="37"/>
      <c r="SHH17" s="37"/>
      <c r="SHI17" s="37"/>
      <c r="SHJ17" s="37"/>
      <c r="SHK17" s="37"/>
      <c r="SHL17" s="37"/>
      <c r="SHM17" s="37"/>
      <c r="SHN17" s="37"/>
      <c r="SHO17" s="37"/>
      <c r="SHP17" s="37"/>
      <c r="SHQ17" s="37"/>
      <c r="SHR17" s="37"/>
      <c r="SHS17" s="37"/>
      <c r="SHT17" s="37"/>
      <c r="SHU17" s="37"/>
      <c r="SHV17" s="37"/>
      <c r="SHW17" s="37"/>
      <c r="SHX17" s="37"/>
      <c r="SHY17" s="37"/>
      <c r="SHZ17" s="37"/>
      <c r="SIA17" s="37"/>
      <c r="SIB17" s="37"/>
      <c r="SIC17" s="37"/>
      <c r="SID17" s="37"/>
      <c r="SIE17" s="37"/>
      <c r="SIF17" s="37"/>
      <c r="SIG17" s="37"/>
      <c r="SIH17" s="37"/>
      <c r="SII17" s="37"/>
      <c r="SIJ17" s="37"/>
      <c r="SIK17" s="37"/>
      <c r="SIL17" s="37"/>
      <c r="SIM17" s="37"/>
      <c r="SIN17" s="37"/>
      <c r="SIO17" s="37"/>
      <c r="SIP17" s="37"/>
      <c r="SIQ17" s="37"/>
      <c r="SIR17" s="37"/>
      <c r="SIS17" s="37"/>
      <c r="SIT17" s="37"/>
      <c r="SIU17" s="37"/>
      <c r="SIV17" s="37"/>
      <c r="SIW17" s="37"/>
      <c r="SIX17" s="37"/>
      <c r="SIY17" s="37"/>
      <c r="SIZ17" s="37"/>
      <c r="SJA17" s="37"/>
      <c r="SJB17" s="37"/>
      <c r="SJC17" s="37"/>
      <c r="SJD17" s="37"/>
      <c r="SJE17" s="37"/>
      <c r="SJF17" s="37"/>
      <c r="SJG17" s="37"/>
      <c r="SJH17" s="37"/>
      <c r="SJI17" s="37"/>
      <c r="SJJ17" s="37"/>
      <c r="SJK17" s="37"/>
      <c r="SJL17" s="37"/>
      <c r="SJM17" s="37"/>
      <c r="SJN17" s="37"/>
      <c r="SJO17" s="37"/>
      <c r="SJP17" s="37"/>
      <c r="SJQ17" s="37"/>
      <c r="SJR17" s="37"/>
      <c r="SJS17" s="37"/>
      <c r="SJT17" s="37"/>
      <c r="SJU17" s="37"/>
      <c r="SJV17" s="37"/>
      <c r="SJW17" s="37"/>
      <c r="SJX17" s="37"/>
      <c r="SJY17" s="37"/>
      <c r="SJZ17" s="37"/>
      <c r="SKA17" s="37"/>
      <c r="SKB17" s="37"/>
      <c r="SKC17" s="37"/>
      <c r="SKD17" s="37"/>
      <c r="SKE17" s="37"/>
      <c r="SKF17" s="37"/>
      <c r="SKG17" s="37"/>
      <c r="SKH17" s="37"/>
      <c r="SKI17" s="37"/>
      <c r="SKJ17" s="37"/>
      <c r="SKK17" s="37"/>
      <c r="SKL17" s="37"/>
      <c r="SKM17" s="37"/>
      <c r="SKN17" s="37"/>
      <c r="SKO17" s="37"/>
      <c r="SKP17" s="37"/>
      <c r="SKQ17" s="37"/>
      <c r="SKR17" s="37"/>
      <c r="SKS17" s="37"/>
      <c r="SKT17" s="37"/>
      <c r="SKU17" s="37"/>
      <c r="SKV17" s="37"/>
      <c r="SKW17" s="37"/>
      <c r="SKX17" s="37"/>
      <c r="SKY17" s="37"/>
      <c r="SKZ17" s="37"/>
      <c r="SLA17" s="37"/>
      <c r="SLB17" s="37"/>
      <c r="SLC17" s="37"/>
      <c r="SLD17" s="37"/>
      <c r="SLE17" s="37"/>
      <c r="SLF17" s="37"/>
      <c r="SLG17" s="37"/>
      <c r="SLH17" s="37"/>
      <c r="SLI17" s="37"/>
      <c r="SLJ17" s="37"/>
      <c r="SLK17" s="37"/>
      <c r="SLL17" s="37"/>
      <c r="SLM17" s="37"/>
      <c r="SLN17" s="37"/>
      <c r="SLO17" s="37"/>
      <c r="SLP17" s="37"/>
      <c r="SLQ17" s="37"/>
      <c r="SLR17" s="37"/>
      <c r="SLS17" s="37"/>
      <c r="SLT17" s="37"/>
      <c r="SLU17" s="37"/>
      <c r="SLV17" s="37"/>
      <c r="SLW17" s="37"/>
      <c r="SLX17" s="37"/>
      <c r="SLY17" s="37"/>
      <c r="SLZ17" s="37"/>
      <c r="SMA17" s="37"/>
      <c r="SMB17" s="37"/>
      <c r="SMC17" s="37"/>
      <c r="SMD17" s="37"/>
      <c r="SME17" s="37"/>
      <c r="SMF17" s="37"/>
      <c r="SMG17" s="37"/>
      <c r="SMH17" s="37"/>
      <c r="SMI17" s="37"/>
      <c r="SMJ17" s="37"/>
      <c r="SMK17" s="37"/>
      <c r="SML17" s="37"/>
      <c r="SMM17" s="37"/>
      <c r="SMN17" s="37"/>
      <c r="SMO17" s="37"/>
      <c r="SMP17" s="37"/>
      <c r="SMQ17" s="37"/>
      <c r="SMR17" s="37"/>
      <c r="SMS17" s="37"/>
      <c r="SMT17" s="37"/>
      <c r="SMU17" s="37"/>
      <c r="SMV17" s="37"/>
      <c r="SMW17" s="37"/>
      <c r="SMX17" s="37"/>
      <c r="SMY17" s="37"/>
      <c r="SMZ17" s="37"/>
      <c r="SNA17" s="37"/>
      <c r="SNB17" s="37"/>
      <c r="SNC17" s="37"/>
      <c r="SND17" s="37"/>
      <c r="SNE17" s="37"/>
      <c r="SNF17" s="37"/>
      <c r="SNG17" s="37"/>
      <c r="SNH17" s="37"/>
      <c r="SNI17" s="37"/>
      <c r="SNJ17" s="37"/>
      <c r="SNK17" s="37"/>
      <c r="SNL17" s="37"/>
      <c r="SNM17" s="37"/>
      <c r="SNN17" s="37"/>
      <c r="SNO17" s="37"/>
      <c r="SNP17" s="37"/>
      <c r="SNQ17" s="37"/>
      <c r="SNR17" s="37"/>
      <c r="SNS17" s="37"/>
      <c r="SNT17" s="37"/>
      <c r="SNU17" s="37"/>
      <c r="SNV17" s="37"/>
      <c r="SNW17" s="37"/>
      <c r="SNX17" s="37"/>
      <c r="SNY17" s="37"/>
      <c r="SNZ17" s="37"/>
      <c r="SOA17" s="37"/>
      <c r="SOB17" s="37"/>
      <c r="SOC17" s="37"/>
      <c r="SOD17" s="37"/>
      <c r="SOE17" s="37"/>
      <c r="SOF17" s="37"/>
      <c r="SOG17" s="37"/>
      <c r="SOH17" s="37"/>
      <c r="SOI17" s="37"/>
      <c r="SOJ17" s="37"/>
      <c r="SOK17" s="37"/>
      <c r="SOL17" s="37"/>
      <c r="SOM17" s="37"/>
      <c r="SON17" s="37"/>
      <c r="SOO17" s="37"/>
      <c r="SOP17" s="37"/>
      <c r="SOQ17" s="37"/>
      <c r="SOR17" s="37"/>
      <c r="SOS17" s="37"/>
      <c r="SOT17" s="37"/>
      <c r="SOU17" s="37"/>
      <c r="SOV17" s="37"/>
      <c r="SOW17" s="37"/>
      <c r="SOX17" s="37"/>
      <c r="SOY17" s="37"/>
      <c r="SOZ17" s="37"/>
      <c r="SPA17" s="37"/>
      <c r="SPB17" s="37"/>
      <c r="SPC17" s="37"/>
      <c r="SPD17" s="37"/>
      <c r="SPE17" s="37"/>
      <c r="SPF17" s="37"/>
      <c r="SPG17" s="37"/>
      <c r="SPH17" s="37"/>
      <c r="SPI17" s="37"/>
      <c r="SPJ17" s="37"/>
      <c r="SPK17" s="37"/>
      <c r="SPL17" s="37"/>
      <c r="SPM17" s="37"/>
      <c r="SPN17" s="37"/>
      <c r="SPO17" s="37"/>
      <c r="SPP17" s="37"/>
      <c r="SPQ17" s="37"/>
      <c r="SPR17" s="37"/>
      <c r="SPS17" s="37"/>
      <c r="SPT17" s="37"/>
      <c r="SPU17" s="37"/>
      <c r="SPV17" s="37"/>
      <c r="SPW17" s="37"/>
      <c r="SPX17" s="37"/>
      <c r="SPY17" s="37"/>
      <c r="SPZ17" s="37"/>
      <c r="SQA17" s="37"/>
      <c r="SQB17" s="37"/>
      <c r="SQC17" s="37"/>
      <c r="SQD17" s="37"/>
      <c r="SQE17" s="37"/>
      <c r="SQF17" s="37"/>
      <c r="SQG17" s="37"/>
      <c r="SQH17" s="37"/>
      <c r="SQI17" s="37"/>
      <c r="SQJ17" s="37"/>
      <c r="SQK17" s="37"/>
      <c r="SQL17" s="37"/>
      <c r="SQM17" s="37"/>
      <c r="SQN17" s="37"/>
      <c r="SQO17" s="37"/>
      <c r="SQP17" s="37"/>
      <c r="SQQ17" s="37"/>
      <c r="SQR17" s="37"/>
      <c r="SQS17" s="37"/>
      <c r="SQT17" s="37"/>
      <c r="SQU17" s="37"/>
      <c r="SQV17" s="37"/>
      <c r="SQW17" s="37"/>
      <c r="SQX17" s="37"/>
      <c r="SQY17" s="37"/>
      <c r="SQZ17" s="37"/>
      <c r="SRA17" s="37"/>
      <c r="SRB17" s="37"/>
      <c r="SRC17" s="37"/>
      <c r="SRD17" s="37"/>
      <c r="SRE17" s="37"/>
      <c r="SRF17" s="37"/>
      <c r="SRG17" s="37"/>
      <c r="SRH17" s="37"/>
      <c r="SRI17" s="37"/>
      <c r="SRJ17" s="37"/>
      <c r="SRK17" s="37"/>
      <c r="SRL17" s="37"/>
      <c r="SRM17" s="37"/>
      <c r="SRN17" s="37"/>
      <c r="SRO17" s="37"/>
      <c r="SRP17" s="37"/>
      <c r="SRQ17" s="37"/>
      <c r="SRR17" s="37"/>
      <c r="SRS17" s="37"/>
      <c r="SRT17" s="37"/>
      <c r="SRU17" s="37"/>
      <c r="SRV17" s="37"/>
      <c r="SRW17" s="37"/>
      <c r="SRX17" s="37"/>
      <c r="SRY17" s="37"/>
      <c r="SRZ17" s="37"/>
      <c r="SSA17" s="37"/>
      <c r="SSB17" s="37"/>
      <c r="SSC17" s="37"/>
      <c r="SSD17" s="37"/>
      <c r="SSE17" s="37"/>
      <c r="SSF17" s="37"/>
      <c r="SSG17" s="37"/>
      <c r="SSH17" s="37"/>
      <c r="SSI17" s="37"/>
      <c r="SSJ17" s="37"/>
      <c r="SSK17" s="37"/>
      <c r="SSL17" s="37"/>
      <c r="SSM17" s="37"/>
      <c r="SSN17" s="37"/>
      <c r="SSO17" s="37"/>
      <c r="SSP17" s="37"/>
      <c r="SSQ17" s="37"/>
      <c r="SSR17" s="37"/>
      <c r="SSS17" s="37"/>
      <c r="SST17" s="37"/>
      <c r="SSU17" s="37"/>
      <c r="SSV17" s="37"/>
      <c r="SSW17" s="37"/>
      <c r="SSX17" s="37"/>
      <c r="SSY17" s="37"/>
      <c r="SSZ17" s="37"/>
      <c r="STA17" s="37"/>
      <c r="STB17" s="37"/>
      <c r="STC17" s="37"/>
      <c r="STD17" s="37"/>
      <c r="STE17" s="37"/>
      <c r="STF17" s="37"/>
      <c r="STG17" s="37"/>
      <c r="STH17" s="37"/>
      <c r="STI17" s="37"/>
      <c r="STJ17" s="37"/>
      <c r="STK17" s="37"/>
      <c r="STL17" s="37"/>
      <c r="STM17" s="37"/>
      <c r="STN17" s="37"/>
      <c r="STO17" s="37"/>
      <c r="STP17" s="37"/>
      <c r="STQ17" s="37"/>
      <c r="STR17" s="37"/>
      <c r="STS17" s="37"/>
      <c r="STT17" s="37"/>
      <c r="STU17" s="37"/>
      <c r="STV17" s="37"/>
      <c r="STW17" s="37"/>
      <c r="STX17" s="37"/>
      <c r="STY17" s="37"/>
      <c r="STZ17" s="37"/>
      <c r="SUA17" s="37"/>
      <c r="SUB17" s="37"/>
      <c r="SUC17" s="37"/>
      <c r="SUD17" s="37"/>
      <c r="SUE17" s="37"/>
      <c r="SUF17" s="37"/>
      <c r="SUG17" s="37"/>
      <c r="SUH17" s="37"/>
      <c r="SUI17" s="37"/>
      <c r="SUJ17" s="37"/>
      <c r="SUK17" s="37"/>
      <c r="SUL17" s="37"/>
      <c r="SUM17" s="37"/>
      <c r="SUN17" s="37"/>
      <c r="SUO17" s="37"/>
      <c r="SUP17" s="37"/>
      <c r="SUQ17" s="37"/>
      <c r="SUR17" s="37"/>
      <c r="SUS17" s="37"/>
      <c r="SUT17" s="37"/>
      <c r="SUU17" s="37"/>
      <c r="SUV17" s="37"/>
      <c r="SUW17" s="37"/>
      <c r="SUX17" s="37"/>
      <c r="SUY17" s="37"/>
      <c r="SUZ17" s="37"/>
      <c r="SVA17" s="37"/>
      <c r="SVB17" s="37"/>
      <c r="SVC17" s="37"/>
      <c r="SVD17" s="37"/>
      <c r="SVE17" s="37"/>
      <c r="SVF17" s="37"/>
      <c r="SVG17" s="37"/>
      <c r="SVH17" s="37"/>
      <c r="SVI17" s="37"/>
      <c r="SVJ17" s="37"/>
      <c r="SVK17" s="37"/>
      <c r="SVL17" s="37"/>
      <c r="SVM17" s="37"/>
      <c r="SVN17" s="37"/>
      <c r="SVO17" s="37"/>
      <c r="SVP17" s="37"/>
      <c r="SVQ17" s="37"/>
      <c r="SVR17" s="37"/>
      <c r="SVS17" s="37"/>
      <c r="SVT17" s="37"/>
      <c r="SVU17" s="37"/>
      <c r="SVV17" s="37"/>
      <c r="SVW17" s="37"/>
      <c r="SVX17" s="37"/>
      <c r="SVY17" s="37"/>
      <c r="SVZ17" s="37"/>
      <c r="SWA17" s="37"/>
      <c r="SWB17" s="37"/>
      <c r="SWC17" s="37"/>
      <c r="SWD17" s="37"/>
      <c r="SWE17" s="37"/>
      <c r="SWF17" s="37"/>
      <c r="SWG17" s="37"/>
      <c r="SWH17" s="37"/>
      <c r="SWI17" s="37"/>
      <c r="SWJ17" s="37"/>
      <c r="SWK17" s="37"/>
      <c r="SWL17" s="37"/>
      <c r="SWM17" s="37"/>
      <c r="SWN17" s="37"/>
      <c r="SWO17" s="37"/>
      <c r="SWP17" s="37"/>
      <c r="SWQ17" s="37"/>
      <c r="SWR17" s="37"/>
      <c r="SWS17" s="37"/>
      <c r="SWT17" s="37"/>
      <c r="SWU17" s="37"/>
      <c r="SWV17" s="37"/>
      <c r="SWW17" s="37"/>
      <c r="SWX17" s="37"/>
      <c r="SWY17" s="37"/>
      <c r="SWZ17" s="37"/>
      <c r="SXA17" s="37"/>
      <c r="SXB17" s="37"/>
      <c r="SXC17" s="37"/>
      <c r="SXD17" s="37"/>
      <c r="SXE17" s="37"/>
      <c r="SXF17" s="37"/>
      <c r="SXG17" s="37"/>
      <c r="SXH17" s="37"/>
      <c r="SXI17" s="37"/>
      <c r="SXJ17" s="37"/>
      <c r="SXK17" s="37"/>
      <c r="SXL17" s="37"/>
      <c r="SXM17" s="37"/>
      <c r="SXN17" s="37"/>
      <c r="SXO17" s="37"/>
      <c r="SXP17" s="37"/>
      <c r="SXQ17" s="37"/>
      <c r="SXR17" s="37"/>
      <c r="SXS17" s="37"/>
      <c r="SXT17" s="37"/>
      <c r="SXU17" s="37"/>
      <c r="SXV17" s="37"/>
      <c r="SXW17" s="37"/>
      <c r="SXX17" s="37"/>
      <c r="SXY17" s="37"/>
      <c r="SXZ17" s="37"/>
      <c r="SYA17" s="37"/>
      <c r="SYB17" s="37"/>
      <c r="SYC17" s="37"/>
      <c r="SYD17" s="37"/>
      <c r="SYE17" s="37"/>
      <c r="SYF17" s="37"/>
      <c r="SYG17" s="37"/>
      <c r="SYH17" s="37"/>
      <c r="SYI17" s="37"/>
      <c r="SYJ17" s="37"/>
      <c r="SYK17" s="37"/>
      <c r="SYL17" s="37"/>
      <c r="SYM17" s="37"/>
      <c r="SYN17" s="37"/>
      <c r="SYO17" s="37"/>
      <c r="SYP17" s="37"/>
      <c r="SYQ17" s="37"/>
      <c r="SYR17" s="37"/>
      <c r="SYS17" s="37"/>
      <c r="SYT17" s="37"/>
      <c r="SYU17" s="37"/>
      <c r="SYV17" s="37"/>
      <c r="SYW17" s="37"/>
      <c r="SYX17" s="37"/>
      <c r="SYY17" s="37"/>
      <c r="SYZ17" s="37"/>
      <c r="SZA17" s="37"/>
      <c r="SZB17" s="37"/>
      <c r="SZC17" s="37"/>
      <c r="SZD17" s="37"/>
      <c r="SZE17" s="37"/>
      <c r="SZF17" s="37"/>
      <c r="SZG17" s="37"/>
      <c r="SZH17" s="37"/>
      <c r="SZI17" s="37"/>
      <c r="SZJ17" s="37"/>
      <c r="SZK17" s="37"/>
      <c r="SZL17" s="37"/>
      <c r="SZM17" s="37"/>
      <c r="SZN17" s="37"/>
      <c r="SZO17" s="37"/>
      <c r="SZP17" s="37"/>
      <c r="SZQ17" s="37"/>
      <c r="SZR17" s="37"/>
      <c r="SZS17" s="37"/>
      <c r="SZT17" s="37"/>
      <c r="SZU17" s="37"/>
      <c r="SZV17" s="37"/>
      <c r="SZW17" s="37"/>
      <c r="SZX17" s="37"/>
      <c r="SZY17" s="37"/>
      <c r="SZZ17" s="37"/>
      <c r="TAA17" s="37"/>
      <c r="TAB17" s="37"/>
      <c r="TAC17" s="37"/>
      <c r="TAD17" s="37"/>
      <c r="TAE17" s="37"/>
      <c r="TAF17" s="37"/>
      <c r="TAG17" s="37"/>
      <c r="TAH17" s="37"/>
      <c r="TAI17" s="37"/>
      <c r="TAJ17" s="37"/>
      <c r="TAK17" s="37"/>
      <c r="TAL17" s="37"/>
      <c r="TAM17" s="37"/>
      <c r="TAN17" s="37"/>
      <c r="TAO17" s="37"/>
      <c r="TAP17" s="37"/>
      <c r="TAQ17" s="37"/>
      <c r="TAR17" s="37"/>
      <c r="TAS17" s="37"/>
      <c r="TAT17" s="37"/>
      <c r="TAU17" s="37"/>
      <c r="TAV17" s="37"/>
      <c r="TAW17" s="37"/>
      <c r="TAX17" s="37"/>
      <c r="TAY17" s="37"/>
      <c r="TAZ17" s="37"/>
      <c r="TBA17" s="37"/>
      <c r="TBB17" s="37"/>
      <c r="TBC17" s="37"/>
      <c r="TBD17" s="37"/>
      <c r="TBE17" s="37"/>
      <c r="TBF17" s="37"/>
      <c r="TBG17" s="37"/>
      <c r="TBH17" s="37"/>
      <c r="TBI17" s="37"/>
      <c r="TBJ17" s="37"/>
      <c r="TBK17" s="37"/>
      <c r="TBL17" s="37"/>
      <c r="TBM17" s="37"/>
      <c r="TBN17" s="37"/>
      <c r="TBO17" s="37"/>
      <c r="TBP17" s="37"/>
      <c r="TBQ17" s="37"/>
      <c r="TBR17" s="37"/>
      <c r="TBS17" s="37"/>
      <c r="TBT17" s="37"/>
      <c r="TBU17" s="37"/>
      <c r="TBV17" s="37"/>
      <c r="TBW17" s="37"/>
      <c r="TBX17" s="37"/>
      <c r="TBY17" s="37"/>
      <c r="TBZ17" s="37"/>
      <c r="TCA17" s="37"/>
      <c r="TCB17" s="37"/>
      <c r="TCC17" s="37"/>
      <c r="TCD17" s="37"/>
      <c r="TCE17" s="37"/>
      <c r="TCF17" s="37"/>
      <c r="TCG17" s="37"/>
      <c r="TCH17" s="37"/>
      <c r="TCI17" s="37"/>
      <c r="TCJ17" s="37"/>
      <c r="TCK17" s="37"/>
      <c r="TCL17" s="37"/>
      <c r="TCM17" s="37"/>
      <c r="TCN17" s="37"/>
      <c r="TCO17" s="37"/>
      <c r="TCP17" s="37"/>
      <c r="TCQ17" s="37"/>
      <c r="TCR17" s="37"/>
      <c r="TCS17" s="37"/>
      <c r="TCT17" s="37"/>
      <c r="TCU17" s="37"/>
      <c r="TCV17" s="37"/>
      <c r="TCW17" s="37"/>
      <c r="TCX17" s="37"/>
      <c r="TCY17" s="37"/>
      <c r="TCZ17" s="37"/>
      <c r="TDA17" s="37"/>
      <c r="TDB17" s="37"/>
      <c r="TDC17" s="37"/>
      <c r="TDD17" s="37"/>
      <c r="TDE17" s="37"/>
      <c r="TDF17" s="37"/>
      <c r="TDG17" s="37"/>
      <c r="TDH17" s="37"/>
      <c r="TDI17" s="37"/>
      <c r="TDJ17" s="37"/>
      <c r="TDK17" s="37"/>
      <c r="TDL17" s="37"/>
      <c r="TDM17" s="37"/>
      <c r="TDN17" s="37"/>
      <c r="TDO17" s="37"/>
      <c r="TDP17" s="37"/>
      <c r="TDQ17" s="37"/>
      <c r="TDR17" s="37"/>
      <c r="TDS17" s="37"/>
      <c r="TDT17" s="37"/>
      <c r="TDU17" s="37"/>
      <c r="TDV17" s="37"/>
      <c r="TDW17" s="37"/>
      <c r="TDX17" s="37"/>
      <c r="TDY17" s="37"/>
      <c r="TDZ17" s="37"/>
      <c r="TEA17" s="37"/>
      <c r="TEB17" s="37"/>
      <c r="TEC17" s="37"/>
      <c r="TED17" s="37"/>
      <c r="TEE17" s="37"/>
      <c r="TEF17" s="37"/>
      <c r="TEG17" s="37"/>
      <c r="TEH17" s="37"/>
      <c r="TEI17" s="37"/>
      <c r="TEJ17" s="37"/>
      <c r="TEK17" s="37"/>
      <c r="TEL17" s="37"/>
      <c r="TEM17" s="37"/>
      <c r="TEN17" s="37"/>
      <c r="TEO17" s="37"/>
      <c r="TEP17" s="37"/>
      <c r="TEQ17" s="37"/>
      <c r="TER17" s="37"/>
      <c r="TES17" s="37"/>
      <c r="TET17" s="37"/>
      <c r="TEU17" s="37"/>
      <c r="TEV17" s="37"/>
      <c r="TEW17" s="37"/>
      <c r="TEX17" s="37"/>
      <c r="TEY17" s="37"/>
      <c r="TEZ17" s="37"/>
      <c r="TFA17" s="37"/>
      <c r="TFB17" s="37"/>
      <c r="TFC17" s="37"/>
      <c r="TFD17" s="37"/>
      <c r="TFE17" s="37"/>
      <c r="TFF17" s="37"/>
      <c r="TFG17" s="37"/>
      <c r="TFH17" s="37"/>
      <c r="TFI17" s="37"/>
      <c r="TFJ17" s="37"/>
      <c r="TFK17" s="37"/>
      <c r="TFL17" s="37"/>
      <c r="TFM17" s="37"/>
      <c r="TFN17" s="37"/>
      <c r="TFO17" s="37"/>
      <c r="TFP17" s="37"/>
      <c r="TFQ17" s="37"/>
      <c r="TFR17" s="37"/>
      <c r="TFS17" s="37"/>
      <c r="TFT17" s="37"/>
      <c r="TFU17" s="37"/>
      <c r="TFV17" s="37"/>
      <c r="TFW17" s="37"/>
      <c r="TFX17" s="37"/>
      <c r="TFY17" s="37"/>
      <c r="TFZ17" s="37"/>
      <c r="TGA17" s="37"/>
      <c r="TGB17" s="37"/>
      <c r="TGC17" s="37"/>
      <c r="TGD17" s="37"/>
      <c r="TGE17" s="37"/>
      <c r="TGF17" s="37"/>
      <c r="TGG17" s="37"/>
      <c r="TGH17" s="37"/>
      <c r="TGI17" s="37"/>
      <c r="TGJ17" s="37"/>
      <c r="TGK17" s="37"/>
      <c r="TGL17" s="37"/>
      <c r="TGM17" s="37"/>
      <c r="TGN17" s="37"/>
      <c r="TGO17" s="37"/>
      <c r="TGP17" s="37"/>
      <c r="TGQ17" s="37"/>
      <c r="TGR17" s="37"/>
      <c r="TGS17" s="37"/>
      <c r="TGT17" s="37"/>
      <c r="TGU17" s="37"/>
      <c r="TGV17" s="37"/>
      <c r="TGW17" s="37"/>
      <c r="TGX17" s="37"/>
      <c r="TGY17" s="37"/>
      <c r="TGZ17" s="37"/>
      <c r="THA17" s="37"/>
      <c r="THB17" s="37"/>
      <c r="THC17" s="37"/>
      <c r="THD17" s="37"/>
      <c r="THE17" s="37"/>
      <c r="THF17" s="37"/>
      <c r="THG17" s="37"/>
      <c r="THH17" s="37"/>
      <c r="THI17" s="37"/>
      <c r="THJ17" s="37"/>
      <c r="THK17" s="37"/>
      <c r="THL17" s="37"/>
      <c r="THM17" s="37"/>
      <c r="THN17" s="37"/>
      <c r="THO17" s="37"/>
      <c r="THP17" s="37"/>
      <c r="THQ17" s="37"/>
      <c r="THR17" s="37"/>
      <c r="THS17" s="37"/>
      <c r="THT17" s="37"/>
      <c r="THU17" s="37"/>
      <c r="THV17" s="37"/>
      <c r="THW17" s="37"/>
      <c r="THX17" s="37"/>
      <c r="THY17" s="37"/>
      <c r="THZ17" s="37"/>
      <c r="TIA17" s="37"/>
      <c r="TIB17" s="37"/>
      <c r="TIC17" s="37"/>
      <c r="TID17" s="37"/>
      <c r="TIE17" s="37"/>
      <c r="TIF17" s="37"/>
      <c r="TIG17" s="37"/>
      <c r="TIH17" s="37"/>
      <c r="TII17" s="37"/>
      <c r="TIJ17" s="37"/>
      <c r="TIK17" s="37"/>
      <c r="TIL17" s="37"/>
      <c r="TIM17" s="37"/>
      <c r="TIN17" s="37"/>
      <c r="TIO17" s="37"/>
      <c r="TIP17" s="37"/>
      <c r="TIQ17" s="37"/>
      <c r="TIR17" s="37"/>
      <c r="TIS17" s="37"/>
      <c r="TIT17" s="37"/>
      <c r="TIU17" s="37"/>
      <c r="TIV17" s="37"/>
      <c r="TIW17" s="37"/>
      <c r="TIX17" s="37"/>
      <c r="TIY17" s="37"/>
      <c r="TIZ17" s="37"/>
      <c r="TJA17" s="37"/>
      <c r="TJB17" s="37"/>
      <c r="TJC17" s="37"/>
      <c r="TJD17" s="37"/>
      <c r="TJE17" s="37"/>
      <c r="TJF17" s="37"/>
      <c r="TJG17" s="37"/>
      <c r="TJH17" s="37"/>
      <c r="TJI17" s="37"/>
      <c r="TJJ17" s="37"/>
      <c r="TJK17" s="37"/>
      <c r="TJL17" s="37"/>
      <c r="TJM17" s="37"/>
      <c r="TJN17" s="37"/>
      <c r="TJO17" s="37"/>
      <c r="TJP17" s="37"/>
      <c r="TJQ17" s="37"/>
      <c r="TJR17" s="37"/>
      <c r="TJS17" s="37"/>
      <c r="TJT17" s="37"/>
      <c r="TJU17" s="37"/>
      <c r="TJV17" s="37"/>
      <c r="TJW17" s="37"/>
      <c r="TJX17" s="37"/>
      <c r="TJY17" s="37"/>
      <c r="TJZ17" s="37"/>
      <c r="TKA17" s="37"/>
      <c r="TKB17" s="37"/>
      <c r="TKC17" s="37"/>
      <c r="TKD17" s="37"/>
      <c r="TKE17" s="37"/>
      <c r="TKF17" s="37"/>
      <c r="TKG17" s="37"/>
      <c r="TKH17" s="37"/>
      <c r="TKI17" s="37"/>
      <c r="TKJ17" s="37"/>
      <c r="TKK17" s="37"/>
      <c r="TKL17" s="37"/>
      <c r="TKM17" s="37"/>
      <c r="TKN17" s="37"/>
      <c r="TKO17" s="37"/>
      <c r="TKP17" s="37"/>
      <c r="TKQ17" s="37"/>
      <c r="TKR17" s="37"/>
      <c r="TKS17" s="37"/>
      <c r="TKT17" s="37"/>
      <c r="TKU17" s="37"/>
      <c r="TKV17" s="37"/>
      <c r="TKW17" s="37"/>
      <c r="TKX17" s="37"/>
      <c r="TKY17" s="37"/>
      <c r="TKZ17" s="37"/>
      <c r="TLA17" s="37"/>
      <c r="TLB17" s="37"/>
      <c r="TLC17" s="37"/>
      <c r="TLD17" s="37"/>
      <c r="TLE17" s="37"/>
      <c r="TLF17" s="37"/>
      <c r="TLG17" s="37"/>
      <c r="TLH17" s="37"/>
      <c r="TLI17" s="37"/>
      <c r="TLJ17" s="37"/>
      <c r="TLK17" s="37"/>
      <c r="TLL17" s="37"/>
      <c r="TLM17" s="37"/>
      <c r="TLN17" s="37"/>
      <c r="TLO17" s="37"/>
      <c r="TLP17" s="37"/>
      <c r="TLQ17" s="37"/>
      <c r="TLR17" s="37"/>
      <c r="TLS17" s="37"/>
      <c r="TLT17" s="37"/>
      <c r="TLU17" s="37"/>
      <c r="TLV17" s="37"/>
      <c r="TLW17" s="37"/>
      <c r="TLX17" s="37"/>
      <c r="TLY17" s="37"/>
      <c r="TLZ17" s="37"/>
      <c r="TMA17" s="37"/>
      <c r="TMB17" s="37"/>
      <c r="TMC17" s="37"/>
      <c r="TMD17" s="37"/>
      <c r="TME17" s="37"/>
      <c r="TMF17" s="37"/>
      <c r="TMG17" s="37"/>
      <c r="TMH17" s="37"/>
      <c r="TMI17" s="37"/>
      <c r="TMJ17" s="37"/>
      <c r="TMK17" s="37"/>
      <c r="TML17" s="37"/>
      <c r="TMM17" s="37"/>
      <c r="TMN17" s="37"/>
      <c r="TMO17" s="37"/>
      <c r="TMP17" s="37"/>
      <c r="TMQ17" s="37"/>
      <c r="TMR17" s="37"/>
      <c r="TMS17" s="37"/>
      <c r="TMT17" s="37"/>
      <c r="TMU17" s="37"/>
      <c r="TMV17" s="37"/>
      <c r="TMW17" s="37"/>
      <c r="TMX17" s="37"/>
      <c r="TMY17" s="37"/>
      <c r="TMZ17" s="37"/>
      <c r="TNA17" s="37"/>
      <c r="TNB17" s="37"/>
      <c r="TNC17" s="37"/>
      <c r="TND17" s="37"/>
      <c r="TNE17" s="37"/>
      <c r="TNF17" s="37"/>
      <c r="TNG17" s="37"/>
      <c r="TNH17" s="37"/>
      <c r="TNI17" s="37"/>
      <c r="TNJ17" s="37"/>
      <c r="TNK17" s="37"/>
      <c r="TNL17" s="37"/>
      <c r="TNM17" s="37"/>
      <c r="TNN17" s="37"/>
      <c r="TNO17" s="37"/>
      <c r="TNP17" s="37"/>
      <c r="TNQ17" s="37"/>
      <c r="TNR17" s="37"/>
      <c r="TNS17" s="37"/>
      <c r="TNT17" s="37"/>
      <c r="TNU17" s="37"/>
      <c r="TNV17" s="37"/>
      <c r="TNW17" s="37"/>
      <c r="TNX17" s="37"/>
      <c r="TNY17" s="37"/>
      <c r="TNZ17" s="37"/>
      <c r="TOA17" s="37"/>
      <c r="TOB17" s="37"/>
      <c r="TOC17" s="37"/>
      <c r="TOD17" s="37"/>
      <c r="TOE17" s="37"/>
      <c r="TOF17" s="37"/>
      <c r="TOG17" s="37"/>
      <c r="TOH17" s="37"/>
      <c r="TOI17" s="37"/>
      <c r="TOJ17" s="37"/>
      <c r="TOK17" s="37"/>
      <c r="TOL17" s="37"/>
      <c r="TOM17" s="37"/>
      <c r="TON17" s="37"/>
      <c r="TOO17" s="37"/>
      <c r="TOP17" s="37"/>
      <c r="TOQ17" s="37"/>
      <c r="TOR17" s="37"/>
      <c r="TOS17" s="37"/>
      <c r="TOT17" s="37"/>
      <c r="TOU17" s="37"/>
      <c r="TOV17" s="37"/>
      <c r="TOW17" s="37"/>
      <c r="TOX17" s="37"/>
      <c r="TOY17" s="37"/>
      <c r="TOZ17" s="37"/>
      <c r="TPA17" s="37"/>
      <c r="TPB17" s="37"/>
      <c r="TPC17" s="37"/>
      <c r="TPD17" s="37"/>
      <c r="TPE17" s="37"/>
      <c r="TPF17" s="37"/>
      <c r="TPG17" s="37"/>
      <c r="TPH17" s="37"/>
      <c r="TPI17" s="37"/>
      <c r="TPJ17" s="37"/>
      <c r="TPK17" s="37"/>
      <c r="TPL17" s="37"/>
      <c r="TPM17" s="37"/>
      <c r="TPN17" s="37"/>
      <c r="TPO17" s="37"/>
      <c r="TPP17" s="37"/>
      <c r="TPQ17" s="37"/>
      <c r="TPR17" s="37"/>
      <c r="TPS17" s="37"/>
      <c r="TPT17" s="37"/>
      <c r="TPU17" s="37"/>
      <c r="TPV17" s="37"/>
      <c r="TPW17" s="37"/>
      <c r="TPX17" s="37"/>
      <c r="TPY17" s="37"/>
      <c r="TPZ17" s="37"/>
      <c r="TQA17" s="37"/>
      <c r="TQB17" s="37"/>
      <c r="TQC17" s="37"/>
      <c r="TQD17" s="37"/>
      <c r="TQE17" s="37"/>
      <c r="TQF17" s="37"/>
      <c r="TQG17" s="37"/>
      <c r="TQH17" s="37"/>
      <c r="TQI17" s="37"/>
      <c r="TQJ17" s="37"/>
      <c r="TQK17" s="37"/>
      <c r="TQL17" s="37"/>
      <c r="TQM17" s="37"/>
      <c r="TQN17" s="37"/>
      <c r="TQO17" s="37"/>
      <c r="TQP17" s="37"/>
      <c r="TQQ17" s="37"/>
      <c r="TQR17" s="37"/>
      <c r="TQS17" s="37"/>
      <c r="TQT17" s="37"/>
      <c r="TQU17" s="37"/>
      <c r="TQV17" s="37"/>
      <c r="TQW17" s="37"/>
      <c r="TQX17" s="37"/>
      <c r="TQY17" s="37"/>
      <c r="TQZ17" s="37"/>
      <c r="TRA17" s="37"/>
      <c r="TRB17" s="37"/>
      <c r="TRC17" s="37"/>
      <c r="TRD17" s="37"/>
      <c r="TRE17" s="37"/>
      <c r="TRF17" s="37"/>
      <c r="TRG17" s="37"/>
      <c r="TRH17" s="37"/>
      <c r="TRI17" s="37"/>
      <c r="TRJ17" s="37"/>
      <c r="TRK17" s="37"/>
      <c r="TRL17" s="37"/>
      <c r="TRM17" s="37"/>
      <c r="TRN17" s="37"/>
      <c r="TRO17" s="37"/>
      <c r="TRP17" s="37"/>
      <c r="TRQ17" s="37"/>
      <c r="TRR17" s="37"/>
      <c r="TRS17" s="37"/>
      <c r="TRT17" s="37"/>
      <c r="TRU17" s="37"/>
      <c r="TRV17" s="37"/>
      <c r="TRW17" s="37"/>
      <c r="TRX17" s="37"/>
      <c r="TRY17" s="37"/>
      <c r="TRZ17" s="37"/>
      <c r="TSA17" s="37"/>
      <c r="TSB17" s="37"/>
      <c r="TSC17" s="37"/>
      <c r="TSD17" s="37"/>
      <c r="TSE17" s="37"/>
      <c r="TSF17" s="37"/>
      <c r="TSG17" s="37"/>
      <c r="TSH17" s="37"/>
      <c r="TSI17" s="37"/>
      <c r="TSJ17" s="37"/>
      <c r="TSK17" s="37"/>
      <c r="TSL17" s="37"/>
      <c r="TSM17" s="37"/>
      <c r="TSN17" s="37"/>
      <c r="TSO17" s="37"/>
      <c r="TSP17" s="37"/>
      <c r="TSQ17" s="37"/>
      <c r="TSR17" s="37"/>
      <c r="TSS17" s="37"/>
      <c r="TST17" s="37"/>
      <c r="TSU17" s="37"/>
      <c r="TSV17" s="37"/>
      <c r="TSW17" s="37"/>
      <c r="TSX17" s="37"/>
      <c r="TSY17" s="37"/>
      <c r="TSZ17" s="37"/>
      <c r="TTA17" s="37"/>
      <c r="TTB17" s="37"/>
      <c r="TTC17" s="37"/>
      <c r="TTD17" s="37"/>
      <c r="TTE17" s="37"/>
      <c r="TTF17" s="37"/>
      <c r="TTG17" s="37"/>
      <c r="TTH17" s="37"/>
      <c r="TTI17" s="37"/>
      <c r="TTJ17" s="37"/>
      <c r="TTK17" s="37"/>
      <c r="TTL17" s="37"/>
      <c r="TTM17" s="37"/>
      <c r="TTN17" s="37"/>
      <c r="TTO17" s="37"/>
      <c r="TTP17" s="37"/>
      <c r="TTQ17" s="37"/>
      <c r="TTR17" s="37"/>
      <c r="TTS17" s="37"/>
      <c r="TTT17" s="37"/>
      <c r="TTU17" s="37"/>
      <c r="TTV17" s="37"/>
      <c r="TTW17" s="37"/>
      <c r="TTX17" s="37"/>
      <c r="TTY17" s="37"/>
      <c r="TTZ17" s="37"/>
      <c r="TUA17" s="37"/>
      <c r="TUB17" s="37"/>
      <c r="TUC17" s="37"/>
      <c r="TUD17" s="37"/>
      <c r="TUE17" s="37"/>
      <c r="TUF17" s="37"/>
      <c r="TUG17" s="37"/>
      <c r="TUH17" s="37"/>
      <c r="TUI17" s="37"/>
      <c r="TUJ17" s="37"/>
      <c r="TUK17" s="37"/>
      <c r="TUL17" s="37"/>
      <c r="TUM17" s="37"/>
      <c r="TUN17" s="37"/>
      <c r="TUO17" s="37"/>
      <c r="TUP17" s="37"/>
      <c r="TUQ17" s="37"/>
      <c r="TUR17" s="37"/>
      <c r="TUS17" s="37"/>
      <c r="TUT17" s="37"/>
      <c r="TUU17" s="37"/>
      <c r="TUV17" s="37"/>
      <c r="TUW17" s="37"/>
      <c r="TUX17" s="37"/>
      <c r="TUY17" s="37"/>
      <c r="TUZ17" s="37"/>
      <c r="TVA17" s="37"/>
      <c r="TVB17" s="37"/>
      <c r="TVC17" s="37"/>
      <c r="TVD17" s="37"/>
      <c r="TVE17" s="37"/>
      <c r="TVF17" s="37"/>
      <c r="TVG17" s="37"/>
      <c r="TVH17" s="37"/>
      <c r="TVI17" s="37"/>
      <c r="TVJ17" s="37"/>
      <c r="TVK17" s="37"/>
      <c r="TVL17" s="37"/>
      <c r="TVM17" s="37"/>
      <c r="TVN17" s="37"/>
      <c r="TVO17" s="37"/>
      <c r="TVP17" s="37"/>
      <c r="TVQ17" s="37"/>
      <c r="TVR17" s="37"/>
      <c r="TVS17" s="37"/>
      <c r="TVT17" s="37"/>
      <c r="TVU17" s="37"/>
      <c r="TVV17" s="37"/>
      <c r="TVW17" s="37"/>
      <c r="TVX17" s="37"/>
      <c r="TVY17" s="37"/>
      <c r="TVZ17" s="37"/>
      <c r="TWA17" s="37"/>
      <c r="TWB17" s="37"/>
      <c r="TWC17" s="37"/>
      <c r="TWD17" s="37"/>
      <c r="TWE17" s="37"/>
      <c r="TWF17" s="37"/>
      <c r="TWG17" s="37"/>
      <c r="TWH17" s="37"/>
      <c r="TWI17" s="37"/>
      <c r="TWJ17" s="37"/>
      <c r="TWK17" s="37"/>
      <c r="TWL17" s="37"/>
      <c r="TWM17" s="37"/>
      <c r="TWN17" s="37"/>
      <c r="TWO17" s="37"/>
      <c r="TWP17" s="37"/>
      <c r="TWQ17" s="37"/>
      <c r="TWR17" s="37"/>
      <c r="TWS17" s="37"/>
      <c r="TWT17" s="37"/>
      <c r="TWU17" s="37"/>
      <c r="TWV17" s="37"/>
      <c r="TWW17" s="37"/>
      <c r="TWX17" s="37"/>
      <c r="TWY17" s="37"/>
      <c r="TWZ17" s="37"/>
      <c r="TXA17" s="37"/>
      <c r="TXB17" s="37"/>
      <c r="TXC17" s="37"/>
      <c r="TXD17" s="37"/>
      <c r="TXE17" s="37"/>
      <c r="TXF17" s="37"/>
      <c r="TXG17" s="37"/>
      <c r="TXH17" s="37"/>
      <c r="TXI17" s="37"/>
      <c r="TXJ17" s="37"/>
      <c r="TXK17" s="37"/>
      <c r="TXL17" s="37"/>
      <c r="TXM17" s="37"/>
      <c r="TXN17" s="37"/>
      <c r="TXO17" s="37"/>
      <c r="TXP17" s="37"/>
      <c r="TXQ17" s="37"/>
      <c r="TXR17" s="37"/>
      <c r="TXS17" s="37"/>
      <c r="TXT17" s="37"/>
      <c r="TXU17" s="37"/>
      <c r="TXV17" s="37"/>
      <c r="TXW17" s="37"/>
      <c r="TXX17" s="37"/>
      <c r="TXY17" s="37"/>
      <c r="TXZ17" s="37"/>
      <c r="TYA17" s="37"/>
      <c r="TYB17" s="37"/>
      <c r="TYC17" s="37"/>
      <c r="TYD17" s="37"/>
      <c r="TYE17" s="37"/>
      <c r="TYF17" s="37"/>
      <c r="TYG17" s="37"/>
      <c r="TYH17" s="37"/>
      <c r="TYI17" s="37"/>
      <c r="TYJ17" s="37"/>
      <c r="TYK17" s="37"/>
      <c r="TYL17" s="37"/>
      <c r="TYM17" s="37"/>
      <c r="TYN17" s="37"/>
      <c r="TYO17" s="37"/>
      <c r="TYP17" s="37"/>
      <c r="TYQ17" s="37"/>
      <c r="TYR17" s="37"/>
      <c r="TYS17" s="37"/>
      <c r="TYT17" s="37"/>
      <c r="TYU17" s="37"/>
      <c r="TYV17" s="37"/>
      <c r="TYW17" s="37"/>
      <c r="TYX17" s="37"/>
      <c r="TYY17" s="37"/>
      <c r="TYZ17" s="37"/>
      <c r="TZA17" s="37"/>
      <c r="TZB17" s="37"/>
      <c r="TZC17" s="37"/>
      <c r="TZD17" s="37"/>
      <c r="TZE17" s="37"/>
      <c r="TZF17" s="37"/>
      <c r="TZG17" s="37"/>
      <c r="TZH17" s="37"/>
      <c r="TZI17" s="37"/>
      <c r="TZJ17" s="37"/>
      <c r="TZK17" s="37"/>
      <c r="TZL17" s="37"/>
      <c r="TZM17" s="37"/>
      <c r="TZN17" s="37"/>
      <c r="TZO17" s="37"/>
      <c r="TZP17" s="37"/>
      <c r="TZQ17" s="37"/>
      <c r="TZR17" s="37"/>
      <c r="TZS17" s="37"/>
      <c r="TZT17" s="37"/>
      <c r="TZU17" s="37"/>
      <c r="TZV17" s="37"/>
      <c r="TZW17" s="37"/>
      <c r="TZX17" s="37"/>
      <c r="TZY17" s="37"/>
      <c r="TZZ17" s="37"/>
      <c r="UAA17" s="37"/>
      <c r="UAB17" s="37"/>
      <c r="UAC17" s="37"/>
      <c r="UAD17" s="37"/>
      <c r="UAE17" s="37"/>
      <c r="UAF17" s="37"/>
      <c r="UAG17" s="37"/>
      <c r="UAH17" s="37"/>
      <c r="UAI17" s="37"/>
      <c r="UAJ17" s="37"/>
      <c r="UAK17" s="37"/>
      <c r="UAL17" s="37"/>
      <c r="UAM17" s="37"/>
      <c r="UAN17" s="37"/>
      <c r="UAO17" s="37"/>
      <c r="UAP17" s="37"/>
      <c r="UAQ17" s="37"/>
      <c r="UAR17" s="37"/>
      <c r="UAS17" s="37"/>
      <c r="UAT17" s="37"/>
      <c r="UAU17" s="37"/>
      <c r="UAV17" s="37"/>
      <c r="UAW17" s="37"/>
      <c r="UAX17" s="37"/>
      <c r="UAY17" s="37"/>
      <c r="UAZ17" s="37"/>
      <c r="UBA17" s="37"/>
      <c r="UBB17" s="37"/>
      <c r="UBC17" s="37"/>
      <c r="UBD17" s="37"/>
      <c r="UBE17" s="37"/>
      <c r="UBF17" s="37"/>
      <c r="UBG17" s="37"/>
      <c r="UBH17" s="37"/>
      <c r="UBI17" s="37"/>
      <c r="UBJ17" s="37"/>
      <c r="UBK17" s="37"/>
      <c r="UBL17" s="37"/>
      <c r="UBM17" s="37"/>
      <c r="UBN17" s="37"/>
      <c r="UBO17" s="37"/>
      <c r="UBP17" s="37"/>
      <c r="UBQ17" s="37"/>
      <c r="UBR17" s="37"/>
      <c r="UBS17" s="37"/>
      <c r="UBT17" s="37"/>
      <c r="UBU17" s="37"/>
      <c r="UBV17" s="37"/>
      <c r="UBW17" s="37"/>
      <c r="UBX17" s="37"/>
      <c r="UBY17" s="37"/>
      <c r="UBZ17" s="37"/>
      <c r="UCA17" s="37"/>
      <c r="UCB17" s="37"/>
      <c r="UCC17" s="37"/>
      <c r="UCD17" s="37"/>
      <c r="UCE17" s="37"/>
      <c r="UCF17" s="37"/>
      <c r="UCG17" s="37"/>
      <c r="UCH17" s="37"/>
      <c r="UCI17" s="37"/>
      <c r="UCJ17" s="37"/>
      <c r="UCK17" s="37"/>
      <c r="UCL17" s="37"/>
      <c r="UCM17" s="37"/>
      <c r="UCN17" s="37"/>
      <c r="UCO17" s="37"/>
      <c r="UCP17" s="37"/>
      <c r="UCQ17" s="37"/>
      <c r="UCR17" s="37"/>
      <c r="UCS17" s="37"/>
      <c r="UCT17" s="37"/>
      <c r="UCU17" s="37"/>
      <c r="UCV17" s="37"/>
      <c r="UCW17" s="37"/>
      <c r="UCX17" s="37"/>
      <c r="UCY17" s="37"/>
      <c r="UCZ17" s="37"/>
      <c r="UDA17" s="37"/>
      <c r="UDB17" s="37"/>
      <c r="UDC17" s="37"/>
      <c r="UDD17" s="37"/>
      <c r="UDE17" s="37"/>
      <c r="UDF17" s="37"/>
      <c r="UDG17" s="37"/>
      <c r="UDH17" s="37"/>
      <c r="UDI17" s="37"/>
      <c r="UDJ17" s="37"/>
      <c r="UDK17" s="37"/>
      <c r="UDL17" s="37"/>
      <c r="UDM17" s="37"/>
      <c r="UDN17" s="37"/>
      <c r="UDO17" s="37"/>
      <c r="UDP17" s="37"/>
      <c r="UDQ17" s="37"/>
      <c r="UDR17" s="37"/>
      <c r="UDS17" s="37"/>
      <c r="UDT17" s="37"/>
      <c r="UDU17" s="37"/>
      <c r="UDV17" s="37"/>
      <c r="UDW17" s="37"/>
      <c r="UDX17" s="37"/>
      <c r="UDY17" s="37"/>
      <c r="UDZ17" s="37"/>
      <c r="UEA17" s="37"/>
      <c r="UEB17" s="37"/>
      <c r="UEC17" s="37"/>
      <c r="UED17" s="37"/>
      <c r="UEE17" s="37"/>
      <c r="UEF17" s="37"/>
      <c r="UEG17" s="37"/>
      <c r="UEH17" s="37"/>
      <c r="UEI17" s="37"/>
      <c r="UEJ17" s="37"/>
      <c r="UEK17" s="37"/>
      <c r="UEL17" s="37"/>
      <c r="UEM17" s="37"/>
      <c r="UEN17" s="37"/>
      <c r="UEO17" s="37"/>
      <c r="UEP17" s="37"/>
      <c r="UEQ17" s="37"/>
      <c r="UER17" s="37"/>
      <c r="UES17" s="37"/>
      <c r="UET17" s="37"/>
      <c r="UEU17" s="37"/>
      <c r="UEV17" s="37"/>
      <c r="UEW17" s="37"/>
      <c r="UEX17" s="37"/>
      <c r="UEY17" s="37"/>
      <c r="UEZ17" s="37"/>
      <c r="UFA17" s="37"/>
      <c r="UFB17" s="37"/>
      <c r="UFC17" s="37"/>
      <c r="UFD17" s="37"/>
      <c r="UFE17" s="37"/>
      <c r="UFF17" s="37"/>
      <c r="UFG17" s="37"/>
      <c r="UFH17" s="37"/>
      <c r="UFI17" s="37"/>
      <c r="UFJ17" s="37"/>
      <c r="UFK17" s="37"/>
      <c r="UFL17" s="37"/>
      <c r="UFM17" s="37"/>
      <c r="UFN17" s="37"/>
      <c r="UFO17" s="37"/>
      <c r="UFP17" s="37"/>
      <c r="UFQ17" s="37"/>
      <c r="UFR17" s="37"/>
      <c r="UFS17" s="37"/>
      <c r="UFT17" s="37"/>
      <c r="UFU17" s="37"/>
      <c r="UFV17" s="37"/>
      <c r="UFW17" s="37"/>
      <c r="UFX17" s="37"/>
      <c r="UFY17" s="37"/>
      <c r="UFZ17" s="37"/>
      <c r="UGA17" s="37"/>
      <c r="UGB17" s="37"/>
      <c r="UGC17" s="37"/>
      <c r="UGD17" s="37"/>
      <c r="UGE17" s="37"/>
      <c r="UGF17" s="37"/>
      <c r="UGG17" s="37"/>
      <c r="UGH17" s="37"/>
      <c r="UGI17" s="37"/>
      <c r="UGJ17" s="37"/>
      <c r="UGK17" s="37"/>
      <c r="UGL17" s="37"/>
      <c r="UGM17" s="37"/>
      <c r="UGN17" s="37"/>
      <c r="UGO17" s="37"/>
      <c r="UGP17" s="37"/>
      <c r="UGQ17" s="37"/>
      <c r="UGR17" s="37"/>
      <c r="UGS17" s="37"/>
      <c r="UGT17" s="37"/>
      <c r="UGU17" s="37"/>
      <c r="UGV17" s="37"/>
      <c r="UGW17" s="37"/>
      <c r="UGX17" s="37"/>
      <c r="UGY17" s="37"/>
      <c r="UGZ17" s="37"/>
      <c r="UHA17" s="37"/>
      <c r="UHB17" s="37"/>
      <c r="UHC17" s="37"/>
      <c r="UHD17" s="37"/>
      <c r="UHE17" s="37"/>
      <c r="UHF17" s="37"/>
      <c r="UHG17" s="37"/>
      <c r="UHH17" s="37"/>
      <c r="UHI17" s="37"/>
      <c r="UHJ17" s="37"/>
      <c r="UHK17" s="37"/>
      <c r="UHL17" s="37"/>
      <c r="UHM17" s="37"/>
      <c r="UHN17" s="37"/>
      <c r="UHO17" s="37"/>
      <c r="UHP17" s="37"/>
      <c r="UHQ17" s="37"/>
      <c r="UHR17" s="37"/>
      <c r="UHS17" s="37"/>
      <c r="UHT17" s="37"/>
      <c r="UHU17" s="37"/>
      <c r="UHV17" s="37"/>
      <c r="UHW17" s="37"/>
      <c r="UHX17" s="37"/>
      <c r="UHY17" s="37"/>
      <c r="UHZ17" s="37"/>
      <c r="UIA17" s="37"/>
      <c r="UIB17" s="37"/>
      <c r="UIC17" s="37"/>
      <c r="UID17" s="37"/>
      <c r="UIE17" s="37"/>
      <c r="UIF17" s="37"/>
      <c r="UIG17" s="37"/>
      <c r="UIH17" s="37"/>
      <c r="UII17" s="37"/>
      <c r="UIJ17" s="37"/>
      <c r="UIK17" s="37"/>
      <c r="UIL17" s="37"/>
      <c r="UIM17" s="37"/>
      <c r="UIN17" s="37"/>
      <c r="UIO17" s="37"/>
      <c r="UIP17" s="37"/>
      <c r="UIQ17" s="37"/>
      <c r="UIR17" s="37"/>
      <c r="UIS17" s="37"/>
      <c r="UIT17" s="37"/>
      <c r="UIU17" s="37"/>
      <c r="UIV17" s="37"/>
      <c r="UIW17" s="37"/>
      <c r="UIX17" s="37"/>
      <c r="UIY17" s="37"/>
      <c r="UIZ17" s="37"/>
      <c r="UJA17" s="37"/>
      <c r="UJB17" s="37"/>
      <c r="UJC17" s="37"/>
      <c r="UJD17" s="37"/>
      <c r="UJE17" s="37"/>
      <c r="UJF17" s="37"/>
      <c r="UJG17" s="37"/>
      <c r="UJH17" s="37"/>
      <c r="UJI17" s="37"/>
      <c r="UJJ17" s="37"/>
      <c r="UJK17" s="37"/>
      <c r="UJL17" s="37"/>
      <c r="UJM17" s="37"/>
      <c r="UJN17" s="37"/>
      <c r="UJO17" s="37"/>
      <c r="UJP17" s="37"/>
      <c r="UJQ17" s="37"/>
      <c r="UJR17" s="37"/>
      <c r="UJS17" s="37"/>
      <c r="UJT17" s="37"/>
      <c r="UJU17" s="37"/>
      <c r="UJV17" s="37"/>
      <c r="UJW17" s="37"/>
      <c r="UJX17" s="37"/>
      <c r="UJY17" s="37"/>
      <c r="UJZ17" s="37"/>
      <c r="UKA17" s="37"/>
      <c r="UKB17" s="37"/>
      <c r="UKC17" s="37"/>
      <c r="UKD17" s="37"/>
      <c r="UKE17" s="37"/>
      <c r="UKF17" s="37"/>
      <c r="UKG17" s="37"/>
      <c r="UKH17" s="37"/>
      <c r="UKI17" s="37"/>
      <c r="UKJ17" s="37"/>
      <c r="UKK17" s="37"/>
      <c r="UKL17" s="37"/>
      <c r="UKM17" s="37"/>
      <c r="UKN17" s="37"/>
      <c r="UKO17" s="37"/>
      <c r="UKP17" s="37"/>
      <c r="UKQ17" s="37"/>
      <c r="UKR17" s="37"/>
      <c r="UKS17" s="37"/>
      <c r="UKT17" s="37"/>
      <c r="UKU17" s="37"/>
      <c r="UKV17" s="37"/>
      <c r="UKW17" s="37"/>
      <c r="UKX17" s="37"/>
      <c r="UKY17" s="37"/>
      <c r="UKZ17" s="37"/>
      <c r="ULA17" s="37"/>
      <c r="ULB17" s="37"/>
      <c r="ULC17" s="37"/>
      <c r="ULD17" s="37"/>
      <c r="ULE17" s="37"/>
      <c r="ULF17" s="37"/>
      <c r="ULG17" s="37"/>
      <c r="ULH17" s="37"/>
      <c r="ULI17" s="37"/>
      <c r="ULJ17" s="37"/>
      <c r="ULK17" s="37"/>
      <c r="ULL17" s="37"/>
      <c r="ULM17" s="37"/>
      <c r="ULN17" s="37"/>
      <c r="ULO17" s="37"/>
      <c r="ULP17" s="37"/>
      <c r="ULQ17" s="37"/>
      <c r="ULR17" s="37"/>
      <c r="ULS17" s="37"/>
      <c r="ULT17" s="37"/>
      <c r="ULU17" s="37"/>
      <c r="ULV17" s="37"/>
      <c r="ULW17" s="37"/>
      <c r="ULX17" s="37"/>
      <c r="ULY17" s="37"/>
      <c r="ULZ17" s="37"/>
      <c r="UMA17" s="37"/>
      <c r="UMB17" s="37"/>
      <c r="UMC17" s="37"/>
      <c r="UMD17" s="37"/>
      <c r="UME17" s="37"/>
      <c r="UMF17" s="37"/>
      <c r="UMG17" s="37"/>
      <c r="UMH17" s="37"/>
      <c r="UMI17" s="37"/>
      <c r="UMJ17" s="37"/>
      <c r="UMK17" s="37"/>
      <c r="UML17" s="37"/>
      <c r="UMM17" s="37"/>
      <c r="UMN17" s="37"/>
      <c r="UMO17" s="37"/>
      <c r="UMP17" s="37"/>
      <c r="UMQ17" s="37"/>
      <c r="UMR17" s="37"/>
      <c r="UMS17" s="37"/>
      <c r="UMT17" s="37"/>
      <c r="UMU17" s="37"/>
      <c r="UMV17" s="37"/>
      <c r="UMW17" s="37"/>
      <c r="UMX17" s="37"/>
      <c r="UMY17" s="37"/>
      <c r="UMZ17" s="37"/>
      <c r="UNA17" s="37"/>
      <c r="UNB17" s="37"/>
      <c r="UNC17" s="37"/>
      <c r="UND17" s="37"/>
      <c r="UNE17" s="37"/>
      <c r="UNF17" s="37"/>
      <c r="UNG17" s="37"/>
      <c r="UNH17" s="37"/>
      <c r="UNI17" s="37"/>
      <c r="UNJ17" s="37"/>
      <c r="UNK17" s="37"/>
      <c r="UNL17" s="37"/>
      <c r="UNM17" s="37"/>
      <c r="UNN17" s="37"/>
      <c r="UNO17" s="37"/>
      <c r="UNP17" s="37"/>
      <c r="UNQ17" s="37"/>
      <c r="UNR17" s="37"/>
      <c r="UNS17" s="37"/>
      <c r="UNT17" s="37"/>
      <c r="UNU17" s="37"/>
      <c r="UNV17" s="37"/>
      <c r="UNW17" s="37"/>
      <c r="UNX17" s="37"/>
      <c r="UNY17" s="37"/>
      <c r="UNZ17" s="37"/>
      <c r="UOA17" s="37"/>
      <c r="UOB17" s="37"/>
      <c r="UOC17" s="37"/>
      <c r="UOD17" s="37"/>
      <c r="UOE17" s="37"/>
      <c r="UOF17" s="37"/>
      <c r="UOG17" s="37"/>
      <c r="UOH17" s="37"/>
      <c r="UOI17" s="37"/>
      <c r="UOJ17" s="37"/>
      <c r="UOK17" s="37"/>
      <c r="UOL17" s="37"/>
      <c r="UOM17" s="37"/>
      <c r="UON17" s="37"/>
      <c r="UOO17" s="37"/>
      <c r="UOP17" s="37"/>
      <c r="UOQ17" s="37"/>
      <c r="UOR17" s="37"/>
      <c r="UOS17" s="37"/>
      <c r="UOT17" s="37"/>
      <c r="UOU17" s="37"/>
      <c r="UOV17" s="37"/>
      <c r="UOW17" s="37"/>
      <c r="UOX17" s="37"/>
      <c r="UOY17" s="37"/>
      <c r="UOZ17" s="37"/>
      <c r="UPA17" s="37"/>
      <c r="UPB17" s="37"/>
      <c r="UPC17" s="37"/>
      <c r="UPD17" s="37"/>
      <c r="UPE17" s="37"/>
      <c r="UPF17" s="37"/>
      <c r="UPG17" s="37"/>
      <c r="UPH17" s="37"/>
      <c r="UPI17" s="37"/>
      <c r="UPJ17" s="37"/>
      <c r="UPK17" s="37"/>
      <c r="UPL17" s="37"/>
      <c r="UPM17" s="37"/>
      <c r="UPN17" s="37"/>
      <c r="UPO17" s="37"/>
      <c r="UPP17" s="37"/>
      <c r="UPQ17" s="37"/>
      <c r="UPR17" s="37"/>
      <c r="UPS17" s="37"/>
      <c r="UPT17" s="37"/>
      <c r="UPU17" s="37"/>
      <c r="UPV17" s="37"/>
      <c r="UPW17" s="37"/>
      <c r="UPX17" s="37"/>
      <c r="UPY17" s="37"/>
      <c r="UPZ17" s="37"/>
      <c r="UQA17" s="37"/>
      <c r="UQB17" s="37"/>
      <c r="UQC17" s="37"/>
      <c r="UQD17" s="37"/>
      <c r="UQE17" s="37"/>
      <c r="UQF17" s="37"/>
      <c r="UQG17" s="37"/>
      <c r="UQH17" s="37"/>
      <c r="UQI17" s="37"/>
      <c r="UQJ17" s="37"/>
      <c r="UQK17" s="37"/>
      <c r="UQL17" s="37"/>
      <c r="UQM17" s="37"/>
      <c r="UQN17" s="37"/>
      <c r="UQO17" s="37"/>
      <c r="UQP17" s="37"/>
      <c r="UQQ17" s="37"/>
      <c r="UQR17" s="37"/>
      <c r="UQS17" s="37"/>
      <c r="UQT17" s="37"/>
      <c r="UQU17" s="37"/>
      <c r="UQV17" s="37"/>
      <c r="UQW17" s="37"/>
      <c r="UQX17" s="37"/>
      <c r="UQY17" s="37"/>
      <c r="UQZ17" s="37"/>
      <c r="URA17" s="37"/>
      <c r="URB17" s="37"/>
      <c r="URC17" s="37"/>
      <c r="URD17" s="37"/>
      <c r="URE17" s="37"/>
      <c r="URF17" s="37"/>
      <c r="URG17" s="37"/>
      <c r="URH17" s="37"/>
      <c r="URI17" s="37"/>
      <c r="URJ17" s="37"/>
      <c r="URK17" s="37"/>
      <c r="URL17" s="37"/>
      <c r="URM17" s="37"/>
      <c r="URN17" s="37"/>
      <c r="URO17" s="37"/>
      <c r="URP17" s="37"/>
      <c r="URQ17" s="37"/>
      <c r="URR17" s="37"/>
      <c r="URS17" s="37"/>
      <c r="URT17" s="37"/>
      <c r="URU17" s="37"/>
      <c r="URV17" s="37"/>
      <c r="URW17" s="37"/>
      <c r="URX17" s="37"/>
      <c r="URY17" s="37"/>
      <c r="URZ17" s="37"/>
      <c r="USA17" s="37"/>
      <c r="USB17" s="37"/>
      <c r="USC17" s="37"/>
      <c r="USD17" s="37"/>
      <c r="USE17" s="37"/>
      <c r="USF17" s="37"/>
      <c r="USG17" s="37"/>
      <c r="USH17" s="37"/>
      <c r="USI17" s="37"/>
      <c r="USJ17" s="37"/>
      <c r="USK17" s="37"/>
      <c r="USL17" s="37"/>
      <c r="USM17" s="37"/>
      <c r="USN17" s="37"/>
      <c r="USO17" s="37"/>
      <c r="USP17" s="37"/>
      <c r="USQ17" s="37"/>
      <c r="USR17" s="37"/>
      <c r="USS17" s="37"/>
      <c r="UST17" s="37"/>
      <c r="USU17" s="37"/>
      <c r="USV17" s="37"/>
      <c r="USW17" s="37"/>
      <c r="USX17" s="37"/>
      <c r="USY17" s="37"/>
      <c r="USZ17" s="37"/>
      <c r="UTA17" s="37"/>
      <c r="UTB17" s="37"/>
      <c r="UTC17" s="37"/>
      <c r="UTD17" s="37"/>
      <c r="UTE17" s="37"/>
      <c r="UTF17" s="37"/>
      <c r="UTG17" s="37"/>
      <c r="UTH17" s="37"/>
      <c r="UTI17" s="37"/>
      <c r="UTJ17" s="37"/>
      <c r="UTK17" s="37"/>
      <c r="UTL17" s="37"/>
      <c r="UTM17" s="37"/>
      <c r="UTN17" s="37"/>
      <c r="UTO17" s="37"/>
      <c r="UTP17" s="37"/>
      <c r="UTQ17" s="37"/>
      <c r="UTR17" s="37"/>
      <c r="UTS17" s="37"/>
      <c r="UTT17" s="37"/>
      <c r="UTU17" s="37"/>
      <c r="UTV17" s="37"/>
      <c r="UTW17" s="37"/>
      <c r="UTX17" s="37"/>
      <c r="UTY17" s="37"/>
      <c r="UTZ17" s="37"/>
      <c r="UUA17" s="37"/>
      <c r="UUB17" s="37"/>
      <c r="UUC17" s="37"/>
      <c r="UUD17" s="37"/>
      <c r="UUE17" s="37"/>
      <c r="UUF17" s="37"/>
      <c r="UUG17" s="37"/>
      <c r="UUH17" s="37"/>
      <c r="UUI17" s="37"/>
      <c r="UUJ17" s="37"/>
      <c r="UUK17" s="37"/>
      <c r="UUL17" s="37"/>
      <c r="UUM17" s="37"/>
      <c r="UUN17" s="37"/>
      <c r="UUO17" s="37"/>
      <c r="UUP17" s="37"/>
      <c r="UUQ17" s="37"/>
      <c r="UUR17" s="37"/>
      <c r="UUS17" s="37"/>
      <c r="UUT17" s="37"/>
      <c r="UUU17" s="37"/>
      <c r="UUV17" s="37"/>
      <c r="UUW17" s="37"/>
      <c r="UUX17" s="37"/>
      <c r="UUY17" s="37"/>
      <c r="UUZ17" s="37"/>
      <c r="UVA17" s="37"/>
      <c r="UVB17" s="37"/>
      <c r="UVC17" s="37"/>
      <c r="UVD17" s="37"/>
      <c r="UVE17" s="37"/>
      <c r="UVF17" s="37"/>
      <c r="UVG17" s="37"/>
      <c r="UVH17" s="37"/>
      <c r="UVI17" s="37"/>
      <c r="UVJ17" s="37"/>
      <c r="UVK17" s="37"/>
      <c r="UVL17" s="37"/>
      <c r="UVM17" s="37"/>
      <c r="UVN17" s="37"/>
      <c r="UVO17" s="37"/>
      <c r="UVP17" s="37"/>
      <c r="UVQ17" s="37"/>
      <c r="UVR17" s="37"/>
      <c r="UVS17" s="37"/>
      <c r="UVT17" s="37"/>
      <c r="UVU17" s="37"/>
      <c r="UVV17" s="37"/>
      <c r="UVW17" s="37"/>
      <c r="UVX17" s="37"/>
      <c r="UVY17" s="37"/>
      <c r="UVZ17" s="37"/>
      <c r="UWA17" s="37"/>
      <c r="UWB17" s="37"/>
      <c r="UWC17" s="37"/>
      <c r="UWD17" s="37"/>
      <c r="UWE17" s="37"/>
      <c r="UWF17" s="37"/>
      <c r="UWG17" s="37"/>
      <c r="UWH17" s="37"/>
      <c r="UWI17" s="37"/>
      <c r="UWJ17" s="37"/>
      <c r="UWK17" s="37"/>
      <c r="UWL17" s="37"/>
      <c r="UWM17" s="37"/>
      <c r="UWN17" s="37"/>
      <c r="UWO17" s="37"/>
      <c r="UWP17" s="37"/>
      <c r="UWQ17" s="37"/>
      <c r="UWR17" s="37"/>
      <c r="UWS17" s="37"/>
      <c r="UWT17" s="37"/>
      <c r="UWU17" s="37"/>
      <c r="UWV17" s="37"/>
      <c r="UWW17" s="37"/>
      <c r="UWX17" s="37"/>
      <c r="UWY17" s="37"/>
      <c r="UWZ17" s="37"/>
      <c r="UXA17" s="37"/>
      <c r="UXB17" s="37"/>
      <c r="UXC17" s="37"/>
      <c r="UXD17" s="37"/>
      <c r="UXE17" s="37"/>
      <c r="UXF17" s="37"/>
      <c r="UXG17" s="37"/>
      <c r="UXH17" s="37"/>
      <c r="UXI17" s="37"/>
      <c r="UXJ17" s="37"/>
      <c r="UXK17" s="37"/>
      <c r="UXL17" s="37"/>
      <c r="UXM17" s="37"/>
      <c r="UXN17" s="37"/>
      <c r="UXO17" s="37"/>
      <c r="UXP17" s="37"/>
      <c r="UXQ17" s="37"/>
      <c r="UXR17" s="37"/>
      <c r="UXS17" s="37"/>
      <c r="UXT17" s="37"/>
      <c r="UXU17" s="37"/>
      <c r="UXV17" s="37"/>
      <c r="UXW17" s="37"/>
      <c r="UXX17" s="37"/>
      <c r="UXY17" s="37"/>
      <c r="UXZ17" s="37"/>
      <c r="UYA17" s="37"/>
      <c r="UYB17" s="37"/>
      <c r="UYC17" s="37"/>
      <c r="UYD17" s="37"/>
      <c r="UYE17" s="37"/>
      <c r="UYF17" s="37"/>
      <c r="UYG17" s="37"/>
      <c r="UYH17" s="37"/>
      <c r="UYI17" s="37"/>
      <c r="UYJ17" s="37"/>
      <c r="UYK17" s="37"/>
      <c r="UYL17" s="37"/>
      <c r="UYM17" s="37"/>
      <c r="UYN17" s="37"/>
      <c r="UYO17" s="37"/>
      <c r="UYP17" s="37"/>
      <c r="UYQ17" s="37"/>
      <c r="UYR17" s="37"/>
      <c r="UYS17" s="37"/>
      <c r="UYT17" s="37"/>
      <c r="UYU17" s="37"/>
      <c r="UYV17" s="37"/>
      <c r="UYW17" s="37"/>
      <c r="UYX17" s="37"/>
      <c r="UYY17" s="37"/>
      <c r="UYZ17" s="37"/>
      <c r="UZA17" s="37"/>
      <c r="UZB17" s="37"/>
      <c r="UZC17" s="37"/>
      <c r="UZD17" s="37"/>
      <c r="UZE17" s="37"/>
      <c r="UZF17" s="37"/>
      <c r="UZG17" s="37"/>
      <c r="UZH17" s="37"/>
      <c r="UZI17" s="37"/>
      <c r="UZJ17" s="37"/>
      <c r="UZK17" s="37"/>
      <c r="UZL17" s="37"/>
      <c r="UZM17" s="37"/>
      <c r="UZN17" s="37"/>
      <c r="UZO17" s="37"/>
      <c r="UZP17" s="37"/>
      <c r="UZQ17" s="37"/>
      <c r="UZR17" s="37"/>
      <c r="UZS17" s="37"/>
      <c r="UZT17" s="37"/>
      <c r="UZU17" s="37"/>
      <c r="UZV17" s="37"/>
      <c r="UZW17" s="37"/>
      <c r="UZX17" s="37"/>
      <c r="UZY17" s="37"/>
      <c r="UZZ17" s="37"/>
      <c r="VAA17" s="37"/>
      <c r="VAB17" s="37"/>
      <c r="VAC17" s="37"/>
      <c r="VAD17" s="37"/>
      <c r="VAE17" s="37"/>
      <c r="VAF17" s="37"/>
      <c r="VAG17" s="37"/>
      <c r="VAH17" s="37"/>
      <c r="VAI17" s="37"/>
      <c r="VAJ17" s="37"/>
      <c r="VAK17" s="37"/>
      <c r="VAL17" s="37"/>
      <c r="VAM17" s="37"/>
      <c r="VAN17" s="37"/>
      <c r="VAO17" s="37"/>
      <c r="VAP17" s="37"/>
      <c r="VAQ17" s="37"/>
      <c r="VAR17" s="37"/>
      <c r="VAS17" s="37"/>
      <c r="VAT17" s="37"/>
      <c r="VAU17" s="37"/>
      <c r="VAV17" s="37"/>
      <c r="VAW17" s="37"/>
      <c r="VAX17" s="37"/>
      <c r="VAY17" s="37"/>
      <c r="VAZ17" s="37"/>
      <c r="VBA17" s="37"/>
      <c r="VBB17" s="37"/>
      <c r="VBC17" s="37"/>
      <c r="VBD17" s="37"/>
      <c r="VBE17" s="37"/>
      <c r="VBF17" s="37"/>
      <c r="VBG17" s="37"/>
      <c r="VBH17" s="37"/>
      <c r="VBI17" s="37"/>
      <c r="VBJ17" s="37"/>
      <c r="VBK17" s="37"/>
      <c r="VBL17" s="37"/>
      <c r="VBM17" s="37"/>
      <c r="VBN17" s="37"/>
      <c r="VBO17" s="37"/>
      <c r="VBP17" s="37"/>
      <c r="VBQ17" s="37"/>
      <c r="VBR17" s="37"/>
      <c r="VBS17" s="37"/>
      <c r="VBT17" s="37"/>
      <c r="VBU17" s="37"/>
      <c r="VBV17" s="37"/>
      <c r="VBW17" s="37"/>
      <c r="VBX17" s="37"/>
      <c r="VBY17" s="37"/>
      <c r="VBZ17" s="37"/>
      <c r="VCA17" s="37"/>
      <c r="VCB17" s="37"/>
      <c r="VCC17" s="37"/>
      <c r="VCD17" s="37"/>
      <c r="VCE17" s="37"/>
      <c r="VCF17" s="37"/>
      <c r="VCG17" s="37"/>
      <c r="VCH17" s="37"/>
      <c r="VCI17" s="37"/>
      <c r="VCJ17" s="37"/>
      <c r="VCK17" s="37"/>
      <c r="VCL17" s="37"/>
      <c r="VCM17" s="37"/>
      <c r="VCN17" s="37"/>
      <c r="VCO17" s="37"/>
      <c r="VCP17" s="37"/>
      <c r="VCQ17" s="37"/>
      <c r="VCR17" s="37"/>
      <c r="VCS17" s="37"/>
      <c r="VCT17" s="37"/>
      <c r="VCU17" s="37"/>
      <c r="VCV17" s="37"/>
      <c r="VCW17" s="37"/>
      <c r="VCX17" s="37"/>
      <c r="VCY17" s="37"/>
      <c r="VCZ17" s="37"/>
      <c r="VDA17" s="37"/>
      <c r="VDB17" s="37"/>
      <c r="VDC17" s="37"/>
      <c r="VDD17" s="37"/>
      <c r="VDE17" s="37"/>
      <c r="VDF17" s="37"/>
      <c r="VDG17" s="37"/>
      <c r="VDH17" s="37"/>
      <c r="VDI17" s="37"/>
      <c r="VDJ17" s="37"/>
      <c r="VDK17" s="37"/>
      <c r="VDL17" s="37"/>
      <c r="VDM17" s="37"/>
      <c r="VDN17" s="37"/>
      <c r="VDO17" s="37"/>
      <c r="VDP17" s="37"/>
      <c r="VDQ17" s="37"/>
      <c r="VDR17" s="37"/>
      <c r="VDS17" s="37"/>
      <c r="VDT17" s="37"/>
      <c r="VDU17" s="37"/>
      <c r="VDV17" s="37"/>
      <c r="VDW17" s="37"/>
      <c r="VDX17" s="37"/>
      <c r="VDY17" s="37"/>
      <c r="VDZ17" s="37"/>
      <c r="VEA17" s="37"/>
      <c r="VEB17" s="37"/>
      <c r="VEC17" s="37"/>
      <c r="VED17" s="37"/>
      <c r="VEE17" s="37"/>
      <c r="VEF17" s="37"/>
      <c r="VEG17" s="37"/>
      <c r="VEH17" s="37"/>
      <c r="VEI17" s="37"/>
      <c r="VEJ17" s="37"/>
      <c r="VEK17" s="37"/>
      <c r="VEL17" s="37"/>
      <c r="VEM17" s="37"/>
      <c r="VEN17" s="37"/>
      <c r="VEO17" s="37"/>
      <c r="VEP17" s="37"/>
      <c r="VEQ17" s="37"/>
      <c r="VER17" s="37"/>
      <c r="VES17" s="37"/>
      <c r="VET17" s="37"/>
      <c r="VEU17" s="37"/>
      <c r="VEV17" s="37"/>
      <c r="VEW17" s="37"/>
      <c r="VEX17" s="37"/>
      <c r="VEY17" s="37"/>
      <c r="VEZ17" s="37"/>
      <c r="VFA17" s="37"/>
      <c r="VFB17" s="37"/>
      <c r="VFC17" s="37"/>
      <c r="VFD17" s="37"/>
      <c r="VFE17" s="37"/>
      <c r="VFF17" s="37"/>
      <c r="VFG17" s="37"/>
      <c r="VFH17" s="37"/>
      <c r="VFI17" s="37"/>
      <c r="VFJ17" s="37"/>
      <c r="VFK17" s="37"/>
      <c r="VFL17" s="37"/>
      <c r="VFM17" s="37"/>
      <c r="VFN17" s="37"/>
      <c r="VFO17" s="37"/>
      <c r="VFP17" s="37"/>
      <c r="VFQ17" s="37"/>
      <c r="VFR17" s="37"/>
      <c r="VFS17" s="37"/>
      <c r="VFT17" s="37"/>
      <c r="VFU17" s="37"/>
      <c r="VFV17" s="37"/>
      <c r="VFW17" s="37"/>
      <c r="VFX17" s="37"/>
      <c r="VFY17" s="37"/>
      <c r="VFZ17" s="37"/>
      <c r="VGA17" s="37"/>
      <c r="VGB17" s="37"/>
      <c r="VGC17" s="37"/>
      <c r="VGD17" s="37"/>
      <c r="VGE17" s="37"/>
      <c r="VGF17" s="37"/>
      <c r="VGG17" s="37"/>
      <c r="VGH17" s="37"/>
      <c r="VGI17" s="37"/>
      <c r="VGJ17" s="37"/>
      <c r="VGK17" s="37"/>
      <c r="VGL17" s="37"/>
      <c r="VGM17" s="37"/>
      <c r="VGN17" s="37"/>
      <c r="VGO17" s="37"/>
      <c r="VGP17" s="37"/>
      <c r="VGQ17" s="37"/>
      <c r="VGR17" s="37"/>
      <c r="VGS17" s="37"/>
      <c r="VGT17" s="37"/>
      <c r="VGU17" s="37"/>
      <c r="VGV17" s="37"/>
      <c r="VGW17" s="37"/>
      <c r="VGX17" s="37"/>
      <c r="VGY17" s="37"/>
      <c r="VGZ17" s="37"/>
      <c r="VHA17" s="37"/>
      <c r="VHB17" s="37"/>
      <c r="VHC17" s="37"/>
      <c r="VHD17" s="37"/>
      <c r="VHE17" s="37"/>
      <c r="VHF17" s="37"/>
      <c r="VHG17" s="37"/>
      <c r="VHH17" s="37"/>
      <c r="VHI17" s="37"/>
      <c r="VHJ17" s="37"/>
      <c r="VHK17" s="37"/>
      <c r="VHL17" s="37"/>
      <c r="VHM17" s="37"/>
      <c r="VHN17" s="37"/>
      <c r="VHO17" s="37"/>
      <c r="VHP17" s="37"/>
      <c r="VHQ17" s="37"/>
      <c r="VHR17" s="37"/>
      <c r="VHS17" s="37"/>
      <c r="VHT17" s="37"/>
      <c r="VHU17" s="37"/>
      <c r="VHV17" s="37"/>
      <c r="VHW17" s="37"/>
      <c r="VHX17" s="37"/>
      <c r="VHY17" s="37"/>
      <c r="VHZ17" s="37"/>
      <c r="VIA17" s="37"/>
      <c r="VIB17" s="37"/>
      <c r="VIC17" s="37"/>
      <c r="VID17" s="37"/>
      <c r="VIE17" s="37"/>
      <c r="VIF17" s="37"/>
      <c r="VIG17" s="37"/>
      <c r="VIH17" s="37"/>
      <c r="VII17" s="37"/>
      <c r="VIJ17" s="37"/>
      <c r="VIK17" s="37"/>
      <c r="VIL17" s="37"/>
      <c r="VIM17" s="37"/>
      <c r="VIN17" s="37"/>
      <c r="VIO17" s="37"/>
      <c r="VIP17" s="37"/>
      <c r="VIQ17" s="37"/>
      <c r="VIR17" s="37"/>
      <c r="VIS17" s="37"/>
      <c r="VIT17" s="37"/>
      <c r="VIU17" s="37"/>
      <c r="VIV17" s="37"/>
      <c r="VIW17" s="37"/>
      <c r="VIX17" s="37"/>
      <c r="VIY17" s="37"/>
      <c r="VIZ17" s="37"/>
      <c r="VJA17" s="37"/>
      <c r="VJB17" s="37"/>
      <c r="VJC17" s="37"/>
      <c r="VJD17" s="37"/>
      <c r="VJE17" s="37"/>
      <c r="VJF17" s="37"/>
      <c r="VJG17" s="37"/>
      <c r="VJH17" s="37"/>
      <c r="VJI17" s="37"/>
      <c r="VJJ17" s="37"/>
      <c r="VJK17" s="37"/>
      <c r="VJL17" s="37"/>
      <c r="VJM17" s="37"/>
      <c r="VJN17" s="37"/>
      <c r="VJO17" s="37"/>
      <c r="VJP17" s="37"/>
      <c r="VJQ17" s="37"/>
      <c r="VJR17" s="37"/>
      <c r="VJS17" s="37"/>
      <c r="VJT17" s="37"/>
      <c r="VJU17" s="37"/>
      <c r="VJV17" s="37"/>
      <c r="VJW17" s="37"/>
      <c r="VJX17" s="37"/>
      <c r="VJY17" s="37"/>
      <c r="VJZ17" s="37"/>
      <c r="VKA17" s="37"/>
      <c r="VKB17" s="37"/>
      <c r="VKC17" s="37"/>
      <c r="VKD17" s="37"/>
      <c r="VKE17" s="37"/>
      <c r="VKF17" s="37"/>
      <c r="VKG17" s="37"/>
      <c r="VKH17" s="37"/>
      <c r="VKI17" s="37"/>
      <c r="VKJ17" s="37"/>
      <c r="VKK17" s="37"/>
      <c r="VKL17" s="37"/>
      <c r="VKM17" s="37"/>
      <c r="VKN17" s="37"/>
      <c r="VKO17" s="37"/>
      <c r="VKP17" s="37"/>
      <c r="VKQ17" s="37"/>
      <c r="VKR17" s="37"/>
      <c r="VKS17" s="37"/>
      <c r="VKT17" s="37"/>
      <c r="VKU17" s="37"/>
      <c r="VKV17" s="37"/>
      <c r="VKW17" s="37"/>
      <c r="VKX17" s="37"/>
      <c r="VKY17" s="37"/>
      <c r="VKZ17" s="37"/>
      <c r="VLA17" s="37"/>
      <c r="VLB17" s="37"/>
      <c r="VLC17" s="37"/>
      <c r="VLD17" s="37"/>
      <c r="VLE17" s="37"/>
      <c r="VLF17" s="37"/>
      <c r="VLG17" s="37"/>
      <c r="VLH17" s="37"/>
      <c r="VLI17" s="37"/>
      <c r="VLJ17" s="37"/>
      <c r="VLK17" s="37"/>
      <c r="VLL17" s="37"/>
      <c r="VLM17" s="37"/>
      <c r="VLN17" s="37"/>
      <c r="VLO17" s="37"/>
      <c r="VLP17" s="37"/>
      <c r="VLQ17" s="37"/>
      <c r="VLR17" s="37"/>
      <c r="VLS17" s="37"/>
      <c r="VLT17" s="37"/>
      <c r="VLU17" s="37"/>
      <c r="VLV17" s="37"/>
      <c r="VLW17" s="37"/>
      <c r="VLX17" s="37"/>
      <c r="VLY17" s="37"/>
      <c r="VLZ17" s="37"/>
      <c r="VMA17" s="37"/>
      <c r="VMB17" s="37"/>
      <c r="VMC17" s="37"/>
      <c r="VMD17" s="37"/>
      <c r="VME17" s="37"/>
      <c r="VMF17" s="37"/>
      <c r="VMG17" s="37"/>
      <c r="VMH17" s="37"/>
      <c r="VMI17" s="37"/>
      <c r="VMJ17" s="37"/>
      <c r="VMK17" s="37"/>
      <c r="VML17" s="37"/>
      <c r="VMM17" s="37"/>
      <c r="VMN17" s="37"/>
      <c r="VMO17" s="37"/>
      <c r="VMP17" s="37"/>
      <c r="VMQ17" s="37"/>
      <c r="VMR17" s="37"/>
      <c r="VMS17" s="37"/>
      <c r="VMT17" s="37"/>
      <c r="VMU17" s="37"/>
      <c r="VMV17" s="37"/>
      <c r="VMW17" s="37"/>
      <c r="VMX17" s="37"/>
      <c r="VMY17" s="37"/>
      <c r="VMZ17" s="37"/>
      <c r="VNA17" s="37"/>
      <c r="VNB17" s="37"/>
      <c r="VNC17" s="37"/>
      <c r="VND17" s="37"/>
      <c r="VNE17" s="37"/>
      <c r="VNF17" s="37"/>
      <c r="VNG17" s="37"/>
      <c r="VNH17" s="37"/>
      <c r="VNI17" s="37"/>
      <c r="VNJ17" s="37"/>
      <c r="VNK17" s="37"/>
      <c r="VNL17" s="37"/>
      <c r="VNM17" s="37"/>
      <c r="VNN17" s="37"/>
      <c r="VNO17" s="37"/>
      <c r="VNP17" s="37"/>
      <c r="VNQ17" s="37"/>
      <c r="VNR17" s="37"/>
      <c r="VNS17" s="37"/>
      <c r="VNT17" s="37"/>
      <c r="VNU17" s="37"/>
      <c r="VNV17" s="37"/>
      <c r="VNW17" s="37"/>
      <c r="VNX17" s="37"/>
      <c r="VNY17" s="37"/>
      <c r="VNZ17" s="37"/>
      <c r="VOA17" s="37"/>
      <c r="VOB17" s="37"/>
      <c r="VOC17" s="37"/>
      <c r="VOD17" s="37"/>
      <c r="VOE17" s="37"/>
      <c r="VOF17" s="37"/>
      <c r="VOG17" s="37"/>
      <c r="VOH17" s="37"/>
      <c r="VOI17" s="37"/>
      <c r="VOJ17" s="37"/>
      <c r="VOK17" s="37"/>
      <c r="VOL17" s="37"/>
      <c r="VOM17" s="37"/>
      <c r="VON17" s="37"/>
      <c r="VOO17" s="37"/>
      <c r="VOP17" s="37"/>
      <c r="VOQ17" s="37"/>
      <c r="VOR17" s="37"/>
      <c r="VOS17" s="37"/>
      <c r="VOT17" s="37"/>
      <c r="VOU17" s="37"/>
      <c r="VOV17" s="37"/>
      <c r="VOW17" s="37"/>
      <c r="VOX17" s="37"/>
      <c r="VOY17" s="37"/>
      <c r="VOZ17" s="37"/>
      <c r="VPA17" s="37"/>
      <c r="VPB17" s="37"/>
      <c r="VPC17" s="37"/>
      <c r="VPD17" s="37"/>
      <c r="VPE17" s="37"/>
      <c r="VPF17" s="37"/>
      <c r="VPG17" s="37"/>
      <c r="VPH17" s="37"/>
      <c r="VPI17" s="37"/>
      <c r="VPJ17" s="37"/>
      <c r="VPK17" s="37"/>
      <c r="VPL17" s="37"/>
      <c r="VPM17" s="37"/>
      <c r="VPN17" s="37"/>
      <c r="VPO17" s="37"/>
      <c r="VPP17" s="37"/>
      <c r="VPQ17" s="37"/>
      <c r="VPR17" s="37"/>
      <c r="VPS17" s="37"/>
      <c r="VPT17" s="37"/>
      <c r="VPU17" s="37"/>
      <c r="VPV17" s="37"/>
      <c r="VPW17" s="37"/>
      <c r="VPX17" s="37"/>
      <c r="VPY17" s="37"/>
      <c r="VPZ17" s="37"/>
      <c r="VQA17" s="37"/>
      <c r="VQB17" s="37"/>
      <c r="VQC17" s="37"/>
      <c r="VQD17" s="37"/>
      <c r="VQE17" s="37"/>
      <c r="VQF17" s="37"/>
      <c r="VQG17" s="37"/>
      <c r="VQH17" s="37"/>
      <c r="VQI17" s="37"/>
      <c r="VQJ17" s="37"/>
      <c r="VQK17" s="37"/>
      <c r="VQL17" s="37"/>
      <c r="VQM17" s="37"/>
      <c r="VQN17" s="37"/>
      <c r="VQO17" s="37"/>
      <c r="VQP17" s="37"/>
      <c r="VQQ17" s="37"/>
      <c r="VQR17" s="37"/>
      <c r="VQS17" s="37"/>
      <c r="VQT17" s="37"/>
      <c r="VQU17" s="37"/>
      <c r="VQV17" s="37"/>
      <c r="VQW17" s="37"/>
      <c r="VQX17" s="37"/>
      <c r="VQY17" s="37"/>
      <c r="VQZ17" s="37"/>
      <c r="VRA17" s="37"/>
      <c r="VRB17" s="37"/>
      <c r="VRC17" s="37"/>
      <c r="VRD17" s="37"/>
      <c r="VRE17" s="37"/>
      <c r="VRF17" s="37"/>
      <c r="VRG17" s="37"/>
      <c r="VRH17" s="37"/>
      <c r="VRI17" s="37"/>
      <c r="VRJ17" s="37"/>
      <c r="VRK17" s="37"/>
      <c r="VRL17" s="37"/>
      <c r="VRM17" s="37"/>
      <c r="VRN17" s="37"/>
      <c r="VRO17" s="37"/>
      <c r="VRP17" s="37"/>
      <c r="VRQ17" s="37"/>
      <c r="VRR17" s="37"/>
      <c r="VRS17" s="37"/>
      <c r="VRT17" s="37"/>
      <c r="VRU17" s="37"/>
      <c r="VRV17" s="37"/>
      <c r="VRW17" s="37"/>
      <c r="VRX17" s="37"/>
      <c r="VRY17" s="37"/>
      <c r="VRZ17" s="37"/>
      <c r="VSA17" s="37"/>
      <c r="VSB17" s="37"/>
      <c r="VSC17" s="37"/>
      <c r="VSD17" s="37"/>
      <c r="VSE17" s="37"/>
      <c r="VSF17" s="37"/>
      <c r="VSG17" s="37"/>
      <c r="VSH17" s="37"/>
      <c r="VSI17" s="37"/>
      <c r="VSJ17" s="37"/>
      <c r="VSK17" s="37"/>
      <c r="VSL17" s="37"/>
      <c r="VSM17" s="37"/>
      <c r="VSN17" s="37"/>
      <c r="VSO17" s="37"/>
      <c r="VSP17" s="37"/>
      <c r="VSQ17" s="37"/>
      <c r="VSR17" s="37"/>
      <c r="VSS17" s="37"/>
      <c r="VST17" s="37"/>
      <c r="VSU17" s="37"/>
      <c r="VSV17" s="37"/>
      <c r="VSW17" s="37"/>
      <c r="VSX17" s="37"/>
      <c r="VSY17" s="37"/>
      <c r="VSZ17" s="37"/>
      <c r="VTA17" s="37"/>
      <c r="VTB17" s="37"/>
      <c r="VTC17" s="37"/>
      <c r="VTD17" s="37"/>
      <c r="VTE17" s="37"/>
      <c r="VTF17" s="37"/>
      <c r="VTG17" s="37"/>
      <c r="VTH17" s="37"/>
      <c r="VTI17" s="37"/>
      <c r="VTJ17" s="37"/>
      <c r="VTK17" s="37"/>
      <c r="VTL17" s="37"/>
      <c r="VTM17" s="37"/>
      <c r="VTN17" s="37"/>
      <c r="VTO17" s="37"/>
      <c r="VTP17" s="37"/>
      <c r="VTQ17" s="37"/>
      <c r="VTR17" s="37"/>
      <c r="VTS17" s="37"/>
      <c r="VTT17" s="37"/>
      <c r="VTU17" s="37"/>
      <c r="VTV17" s="37"/>
      <c r="VTW17" s="37"/>
      <c r="VTX17" s="37"/>
      <c r="VTY17" s="37"/>
      <c r="VTZ17" s="37"/>
      <c r="VUA17" s="37"/>
      <c r="VUB17" s="37"/>
      <c r="VUC17" s="37"/>
      <c r="VUD17" s="37"/>
      <c r="VUE17" s="37"/>
      <c r="VUF17" s="37"/>
      <c r="VUG17" s="37"/>
      <c r="VUH17" s="37"/>
      <c r="VUI17" s="37"/>
      <c r="VUJ17" s="37"/>
      <c r="VUK17" s="37"/>
      <c r="VUL17" s="37"/>
      <c r="VUM17" s="37"/>
      <c r="VUN17" s="37"/>
      <c r="VUO17" s="37"/>
      <c r="VUP17" s="37"/>
      <c r="VUQ17" s="37"/>
      <c r="VUR17" s="37"/>
      <c r="VUS17" s="37"/>
      <c r="VUT17" s="37"/>
      <c r="VUU17" s="37"/>
      <c r="VUV17" s="37"/>
      <c r="VUW17" s="37"/>
      <c r="VUX17" s="37"/>
      <c r="VUY17" s="37"/>
      <c r="VUZ17" s="37"/>
      <c r="VVA17" s="37"/>
      <c r="VVB17" s="37"/>
      <c r="VVC17" s="37"/>
      <c r="VVD17" s="37"/>
      <c r="VVE17" s="37"/>
      <c r="VVF17" s="37"/>
      <c r="VVG17" s="37"/>
      <c r="VVH17" s="37"/>
      <c r="VVI17" s="37"/>
      <c r="VVJ17" s="37"/>
      <c r="VVK17" s="37"/>
      <c r="VVL17" s="37"/>
      <c r="VVM17" s="37"/>
      <c r="VVN17" s="37"/>
      <c r="VVO17" s="37"/>
      <c r="VVP17" s="37"/>
      <c r="VVQ17" s="37"/>
      <c r="VVR17" s="37"/>
      <c r="VVS17" s="37"/>
      <c r="VVT17" s="37"/>
      <c r="VVU17" s="37"/>
      <c r="VVV17" s="37"/>
      <c r="VVW17" s="37"/>
      <c r="VVX17" s="37"/>
      <c r="VVY17" s="37"/>
      <c r="VVZ17" s="37"/>
      <c r="VWA17" s="37"/>
      <c r="VWB17" s="37"/>
      <c r="VWC17" s="37"/>
      <c r="VWD17" s="37"/>
      <c r="VWE17" s="37"/>
      <c r="VWF17" s="37"/>
      <c r="VWG17" s="37"/>
      <c r="VWH17" s="37"/>
      <c r="VWI17" s="37"/>
      <c r="VWJ17" s="37"/>
      <c r="VWK17" s="37"/>
      <c r="VWL17" s="37"/>
      <c r="VWM17" s="37"/>
      <c r="VWN17" s="37"/>
      <c r="VWO17" s="37"/>
      <c r="VWP17" s="37"/>
      <c r="VWQ17" s="37"/>
      <c r="VWR17" s="37"/>
      <c r="VWS17" s="37"/>
      <c r="VWT17" s="37"/>
      <c r="VWU17" s="37"/>
      <c r="VWV17" s="37"/>
      <c r="VWW17" s="37"/>
      <c r="VWX17" s="37"/>
      <c r="VWY17" s="37"/>
      <c r="VWZ17" s="37"/>
      <c r="VXA17" s="37"/>
      <c r="VXB17" s="37"/>
      <c r="VXC17" s="37"/>
      <c r="VXD17" s="37"/>
      <c r="VXE17" s="37"/>
      <c r="VXF17" s="37"/>
      <c r="VXG17" s="37"/>
      <c r="VXH17" s="37"/>
      <c r="VXI17" s="37"/>
      <c r="VXJ17" s="37"/>
      <c r="VXK17" s="37"/>
      <c r="VXL17" s="37"/>
      <c r="VXM17" s="37"/>
      <c r="VXN17" s="37"/>
      <c r="VXO17" s="37"/>
      <c r="VXP17" s="37"/>
      <c r="VXQ17" s="37"/>
      <c r="VXR17" s="37"/>
      <c r="VXS17" s="37"/>
      <c r="VXT17" s="37"/>
      <c r="VXU17" s="37"/>
      <c r="VXV17" s="37"/>
      <c r="VXW17" s="37"/>
      <c r="VXX17" s="37"/>
      <c r="VXY17" s="37"/>
      <c r="VXZ17" s="37"/>
      <c r="VYA17" s="37"/>
      <c r="VYB17" s="37"/>
      <c r="VYC17" s="37"/>
      <c r="VYD17" s="37"/>
      <c r="VYE17" s="37"/>
      <c r="VYF17" s="37"/>
      <c r="VYG17" s="37"/>
      <c r="VYH17" s="37"/>
      <c r="VYI17" s="37"/>
      <c r="VYJ17" s="37"/>
      <c r="VYK17" s="37"/>
      <c r="VYL17" s="37"/>
      <c r="VYM17" s="37"/>
      <c r="VYN17" s="37"/>
      <c r="VYO17" s="37"/>
      <c r="VYP17" s="37"/>
      <c r="VYQ17" s="37"/>
      <c r="VYR17" s="37"/>
      <c r="VYS17" s="37"/>
      <c r="VYT17" s="37"/>
      <c r="VYU17" s="37"/>
      <c r="VYV17" s="37"/>
      <c r="VYW17" s="37"/>
      <c r="VYX17" s="37"/>
      <c r="VYY17" s="37"/>
      <c r="VYZ17" s="37"/>
      <c r="VZA17" s="37"/>
      <c r="VZB17" s="37"/>
      <c r="VZC17" s="37"/>
      <c r="VZD17" s="37"/>
      <c r="VZE17" s="37"/>
      <c r="VZF17" s="37"/>
      <c r="VZG17" s="37"/>
      <c r="VZH17" s="37"/>
      <c r="VZI17" s="37"/>
      <c r="VZJ17" s="37"/>
      <c r="VZK17" s="37"/>
      <c r="VZL17" s="37"/>
      <c r="VZM17" s="37"/>
      <c r="VZN17" s="37"/>
      <c r="VZO17" s="37"/>
      <c r="VZP17" s="37"/>
      <c r="VZQ17" s="37"/>
      <c r="VZR17" s="37"/>
      <c r="VZS17" s="37"/>
      <c r="VZT17" s="37"/>
      <c r="VZU17" s="37"/>
      <c r="VZV17" s="37"/>
      <c r="VZW17" s="37"/>
      <c r="VZX17" s="37"/>
      <c r="VZY17" s="37"/>
      <c r="VZZ17" s="37"/>
      <c r="WAA17" s="37"/>
      <c r="WAB17" s="37"/>
      <c r="WAC17" s="37"/>
      <c r="WAD17" s="37"/>
      <c r="WAE17" s="37"/>
      <c r="WAF17" s="37"/>
      <c r="WAG17" s="37"/>
      <c r="WAH17" s="37"/>
      <c r="WAI17" s="37"/>
      <c r="WAJ17" s="37"/>
      <c r="WAK17" s="37"/>
      <c r="WAL17" s="37"/>
      <c r="WAM17" s="37"/>
      <c r="WAN17" s="37"/>
      <c r="WAO17" s="37"/>
      <c r="WAP17" s="37"/>
      <c r="WAQ17" s="37"/>
      <c r="WAR17" s="37"/>
      <c r="WAS17" s="37"/>
      <c r="WAT17" s="37"/>
      <c r="WAU17" s="37"/>
      <c r="WAV17" s="37"/>
      <c r="WAW17" s="37"/>
      <c r="WAX17" s="37"/>
      <c r="WAY17" s="37"/>
      <c r="WAZ17" s="37"/>
      <c r="WBA17" s="37"/>
      <c r="WBB17" s="37"/>
      <c r="WBC17" s="37"/>
      <c r="WBD17" s="37"/>
      <c r="WBE17" s="37"/>
      <c r="WBF17" s="37"/>
      <c r="WBG17" s="37"/>
      <c r="WBH17" s="37"/>
      <c r="WBI17" s="37"/>
      <c r="WBJ17" s="37"/>
      <c r="WBK17" s="37"/>
      <c r="WBL17" s="37"/>
      <c r="WBM17" s="37"/>
      <c r="WBN17" s="37"/>
      <c r="WBO17" s="37"/>
      <c r="WBP17" s="37"/>
      <c r="WBQ17" s="37"/>
      <c r="WBR17" s="37"/>
      <c r="WBS17" s="37"/>
      <c r="WBT17" s="37"/>
      <c r="WBU17" s="37"/>
      <c r="WBV17" s="37"/>
      <c r="WBW17" s="37"/>
      <c r="WBX17" s="37"/>
      <c r="WBY17" s="37"/>
      <c r="WBZ17" s="37"/>
      <c r="WCA17" s="37"/>
      <c r="WCB17" s="37"/>
      <c r="WCC17" s="37"/>
      <c r="WCD17" s="37"/>
      <c r="WCE17" s="37"/>
      <c r="WCF17" s="37"/>
      <c r="WCG17" s="37"/>
      <c r="WCH17" s="37"/>
      <c r="WCI17" s="37"/>
      <c r="WCJ17" s="37"/>
      <c r="WCK17" s="37"/>
      <c r="WCL17" s="37"/>
      <c r="WCM17" s="37"/>
      <c r="WCN17" s="37"/>
      <c r="WCO17" s="37"/>
      <c r="WCP17" s="37"/>
      <c r="WCQ17" s="37"/>
      <c r="WCR17" s="37"/>
      <c r="WCS17" s="37"/>
      <c r="WCT17" s="37"/>
      <c r="WCU17" s="37"/>
      <c r="WCV17" s="37"/>
      <c r="WCW17" s="37"/>
      <c r="WCX17" s="37"/>
      <c r="WCY17" s="37"/>
      <c r="WCZ17" s="37"/>
      <c r="WDA17" s="37"/>
      <c r="WDB17" s="37"/>
      <c r="WDC17" s="37"/>
      <c r="WDD17" s="37"/>
      <c r="WDE17" s="37"/>
      <c r="WDF17" s="37"/>
      <c r="WDG17" s="37"/>
      <c r="WDH17" s="37"/>
      <c r="WDI17" s="37"/>
      <c r="WDJ17" s="37"/>
      <c r="WDK17" s="37"/>
      <c r="WDL17" s="37"/>
      <c r="WDM17" s="37"/>
      <c r="WDN17" s="37"/>
      <c r="WDO17" s="37"/>
      <c r="WDP17" s="37"/>
      <c r="WDQ17" s="37"/>
      <c r="WDR17" s="37"/>
      <c r="WDS17" s="37"/>
      <c r="WDT17" s="37"/>
      <c r="WDU17" s="37"/>
      <c r="WDV17" s="37"/>
      <c r="WDW17" s="37"/>
      <c r="WDX17" s="37"/>
      <c r="WDY17" s="37"/>
      <c r="WDZ17" s="37"/>
      <c r="WEA17" s="37"/>
      <c r="WEB17" s="37"/>
      <c r="WEC17" s="37"/>
      <c r="WED17" s="37"/>
      <c r="WEE17" s="37"/>
      <c r="WEF17" s="37"/>
      <c r="WEG17" s="37"/>
      <c r="WEH17" s="37"/>
      <c r="WEI17" s="37"/>
      <c r="WEJ17" s="37"/>
      <c r="WEK17" s="37"/>
      <c r="WEL17" s="37"/>
      <c r="WEM17" s="37"/>
      <c r="WEN17" s="37"/>
      <c r="WEO17" s="37"/>
      <c r="WEP17" s="37"/>
      <c r="WEQ17" s="37"/>
      <c r="WER17" s="37"/>
      <c r="WES17" s="37"/>
      <c r="WET17" s="37"/>
      <c r="WEU17" s="37"/>
      <c r="WEV17" s="37"/>
      <c r="WEW17" s="37"/>
      <c r="WEX17" s="37"/>
      <c r="WEY17" s="37"/>
      <c r="WEZ17" s="37"/>
      <c r="WFA17" s="37"/>
      <c r="WFB17" s="37"/>
      <c r="WFC17" s="37"/>
      <c r="WFD17" s="37"/>
      <c r="WFE17" s="37"/>
      <c r="WFF17" s="37"/>
      <c r="WFG17" s="37"/>
      <c r="WFH17" s="37"/>
      <c r="WFI17" s="37"/>
      <c r="WFJ17" s="37"/>
      <c r="WFK17" s="37"/>
      <c r="WFL17" s="37"/>
      <c r="WFM17" s="37"/>
      <c r="WFN17" s="37"/>
      <c r="WFO17" s="37"/>
      <c r="WFP17" s="37"/>
      <c r="WFQ17" s="37"/>
      <c r="WFR17" s="37"/>
      <c r="WFS17" s="37"/>
      <c r="WFT17" s="37"/>
      <c r="WFU17" s="37"/>
      <c r="WFV17" s="37"/>
      <c r="WFW17" s="37"/>
      <c r="WFX17" s="37"/>
      <c r="WFY17" s="37"/>
      <c r="WFZ17" s="37"/>
      <c r="WGA17" s="37"/>
      <c r="WGB17" s="37"/>
      <c r="WGC17" s="37"/>
      <c r="WGD17" s="37"/>
      <c r="WGE17" s="37"/>
      <c r="WGF17" s="37"/>
      <c r="WGG17" s="37"/>
      <c r="WGH17" s="37"/>
      <c r="WGI17" s="37"/>
      <c r="WGJ17" s="37"/>
      <c r="WGK17" s="37"/>
      <c r="WGL17" s="37"/>
      <c r="WGM17" s="37"/>
      <c r="WGN17" s="37"/>
      <c r="WGO17" s="37"/>
      <c r="WGP17" s="37"/>
      <c r="WGQ17" s="37"/>
      <c r="WGR17" s="37"/>
      <c r="WGS17" s="37"/>
      <c r="WGT17" s="37"/>
      <c r="WGU17" s="37"/>
      <c r="WGV17" s="37"/>
      <c r="WGW17" s="37"/>
      <c r="WGX17" s="37"/>
      <c r="WGY17" s="37"/>
      <c r="WGZ17" s="37"/>
      <c r="WHA17" s="37"/>
      <c r="WHB17" s="37"/>
      <c r="WHC17" s="37"/>
      <c r="WHD17" s="37"/>
      <c r="WHE17" s="37"/>
      <c r="WHF17" s="37"/>
      <c r="WHG17" s="37"/>
      <c r="WHH17" s="37"/>
      <c r="WHI17" s="37"/>
      <c r="WHJ17" s="37"/>
      <c r="WHK17" s="37"/>
      <c r="WHL17" s="37"/>
      <c r="WHM17" s="37"/>
      <c r="WHN17" s="37"/>
      <c r="WHO17" s="37"/>
      <c r="WHP17" s="37"/>
      <c r="WHQ17" s="37"/>
      <c r="WHR17" s="37"/>
      <c r="WHS17" s="37"/>
      <c r="WHT17" s="37"/>
      <c r="WHU17" s="37"/>
      <c r="WHV17" s="37"/>
      <c r="WHW17" s="37"/>
      <c r="WHX17" s="37"/>
      <c r="WHY17" s="37"/>
      <c r="WHZ17" s="37"/>
      <c r="WIA17" s="37"/>
      <c r="WIB17" s="37"/>
      <c r="WIC17" s="37"/>
      <c r="WID17" s="37"/>
      <c r="WIE17" s="37"/>
      <c r="WIF17" s="37"/>
      <c r="WIG17" s="37"/>
      <c r="WIH17" s="37"/>
      <c r="WII17" s="37"/>
      <c r="WIJ17" s="37"/>
      <c r="WIK17" s="37"/>
      <c r="WIL17" s="37"/>
      <c r="WIM17" s="37"/>
      <c r="WIN17" s="37"/>
      <c r="WIO17" s="37"/>
      <c r="WIP17" s="37"/>
      <c r="WIQ17" s="37"/>
      <c r="WIR17" s="37"/>
      <c r="WIS17" s="37"/>
      <c r="WIT17" s="37"/>
      <c r="WIU17" s="37"/>
      <c r="WIV17" s="37"/>
      <c r="WIW17" s="37"/>
      <c r="WIX17" s="37"/>
      <c r="WIY17" s="37"/>
      <c r="WIZ17" s="37"/>
      <c r="WJA17" s="37"/>
      <c r="WJB17" s="37"/>
      <c r="WJC17" s="37"/>
      <c r="WJD17" s="37"/>
      <c r="WJE17" s="37"/>
      <c r="WJF17" s="37"/>
      <c r="WJG17" s="37"/>
      <c r="WJH17" s="37"/>
      <c r="WJI17" s="37"/>
      <c r="WJJ17" s="37"/>
      <c r="WJK17" s="37"/>
      <c r="WJL17" s="37"/>
      <c r="WJM17" s="37"/>
      <c r="WJN17" s="37"/>
      <c r="WJO17" s="37"/>
      <c r="WJP17" s="37"/>
      <c r="WJQ17" s="37"/>
      <c r="WJR17" s="37"/>
      <c r="WJS17" s="37"/>
      <c r="WJT17" s="37"/>
      <c r="WJU17" s="37"/>
      <c r="WJV17" s="37"/>
      <c r="WJW17" s="37"/>
      <c r="WJX17" s="37"/>
      <c r="WJY17" s="37"/>
      <c r="WJZ17" s="37"/>
      <c r="WKA17" s="37"/>
      <c r="WKB17" s="37"/>
      <c r="WKC17" s="37"/>
      <c r="WKD17" s="37"/>
      <c r="WKE17" s="37"/>
      <c r="WKF17" s="37"/>
      <c r="WKG17" s="37"/>
      <c r="WKH17" s="37"/>
      <c r="WKI17" s="37"/>
      <c r="WKJ17" s="37"/>
      <c r="WKK17" s="37"/>
      <c r="WKL17" s="37"/>
      <c r="WKM17" s="37"/>
      <c r="WKN17" s="37"/>
      <c r="WKO17" s="37"/>
      <c r="WKP17" s="37"/>
      <c r="WKQ17" s="37"/>
      <c r="WKR17" s="37"/>
      <c r="WKS17" s="37"/>
      <c r="WKT17" s="37"/>
      <c r="WKU17" s="37"/>
      <c r="WKV17" s="37"/>
      <c r="WKW17" s="37"/>
      <c r="WKX17" s="37"/>
      <c r="WKY17" s="37"/>
      <c r="WKZ17" s="37"/>
      <c r="WLA17" s="37"/>
      <c r="WLB17" s="37"/>
      <c r="WLC17" s="37"/>
      <c r="WLD17" s="37"/>
      <c r="WLE17" s="37"/>
      <c r="WLF17" s="37"/>
      <c r="WLG17" s="37"/>
      <c r="WLH17" s="37"/>
      <c r="WLI17" s="37"/>
      <c r="WLJ17" s="37"/>
      <c r="WLK17" s="37"/>
      <c r="WLL17" s="37"/>
      <c r="WLM17" s="37"/>
      <c r="WLN17" s="37"/>
      <c r="WLO17" s="37"/>
      <c r="WLP17" s="37"/>
      <c r="WLQ17" s="37"/>
      <c r="WLR17" s="37"/>
      <c r="WLS17" s="37"/>
      <c r="WLT17" s="37"/>
      <c r="WLU17" s="37"/>
      <c r="WLV17" s="37"/>
      <c r="WLW17" s="37"/>
      <c r="WLX17" s="37"/>
      <c r="WLY17" s="37"/>
      <c r="WLZ17" s="37"/>
      <c r="WMA17" s="37"/>
      <c r="WMB17" s="37"/>
      <c r="WMC17" s="37"/>
      <c r="WMD17" s="37"/>
      <c r="WME17" s="37"/>
      <c r="WMF17" s="37"/>
      <c r="WMG17" s="37"/>
      <c r="WMH17" s="37"/>
      <c r="WMI17" s="37"/>
      <c r="WMJ17" s="37"/>
      <c r="WMK17" s="37"/>
      <c r="WML17" s="37"/>
      <c r="WMM17" s="37"/>
      <c r="WMN17" s="37"/>
      <c r="WMO17" s="37"/>
      <c r="WMP17" s="37"/>
      <c r="WMQ17" s="37"/>
      <c r="WMR17" s="37"/>
      <c r="WMS17" s="37"/>
      <c r="WMT17" s="37"/>
      <c r="WMU17" s="37"/>
      <c r="WMV17" s="37"/>
      <c r="WMW17" s="37"/>
      <c r="WMX17" s="37"/>
      <c r="WMY17" s="37"/>
      <c r="WMZ17" s="37"/>
      <c r="WNA17" s="37"/>
      <c r="WNB17" s="37"/>
      <c r="WNC17" s="37"/>
      <c r="WND17" s="37"/>
      <c r="WNE17" s="37"/>
      <c r="WNF17" s="37"/>
      <c r="WNG17" s="37"/>
      <c r="WNH17" s="37"/>
      <c r="WNI17" s="37"/>
      <c r="WNJ17" s="37"/>
      <c r="WNK17" s="37"/>
      <c r="WNL17" s="37"/>
      <c r="WNM17" s="37"/>
      <c r="WNN17" s="37"/>
      <c r="WNO17" s="37"/>
      <c r="WNP17" s="37"/>
      <c r="WNQ17" s="37"/>
      <c r="WNR17" s="37"/>
      <c r="WNS17" s="37"/>
      <c r="WNT17" s="37"/>
      <c r="WNU17" s="37"/>
      <c r="WNV17" s="37"/>
      <c r="WNW17" s="37"/>
      <c r="WNX17" s="37"/>
      <c r="WNY17" s="37"/>
      <c r="WNZ17" s="37"/>
      <c r="WOA17" s="37"/>
      <c r="WOB17" s="37"/>
      <c r="WOC17" s="37"/>
      <c r="WOD17" s="37"/>
      <c r="WOE17" s="37"/>
      <c r="WOF17" s="37"/>
      <c r="WOG17" s="37"/>
      <c r="WOH17" s="37"/>
      <c r="WOI17" s="37"/>
      <c r="WOJ17" s="37"/>
      <c r="WOK17" s="37"/>
      <c r="WOL17" s="37"/>
      <c r="WOM17" s="37"/>
      <c r="WON17" s="37"/>
      <c r="WOO17" s="37"/>
      <c r="WOP17" s="37"/>
      <c r="WOQ17" s="37"/>
      <c r="WOR17" s="37"/>
      <c r="WOS17" s="37"/>
      <c r="WOT17" s="37"/>
      <c r="WOU17" s="37"/>
      <c r="WOV17" s="37"/>
      <c r="WOW17" s="37"/>
      <c r="WOX17" s="37"/>
      <c r="WOY17" s="37"/>
      <c r="WOZ17" s="37"/>
      <c r="WPA17" s="37"/>
      <c r="WPB17" s="37"/>
      <c r="WPC17" s="37"/>
      <c r="WPD17" s="37"/>
      <c r="WPE17" s="37"/>
      <c r="WPF17" s="37"/>
      <c r="WPG17" s="37"/>
      <c r="WPH17" s="37"/>
      <c r="WPI17" s="37"/>
      <c r="WPJ17" s="37"/>
      <c r="WPK17" s="37"/>
      <c r="WPL17" s="37"/>
      <c r="WPM17" s="37"/>
      <c r="WPN17" s="37"/>
      <c r="WPO17" s="37"/>
      <c r="WPP17" s="37"/>
      <c r="WPQ17" s="37"/>
      <c r="WPR17" s="37"/>
      <c r="WPS17" s="37"/>
      <c r="WPT17" s="37"/>
      <c r="WPU17" s="37"/>
      <c r="WPV17" s="37"/>
      <c r="WPW17" s="37"/>
      <c r="WPX17" s="37"/>
      <c r="WPY17" s="37"/>
      <c r="WPZ17" s="37"/>
      <c r="WQA17" s="37"/>
      <c r="WQB17" s="37"/>
      <c r="WQC17" s="37"/>
      <c r="WQD17" s="37"/>
      <c r="WQE17" s="37"/>
      <c r="WQF17" s="37"/>
      <c r="WQG17" s="37"/>
      <c r="WQH17" s="37"/>
      <c r="WQI17" s="37"/>
      <c r="WQJ17" s="37"/>
      <c r="WQK17" s="37"/>
      <c r="WQL17" s="37"/>
      <c r="WQM17" s="37"/>
      <c r="WQN17" s="37"/>
      <c r="WQO17" s="37"/>
      <c r="WQP17" s="37"/>
      <c r="WQQ17" s="37"/>
      <c r="WQR17" s="37"/>
      <c r="WQS17" s="37"/>
      <c r="WQT17" s="37"/>
      <c r="WQU17" s="37"/>
      <c r="WQV17" s="37"/>
      <c r="WQW17" s="37"/>
      <c r="WQX17" s="37"/>
      <c r="WQY17" s="37"/>
      <c r="WQZ17" s="37"/>
      <c r="WRA17" s="37"/>
      <c r="WRB17" s="37"/>
      <c r="WRC17" s="37"/>
      <c r="WRD17" s="37"/>
      <c r="WRE17" s="37"/>
      <c r="WRF17" s="37"/>
      <c r="WRG17" s="37"/>
      <c r="WRH17" s="37"/>
      <c r="WRI17" s="37"/>
      <c r="WRJ17" s="37"/>
      <c r="WRK17" s="37"/>
      <c r="WRL17" s="37"/>
      <c r="WRM17" s="37"/>
      <c r="WRN17" s="37"/>
      <c r="WRO17" s="37"/>
      <c r="WRP17" s="37"/>
      <c r="WRQ17" s="37"/>
      <c r="WRR17" s="37"/>
      <c r="WRS17" s="37"/>
      <c r="WRT17" s="37"/>
      <c r="WRU17" s="37"/>
      <c r="WRV17" s="37"/>
      <c r="WRW17" s="37"/>
      <c r="WRX17" s="37"/>
      <c r="WRY17" s="37"/>
      <c r="WRZ17" s="37"/>
      <c r="WSA17" s="37"/>
      <c r="WSB17" s="37"/>
      <c r="WSC17" s="37"/>
      <c r="WSD17" s="37"/>
      <c r="WSE17" s="37"/>
      <c r="WSF17" s="37"/>
      <c r="WSG17" s="37"/>
      <c r="WSH17" s="37"/>
      <c r="WSI17" s="37"/>
      <c r="WSJ17" s="37"/>
      <c r="WSK17" s="37"/>
      <c r="WSL17" s="37"/>
      <c r="WSM17" s="37"/>
      <c r="WSN17" s="37"/>
      <c r="WSO17" s="37"/>
      <c r="WSP17" s="37"/>
      <c r="WSQ17" s="37"/>
      <c r="WSR17" s="37"/>
      <c r="WSS17" s="37"/>
      <c r="WST17" s="37"/>
      <c r="WSU17" s="37"/>
      <c r="WSV17" s="37"/>
      <c r="WSW17" s="37"/>
      <c r="WSX17" s="37"/>
      <c r="WSY17" s="37"/>
      <c r="WSZ17" s="37"/>
      <c r="WTA17" s="37"/>
      <c r="WTB17" s="37"/>
      <c r="WTC17" s="37"/>
      <c r="WTD17" s="37"/>
      <c r="WTE17" s="37"/>
      <c r="WTF17" s="37"/>
      <c r="WTG17" s="37"/>
      <c r="WTH17" s="37"/>
      <c r="WTI17" s="37"/>
      <c r="WTJ17" s="37"/>
      <c r="WTK17" s="37"/>
      <c r="WTL17" s="37"/>
      <c r="WTM17" s="37"/>
      <c r="WTN17" s="37"/>
      <c r="WTO17" s="37"/>
      <c r="WTP17" s="37"/>
      <c r="WTQ17" s="37"/>
      <c r="WTR17" s="37"/>
      <c r="WTS17" s="37"/>
      <c r="WTT17" s="37"/>
      <c r="WTU17" s="37"/>
      <c r="WTV17" s="37"/>
      <c r="WTW17" s="37"/>
      <c r="WTX17" s="37"/>
      <c r="WTY17" s="37"/>
      <c r="WTZ17" s="37"/>
      <c r="WUA17" s="37"/>
      <c r="WUB17" s="37"/>
      <c r="WUC17" s="37"/>
      <c r="WUD17" s="37"/>
      <c r="WUE17" s="37"/>
      <c r="WUF17" s="37"/>
      <c r="WUG17" s="37"/>
      <c r="WUH17" s="37"/>
      <c r="WUI17" s="37"/>
      <c r="WUJ17" s="37"/>
      <c r="WUK17" s="37"/>
      <c r="WUL17" s="37"/>
      <c r="WUM17" s="37"/>
      <c r="WUN17" s="37"/>
      <c r="WUO17" s="37"/>
      <c r="WUP17" s="37"/>
      <c r="WUQ17" s="37"/>
      <c r="WUR17" s="37"/>
      <c r="WUS17" s="37"/>
      <c r="WUT17" s="37"/>
      <c r="WUU17" s="37"/>
      <c r="WUV17" s="37"/>
      <c r="WUW17" s="37"/>
      <c r="WUX17" s="37"/>
      <c r="WUY17" s="37"/>
      <c r="WUZ17" s="37"/>
      <c r="WVA17" s="37"/>
      <c r="WVB17" s="37"/>
      <c r="WVC17" s="37"/>
      <c r="WVD17" s="37"/>
      <c r="WVE17" s="37"/>
      <c r="WVF17" s="37"/>
      <c r="WVG17" s="37"/>
      <c r="WVH17" s="37"/>
      <c r="WVI17" s="37"/>
      <c r="WVJ17" s="37"/>
      <c r="WVK17" s="37"/>
      <c r="WVL17" s="37"/>
      <c r="WVM17" s="37"/>
      <c r="WVN17" s="37"/>
      <c r="WVO17" s="37"/>
      <c r="WVP17" s="37"/>
      <c r="WVQ17" s="37"/>
      <c r="WVR17" s="37"/>
      <c r="WVS17" s="37"/>
      <c r="WVT17" s="37"/>
      <c r="WVU17" s="37"/>
      <c r="WVV17" s="37"/>
      <c r="WVW17" s="37"/>
      <c r="WVX17" s="37"/>
      <c r="WVY17" s="37"/>
      <c r="WVZ17" s="37"/>
      <c r="WWA17" s="37"/>
      <c r="WWB17" s="37"/>
      <c r="WWC17" s="37"/>
      <c r="WWD17" s="37"/>
      <c r="WWE17" s="37"/>
      <c r="WWF17" s="37"/>
      <c r="WWG17" s="37"/>
      <c r="WWH17" s="37"/>
      <c r="WWI17" s="37"/>
      <c r="WWJ17" s="37"/>
      <c r="WWK17" s="37"/>
      <c r="WWL17" s="37"/>
      <c r="WWM17" s="37"/>
      <c r="WWN17" s="37"/>
      <c r="WWO17" s="37"/>
      <c r="WWP17" s="37"/>
      <c r="WWQ17" s="37"/>
      <c r="WWR17" s="37"/>
      <c r="WWS17" s="37"/>
      <c r="WWT17" s="37"/>
      <c r="WWU17" s="37"/>
      <c r="WWV17" s="37"/>
      <c r="WWW17" s="37"/>
      <c r="WWX17" s="37"/>
      <c r="WWY17" s="37"/>
      <c r="WWZ17" s="37"/>
      <c r="WXA17" s="37"/>
      <c r="WXB17" s="37"/>
      <c r="WXC17" s="37"/>
      <c r="WXD17" s="37"/>
      <c r="WXE17" s="37"/>
      <c r="WXF17" s="37"/>
      <c r="WXG17" s="37"/>
      <c r="WXH17" s="37"/>
      <c r="WXI17" s="37"/>
      <c r="WXJ17" s="37"/>
      <c r="WXK17" s="37"/>
      <c r="WXL17" s="37"/>
      <c r="WXM17" s="37"/>
      <c r="WXN17" s="37"/>
      <c r="WXO17" s="37"/>
      <c r="WXP17" s="37"/>
      <c r="WXQ17" s="37"/>
      <c r="WXR17" s="37"/>
      <c r="WXS17" s="37"/>
      <c r="WXT17" s="37"/>
      <c r="WXU17" s="37"/>
      <c r="WXV17" s="37"/>
      <c r="WXW17" s="37"/>
      <c r="WXX17" s="37"/>
      <c r="WXY17" s="37"/>
      <c r="WXZ17" s="37"/>
      <c r="WYA17" s="37"/>
      <c r="WYB17" s="37"/>
      <c r="WYC17" s="37"/>
      <c r="WYD17" s="37"/>
      <c r="WYE17" s="37"/>
      <c r="WYF17" s="37"/>
      <c r="WYG17" s="37"/>
      <c r="WYH17" s="37"/>
      <c r="WYI17" s="37"/>
      <c r="WYJ17" s="37"/>
      <c r="WYK17" s="37"/>
      <c r="WYL17" s="37"/>
      <c r="WYM17" s="37"/>
      <c r="WYN17" s="37"/>
      <c r="WYO17" s="37"/>
      <c r="WYP17" s="37"/>
      <c r="WYQ17" s="37"/>
      <c r="WYR17" s="37"/>
      <c r="WYS17" s="37"/>
      <c r="WYT17" s="37"/>
      <c r="WYU17" s="37"/>
      <c r="WYV17" s="37"/>
      <c r="WYW17" s="37"/>
      <c r="WYX17" s="37"/>
      <c r="WYY17" s="37"/>
      <c r="WYZ17" s="37"/>
      <c r="WZA17" s="37"/>
      <c r="WZB17" s="37"/>
      <c r="WZC17" s="37"/>
      <c r="WZD17" s="37"/>
      <c r="WZE17" s="37"/>
      <c r="WZF17" s="37"/>
      <c r="WZG17" s="37"/>
      <c r="WZH17" s="37"/>
      <c r="WZI17" s="37"/>
      <c r="WZJ17" s="37"/>
      <c r="WZK17" s="37"/>
      <c r="WZL17" s="37"/>
      <c r="WZM17" s="37"/>
      <c r="WZN17" s="37"/>
      <c r="WZO17" s="37"/>
      <c r="WZP17" s="37"/>
      <c r="WZQ17" s="37"/>
      <c r="WZR17" s="37"/>
      <c r="WZS17" s="37"/>
      <c r="WZT17" s="37"/>
      <c r="WZU17" s="37"/>
      <c r="WZV17" s="37"/>
      <c r="WZW17" s="37"/>
      <c r="WZX17" s="37"/>
      <c r="WZY17" s="37"/>
      <c r="WZZ17" s="37"/>
      <c r="XAA17" s="37"/>
      <c r="XAB17" s="37"/>
      <c r="XAC17" s="37"/>
      <c r="XAD17" s="37"/>
      <c r="XAE17" s="37"/>
      <c r="XAF17" s="37"/>
      <c r="XAG17" s="37"/>
      <c r="XAH17" s="37"/>
      <c r="XAI17" s="37"/>
      <c r="XAJ17" s="37"/>
      <c r="XAK17" s="37"/>
      <c r="XAL17" s="37"/>
      <c r="XAM17" s="37"/>
      <c r="XAN17" s="37"/>
      <c r="XAO17" s="37"/>
      <c r="XAP17" s="37"/>
      <c r="XAQ17" s="37"/>
      <c r="XAR17" s="37"/>
      <c r="XAS17" s="37"/>
      <c r="XAT17" s="37"/>
      <c r="XAU17" s="37"/>
      <c r="XAV17" s="37"/>
      <c r="XAW17" s="37"/>
      <c r="XAX17" s="37"/>
      <c r="XAY17" s="37"/>
      <c r="XAZ17" s="37"/>
      <c r="XBA17" s="37"/>
      <c r="XBB17" s="37"/>
      <c r="XBC17" s="37"/>
      <c r="XBD17" s="37"/>
      <c r="XBE17" s="37"/>
      <c r="XBF17" s="37"/>
      <c r="XBG17" s="37"/>
      <c r="XBH17" s="37"/>
      <c r="XBI17" s="37"/>
      <c r="XBJ17" s="37"/>
      <c r="XBK17" s="37"/>
      <c r="XBL17" s="37"/>
      <c r="XBM17" s="37"/>
      <c r="XBN17" s="37"/>
      <c r="XBO17" s="37"/>
      <c r="XBP17" s="37"/>
      <c r="XBQ17" s="37"/>
      <c r="XBR17" s="37"/>
      <c r="XBS17" s="37"/>
      <c r="XBT17" s="37"/>
      <c r="XBU17" s="37"/>
      <c r="XBV17" s="37"/>
      <c r="XBW17" s="37"/>
      <c r="XBX17" s="37"/>
      <c r="XBY17" s="37"/>
      <c r="XBZ17" s="37"/>
      <c r="XCA17" s="37"/>
      <c r="XCB17" s="37"/>
      <c r="XCC17" s="37"/>
      <c r="XCD17" s="37"/>
      <c r="XCE17" s="37"/>
      <c r="XCF17" s="37"/>
      <c r="XCG17" s="37"/>
      <c r="XCH17" s="37"/>
      <c r="XCI17" s="37"/>
      <c r="XCJ17" s="37"/>
      <c r="XCK17" s="37"/>
      <c r="XCL17" s="37"/>
      <c r="XCM17" s="37"/>
      <c r="XCN17" s="37"/>
      <c r="XCO17" s="37"/>
      <c r="XCP17" s="37"/>
      <c r="XCQ17" s="37"/>
      <c r="XCR17" s="37"/>
      <c r="XCS17" s="37"/>
      <c r="XCT17" s="37"/>
      <c r="XCU17" s="37"/>
      <c r="XCV17" s="37"/>
      <c r="XCW17" s="37"/>
      <c r="XCX17" s="37"/>
      <c r="XCY17" s="37"/>
      <c r="XCZ17" s="37"/>
      <c r="XDA17" s="37"/>
      <c r="XDB17" s="37"/>
      <c r="XDC17" s="37"/>
      <c r="XDD17" s="37"/>
      <c r="XDE17" s="37"/>
      <c r="XDF17" s="37"/>
      <c r="XDG17" s="37"/>
      <c r="XDH17" s="37"/>
      <c r="XDI17" s="37"/>
      <c r="XDJ17" s="37"/>
      <c r="XDK17" s="37"/>
      <c r="XDL17" s="37"/>
      <c r="XDM17" s="37"/>
      <c r="XDN17" s="37"/>
      <c r="XDO17" s="37"/>
      <c r="XDP17" s="37"/>
      <c r="XDQ17" s="37"/>
      <c r="XDR17" s="37"/>
      <c r="XDS17" s="37"/>
      <c r="XDT17" s="37"/>
      <c r="XDU17" s="37"/>
      <c r="XDV17" s="37"/>
      <c r="XDW17" s="37"/>
      <c r="XDX17" s="37"/>
      <c r="XDY17" s="37"/>
      <c r="XDZ17" s="37"/>
      <c r="XEA17" s="37"/>
      <c r="XEB17" s="37"/>
      <c r="XEC17" s="37"/>
      <c r="XED17" s="37"/>
      <c r="XEE17" s="37"/>
      <c r="XEF17" s="37"/>
      <c r="XEG17" s="37"/>
      <c r="XEH17" s="37"/>
      <c r="XEI17" s="37"/>
      <c r="XEJ17" s="37"/>
      <c r="XEK17" s="37"/>
      <c r="XEL17" s="37"/>
      <c r="XEM17" s="37"/>
      <c r="XEN17" s="37"/>
      <c r="XEO17" s="37"/>
      <c r="XEP17" s="37"/>
      <c r="XEQ17" s="37"/>
      <c r="XER17" s="37"/>
      <c r="XES17" s="37"/>
      <c r="XET17" s="37"/>
      <c r="XEU17" s="37"/>
      <c r="XEV17" s="37"/>
      <c r="XEW17" s="37"/>
      <c r="XEX17" s="37"/>
      <c r="XEY17" s="37"/>
      <c r="XEZ17" s="37"/>
      <c r="XFA17" s="37"/>
      <c r="XFB17" s="37"/>
      <c r="XFC17" s="37"/>
      <c r="XFD17" s="37"/>
    </row>
    <row r="18" spans="2:16384" ht="17" thickTop="1"/>
    <row r="21" spans="2:16384">
      <c r="B21" s="105"/>
      <c r="C21" s="106" t="s">
        <v>205</v>
      </c>
      <c r="D21" s="106" t="s">
        <v>206</v>
      </c>
      <c r="E21" s="107" t="s">
        <v>207</v>
      </c>
      <c r="F21" s="108"/>
      <c r="G21" s="109" t="s">
        <v>208</v>
      </c>
      <c r="H21" s="110"/>
    </row>
    <row r="22" spans="2:16384">
      <c r="B22" s="111" t="s">
        <v>209</v>
      </c>
      <c r="C22" s="106" t="s">
        <v>210</v>
      </c>
      <c r="D22" s="106" t="s">
        <v>210</v>
      </c>
      <c r="E22" s="106" t="s">
        <v>211</v>
      </c>
      <c r="F22" s="112" t="s">
        <v>212</v>
      </c>
      <c r="G22" s="113" t="s">
        <v>211</v>
      </c>
      <c r="H22" s="112" t="s">
        <v>212</v>
      </c>
    </row>
    <row r="23" spans="2:16384">
      <c r="B23" s="305" t="s">
        <v>247</v>
      </c>
      <c r="C23" s="306">
        <v>1137223.081161313</v>
      </c>
      <c r="D23" s="307">
        <v>1056174.081161313</v>
      </c>
      <c r="E23" s="300">
        <v>3.7245544455490549</v>
      </c>
      <c r="F23" s="310">
        <v>3.435896865785645</v>
      </c>
      <c r="G23" s="300">
        <v>12.00608694993632</v>
      </c>
      <c r="H23" s="301">
        <v>10.76059663747364</v>
      </c>
    </row>
    <row r="24" spans="2:16384">
      <c r="B24" s="305" t="s">
        <v>248</v>
      </c>
      <c r="C24" s="308">
        <v>42458.781280389398</v>
      </c>
      <c r="D24" s="309">
        <v>61779.781280389398</v>
      </c>
      <c r="E24" s="302">
        <v>0.62616964917634632</v>
      </c>
      <c r="F24" s="114">
        <v>0.6986687167700244</v>
      </c>
      <c r="G24" s="302">
        <v>8.4253296436129688</v>
      </c>
      <c r="H24" s="304">
        <v>7.1084778829121396</v>
      </c>
    </row>
    <row r="25" spans="2:16384">
      <c r="B25" s="305" t="s">
        <v>249</v>
      </c>
      <c r="C25" s="308">
        <v>3236031.52</v>
      </c>
      <c r="D25" s="309">
        <v>3258340.52</v>
      </c>
      <c r="E25" s="302">
        <v>15.120262935610979</v>
      </c>
      <c r="F25" s="114">
        <v>13.292729824332371</v>
      </c>
      <c r="G25" s="302">
        <v>30.572777512737819</v>
      </c>
      <c r="H25" s="304">
        <v>24.916575055440848</v>
      </c>
    </row>
    <row r="26" spans="2:16384">
      <c r="B26" s="305" t="s">
        <v>250</v>
      </c>
      <c r="C26" s="308">
        <v>389606.584734793</v>
      </c>
      <c r="D26" s="309">
        <v>399440.60673479299</v>
      </c>
      <c r="E26" s="302">
        <v>12.66717475213283</v>
      </c>
      <c r="F26" s="114">
        <v>11.844648722655821</v>
      </c>
      <c r="G26" s="302">
        <v>63.499434934957428</v>
      </c>
      <c r="H26" s="304">
        <v>55.002866458904343</v>
      </c>
    </row>
    <row r="27" spans="2:16384">
      <c r="B27" s="305"/>
      <c r="C27" s="308"/>
      <c r="D27" s="309"/>
      <c r="E27" s="302"/>
      <c r="F27" s="303"/>
      <c r="G27" s="302"/>
      <c r="H27" s="304"/>
    </row>
    <row r="28" spans="2:16384">
      <c r="B28" s="305"/>
      <c r="C28" s="308"/>
      <c r="D28" s="309"/>
      <c r="E28" s="302"/>
      <c r="F28" s="303"/>
      <c r="G28" s="302"/>
      <c r="H28" s="304"/>
    </row>
    <row r="29" spans="2:16384">
      <c r="B29" s="305"/>
      <c r="C29" s="308"/>
      <c r="D29" s="309"/>
      <c r="E29" s="302"/>
      <c r="F29" s="303"/>
      <c r="G29" s="302"/>
      <c r="H29" s="304"/>
      <c r="AZ29" t="str" cm="1">
        <f t="array" ref="AZ29:BB33">TRANSPOSE(_xlfn.VSTACK(D38:H38,D36:H36,D35:H35))</f>
        <v xml:space="preserve">Low </v>
      </c>
      <c r="BA29" t="str">
        <v xml:space="preserve">Mean </v>
      </c>
      <c r="BB29" t="str">
        <v xml:space="preserve">High </v>
      </c>
    </row>
    <row r="30" spans="2:16384">
      <c r="B30" s="305"/>
      <c r="C30" s="308"/>
      <c r="D30" s="309"/>
      <c r="E30" s="302"/>
      <c r="F30" s="303"/>
      <c r="G30" s="302"/>
      <c r="H30" s="304"/>
      <c r="AZ30">
        <v>0.62616964917634632</v>
      </c>
      <c r="BA30">
        <v>8.0345404456173029</v>
      </c>
      <c r="BB30">
        <v>15.120262935610979</v>
      </c>
    </row>
    <row r="31" spans="2:16384">
      <c r="B31" s="305"/>
      <c r="C31" s="308"/>
      <c r="D31" s="309"/>
      <c r="E31" s="302"/>
      <c r="F31" s="303"/>
      <c r="G31" s="302"/>
      <c r="H31" s="304"/>
      <c r="AZ31">
        <v>0.6986687167700244</v>
      </c>
      <c r="BA31">
        <v>7.3179860323859653</v>
      </c>
      <c r="BB31">
        <v>13.292729824332371</v>
      </c>
    </row>
    <row r="32" spans="2:16384">
      <c r="B32" s="305"/>
      <c r="C32" s="308"/>
      <c r="D32" s="309"/>
      <c r="E32" s="302"/>
      <c r="F32" s="303"/>
      <c r="G32" s="302"/>
      <c r="H32" s="304"/>
      <c r="AZ32">
        <v>8.4253296436129688</v>
      </c>
      <c r="BA32">
        <v>28.625907260311131</v>
      </c>
      <c r="BB32">
        <v>63.499434934957428</v>
      </c>
    </row>
    <row r="33" spans="2:54">
      <c r="B33" s="99"/>
      <c r="C33" s="100"/>
      <c r="D33" s="101"/>
      <c r="E33" s="102"/>
      <c r="F33" s="114"/>
      <c r="G33" s="102"/>
      <c r="H33" s="115"/>
      <c r="AZ33">
        <v>7.1084778829121396</v>
      </c>
      <c r="BA33">
        <v>24.447129008682744</v>
      </c>
      <c r="BB33">
        <v>55.002866458904343</v>
      </c>
    </row>
    <row r="34" spans="2:54">
      <c r="B34" s="86"/>
      <c r="C34" s="87"/>
      <c r="D34" s="87"/>
      <c r="E34" s="103"/>
      <c r="F34" s="104"/>
      <c r="G34" s="104"/>
      <c r="H34" s="104"/>
    </row>
    <row r="35" spans="2:54">
      <c r="B35" s="233"/>
      <c r="C35" s="25"/>
      <c r="D35" s="245" t="s">
        <v>213</v>
      </c>
      <c r="E35" s="246">
        <f>MAX(E23:E33)</f>
        <v>15.120262935610979</v>
      </c>
      <c r="F35" s="246">
        <f t="shared" ref="F35:H35" si="0">MAX(F23:F33)</f>
        <v>13.292729824332371</v>
      </c>
      <c r="G35" s="246">
        <f t="shared" si="0"/>
        <v>63.499434934957428</v>
      </c>
      <c r="H35" s="246">
        <f t="shared" si="0"/>
        <v>55.002866458904343</v>
      </c>
    </row>
    <row r="36" spans="2:54">
      <c r="B36" s="233"/>
      <c r="C36" s="25"/>
      <c r="D36" s="245" t="s">
        <v>214</v>
      </c>
      <c r="E36" s="246">
        <f>AVERAGE(E23:E33)</f>
        <v>8.0345404456173029</v>
      </c>
      <c r="F36" s="246">
        <f t="shared" ref="F36:H36" si="1">AVERAGE(F23:F33)</f>
        <v>7.3179860323859653</v>
      </c>
      <c r="G36" s="246">
        <f t="shared" si="1"/>
        <v>28.625907260311131</v>
      </c>
      <c r="H36" s="246">
        <f t="shared" si="1"/>
        <v>24.447129008682744</v>
      </c>
    </row>
    <row r="37" spans="2:54">
      <c r="B37" s="233"/>
      <c r="C37" s="25"/>
      <c r="D37" s="245" t="s">
        <v>215</v>
      </c>
      <c r="E37" s="246">
        <f>MEDIAN(E23:E33)</f>
        <v>8.1958645988409415</v>
      </c>
      <c r="F37" s="246">
        <f t="shared" ref="F37:H37" si="2">MEDIAN(F23:F33)</f>
        <v>7.6402727942207331</v>
      </c>
      <c r="G37" s="246">
        <f t="shared" si="2"/>
        <v>21.289432231337067</v>
      </c>
      <c r="H37" s="246">
        <f t="shared" si="2"/>
        <v>17.838585846457242</v>
      </c>
    </row>
    <row r="38" spans="2:54">
      <c r="B38" s="233"/>
      <c r="C38" s="25"/>
      <c r="D38" s="245" t="s">
        <v>216</v>
      </c>
      <c r="E38" s="246">
        <f>MIN(E23:E33)</f>
        <v>0.62616964917634632</v>
      </c>
      <c r="F38" s="246">
        <f t="shared" ref="F38:H38" si="3">MIN(F23:F33)</f>
        <v>0.6986687167700244</v>
      </c>
      <c r="G38" s="246">
        <f t="shared" si="3"/>
        <v>8.4253296436129688</v>
      </c>
      <c r="H38" s="246">
        <f t="shared" si="3"/>
        <v>7.1084778829121396</v>
      </c>
    </row>
    <row r="39" spans="2:54">
      <c r="B39" s="25"/>
      <c r="C39" s="234"/>
      <c r="D39" s="234"/>
      <c r="E39" s="247"/>
      <c r="F39" s="92"/>
      <c r="G39" s="92"/>
      <c r="H39" s="92"/>
    </row>
    <row r="40" spans="2:54">
      <c r="B40" s="248" t="str" cm="1">
        <f t="array" ref="B40">Name</f>
        <v>Apple Inc.</v>
      </c>
      <c r="C40" s="249">
        <f ca="1">E10</f>
        <v>3239068.1451000003</v>
      </c>
      <c r="D40" s="249">
        <f ca="1">E13</f>
        <v>3220289.1451000003</v>
      </c>
      <c r="E40" s="250">
        <f ca="1">H10</f>
        <v>33.276731579056147</v>
      </c>
      <c r="F40" s="250">
        <f ca="1">I10</f>
        <v>30.251574162778311</v>
      </c>
      <c r="G40" s="250">
        <f ca="1">H11</f>
        <v>217.64592762233039</v>
      </c>
      <c r="H40" s="250">
        <f ca="1">I11</f>
        <v>150.42609670075666</v>
      </c>
    </row>
  </sheetData>
  <sheetProtection sheet="1" formatCells="0" formatColumns="0" formatRows="0" insertColumns="0" insertRows="0" insertHyperlinks="0" selectLockedCells="1" sort="0" autoFilter="0" pivotTables="0"/>
  <phoneticPr fontId="4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XFD23"/>
  <sheetViews>
    <sheetView zoomScale="75" zoomScaleNormal="113" workbookViewId="0">
      <selection activeCell="D18" sqref="D18"/>
    </sheetView>
  </sheetViews>
  <sheetFormatPr baseColWidth="10" defaultRowHeight="16"/>
  <cols>
    <col min="2" max="2" width="17.7109375" customWidth="1"/>
    <col min="3" max="3" width="28.42578125" bestFit="1" customWidth="1"/>
    <col min="17" max="17" width="16.7109375" bestFit="1" customWidth="1"/>
    <col min="46" max="46" width="56.28515625" bestFit="1" customWidth="1"/>
    <col min="47" max="47" width="20.140625" bestFit="1" customWidth="1"/>
  </cols>
  <sheetData>
    <row r="2" spans="2:16384" ht="21" thickBot="1">
      <c r="B2" s="38" t="s">
        <v>222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323" t="str">
        <f>"Valuation Football Field: "&amp;Name</f>
        <v>Valuation Football Field: Apple Inc.</v>
      </c>
      <c r="C4" s="327"/>
      <c r="D4" s="327"/>
      <c r="E4" s="327"/>
      <c r="F4" s="327"/>
      <c r="G4" s="25"/>
      <c r="H4" s="25"/>
      <c r="I4" s="25"/>
      <c r="AT4" s="255" t="str">
        <f>B4</f>
        <v>Valuation Football Field: Apple Inc.</v>
      </c>
      <c r="AU4" s="255"/>
      <c r="AV4" s="255"/>
      <c r="AW4" s="255"/>
      <c r="AX4" s="255"/>
      <c r="AY4" s="255"/>
      <c r="AZ4" s="255"/>
      <c r="BA4" s="255"/>
      <c r="BB4" s="255"/>
    </row>
    <row r="5" spans="2:16384">
      <c r="B5" s="25"/>
      <c r="C5" s="251" t="s">
        <v>229</v>
      </c>
      <c r="D5" s="252" t="s">
        <v>223</v>
      </c>
      <c r="E5" s="252" t="s">
        <v>233</v>
      </c>
      <c r="F5" s="252" t="s">
        <v>224</v>
      </c>
      <c r="G5" s="25"/>
      <c r="H5" s="253" t="s">
        <v>230</v>
      </c>
      <c r="I5" s="253" t="s">
        <v>231</v>
      </c>
      <c r="J5" s="253" t="s">
        <v>232</v>
      </c>
      <c r="AT5" s="255"/>
      <c r="AU5" s="255" t="s">
        <v>229</v>
      </c>
      <c r="AV5" s="255" t="s">
        <v>223</v>
      </c>
      <c r="AW5" s="255" t="s">
        <v>233</v>
      </c>
      <c r="AX5" s="255" t="s">
        <v>224</v>
      </c>
      <c r="AY5" s="255"/>
      <c r="AZ5" s="255" t="s">
        <v>230</v>
      </c>
      <c r="BA5" s="255" t="s">
        <v>231</v>
      </c>
      <c r="BB5" s="255" t="s">
        <v>232</v>
      </c>
    </row>
    <row r="6" spans="2:16384">
      <c r="B6" s="254" t="s">
        <v>234</v>
      </c>
      <c r="C6" s="233"/>
      <c r="D6" s="314">
        <f>Low_Share_Price</f>
        <v>120</v>
      </c>
      <c r="E6" s="315">
        <f>AVERAGE(D6,F6)</f>
        <v>200</v>
      </c>
      <c r="F6" s="314">
        <f>High_Share_Price</f>
        <v>280</v>
      </c>
      <c r="G6" s="316"/>
      <c r="H6" s="317">
        <f>D6</f>
        <v>120</v>
      </c>
      <c r="I6" s="318">
        <f>E6-D6</f>
        <v>80</v>
      </c>
      <c r="J6" s="317">
        <f>F6-E6</f>
        <v>80</v>
      </c>
      <c r="S6" s="117"/>
      <c r="T6" s="117"/>
      <c r="U6" s="117"/>
      <c r="V6" s="117"/>
      <c r="W6" s="117"/>
      <c r="X6" s="117"/>
      <c r="Y6" s="117"/>
      <c r="AT6" s="255" t="str">
        <f>B6</f>
        <v>Equity Market Value</v>
      </c>
      <c r="AU6" s="255"/>
      <c r="AV6" s="256">
        <f>D6</f>
        <v>120</v>
      </c>
      <c r="AW6" s="256">
        <f t="shared" ref="AW6:BB6" si="0">E6</f>
        <v>200</v>
      </c>
      <c r="AX6" s="256">
        <f t="shared" si="0"/>
        <v>280</v>
      </c>
      <c r="AY6" s="256"/>
      <c r="AZ6" s="256">
        <f t="shared" si="0"/>
        <v>120</v>
      </c>
      <c r="BA6" s="256">
        <f t="shared" si="0"/>
        <v>80</v>
      </c>
      <c r="BB6" s="256">
        <f t="shared" si="0"/>
        <v>80</v>
      </c>
    </row>
    <row r="7" spans="2:16384">
      <c r="B7" s="254" t="str">
        <f>"DCF using " &amp;C18</f>
        <v>DCF using Perpetual Growth</v>
      </c>
      <c r="C7" s="233"/>
      <c r="D7" s="314">
        <f>MIN(IF($C$18="Perpetual Growth",DCF!$D$111:$H$115,IF($C$18="Exit Multiple EV/Revenue",DCF!$D$218:$H$222,DCF!$D$165:$H$169)))</f>
        <v>9.8607521877802</v>
      </c>
      <c r="E7" s="315">
        <f>MEDIAN(IF($C$18="Perpetual Growth",DCF!$D$111:$H$115,IF($C$18="Exit Multiple EV/Revenue",DCF!$D$218:$H$222,DCF!$D$165:$H$169)))</f>
        <v>11.650909482118017</v>
      </c>
      <c r="F7" s="314">
        <f>MAX(IF($C$18="Perpetual Growth",DCF!$D$111:$H$115,IF($C$18="Exit Multiple EV/Revenue",DCF!$D$218:$H$222,DCF!$D$165:$H$169)))</f>
        <v>14.37641100233099</v>
      </c>
      <c r="G7" s="316"/>
      <c r="H7" s="317">
        <f t="shared" ref="H7" si="1">D7</f>
        <v>9.8607521877802</v>
      </c>
      <c r="I7" s="318">
        <f t="shared" ref="I7" si="2">E7-D7</f>
        <v>1.790157294337817</v>
      </c>
      <c r="J7" s="317">
        <f t="shared" ref="J7" si="3">F7-E7</f>
        <v>2.7255015202129727</v>
      </c>
      <c r="S7" s="117"/>
      <c r="T7" s="117"/>
      <c r="U7" s="117"/>
      <c r="V7" s="117"/>
      <c r="W7" s="117"/>
      <c r="X7" s="117"/>
      <c r="Y7" s="117"/>
      <c r="AT7" s="255" t="str">
        <f t="shared" ref="AT7:AT13" si="4">B7</f>
        <v>DCF using Perpetual Growth</v>
      </c>
      <c r="AU7" s="255"/>
      <c r="AV7" s="256">
        <f t="shared" ref="AV7:AV13" si="5">D7</f>
        <v>9.8607521877802</v>
      </c>
      <c r="AW7" s="256">
        <f t="shared" ref="AW7:AW13" si="6">E7</f>
        <v>11.650909482118017</v>
      </c>
      <c r="AX7" s="256">
        <f t="shared" ref="AX7:AX13" si="7">F7</f>
        <v>14.37641100233099</v>
      </c>
      <c r="AY7" s="256"/>
      <c r="AZ7" s="256">
        <f t="shared" ref="AZ7:AZ13" si="8">H7</f>
        <v>9.8607521877802</v>
      </c>
      <c r="BA7" s="256">
        <f t="shared" ref="BA7:BA13" si="9">I7</f>
        <v>1.790157294337817</v>
      </c>
      <c r="BB7" s="256">
        <f t="shared" ref="BB7:BB13" si="10">J7</f>
        <v>2.7255015202129727</v>
      </c>
    </row>
    <row r="8" spans="2:16384">
      <c r="B8" s="254" t="s">
        <v>225</v>
      </c>
      <c r="C8" s="233"/>
      <c r="D8" s="314">
        <f>(('Comparable multiples'!AZ30*Revenue_FY0)-Total_Debt+Cash)/(Shares_Outstanding/1000000)</f>
        <v>5.2317010134954325</v>
      </c>
      <c r="E8" s="319">
        <f>(('Comparable multiples'!BA30*Revenue_FY0)-Total_Debt+Cash)/(Shares_Outstanding/1000000)</f>
        <v>52.485243039556664</v>
      </c>
      <c r="F8" s="314">
        <f>(('Comparable multiples'!BB30*Revenue_FY0)-Total_Debt+Cash)/(Shares_Outstanding/1000000)</f>
        <v>97.680805554701877</v>
      </c>
      <c r="G8" s="316"/>
      <c r="H8" s="317">
        <f>D8</f>
        <v>5.2317010134954325</v>
      </c>
      <c r="I8" s="318">
        <f t="shared" ref="I8:J11" si="11">E8-D8</f>
        <v>47.253542026061233</v>
      </c>
      <c r="J8" s="317">
        <f t="shared" si="11"/>
        <v>45.195562515145213</v>
      </c>
      <c r="S8" s="117"/>
      <c r="T8" s="117"/>
      <c r="U8" s="117"/>
      <c r="V8" s="117"/>
      <c r="W8" s="117"/>
      <c r="X8" s="117"/>
      <c r="Y8" s="117"/>
      <c r="AT8" s="255" t="str">
        <f t="shared" si="4"/>
        <v>EV/Revenue LTM</v>
      </c>
      <c r="AU8" s="255"/>
      <c r="AV8" s="256">
        <f t="shared" si="5"/>
        <v>5.2317010134954325</v>
      </c>
      <c r="AW8" s="256">
        <f t="shared" si="6"/>
        <v>52.485243039556664</v>
      </c>
      <c r="AX8" s="256">
        <f t="shared" si="7"/>
        <v>97.680805554701877</v>
      </c>
      <c r="AY8" s="256"/>
      <c r="AZ8" s="256">
        <f t="shared" si="8"/>
        <v>5.2317010134954325</v>
      </c>
      <c r="BA8" s="256">
        <f t="shared" si="9"/>
        <v>47.253542026061233</v>
      </c>
      <c r="BB8" s="256">
        <f t="shared" si="10"/>
        <v>45.195562515145213</v>
      </c>
    </row>
    <row r="9" spans="2:16384">
      <c r="B9" s="254" t="s">
        <v>226</v>
      </c>
      <c r="C9" s="233"/>
      <c r="D9" s="314">
        <f>(('Comparable multiples'!AZ31*Revenue_FY1)-Total_Debt+Cash)/(Shares_Outstanding/1000000)</f>
        <v>6.1397677233364991</v>
      </c>
      <c r="E9" s="319">
        <f>(('Comparable multiples'!BA31*Revenue_FY1)-Total_Debt+Cash)/(Shares_Outstanding/1000000)</f>
        <v>52.58247655998295</v>
      </c>
      <c r="F9" s="314">
        <f>(('Comparable multiples'!BB31*Revenue_FY1)-Total_Debt+Cash)/(Shares_Outstanding/1000000)</f>
        <v>94.502703839056593</v>
      </c>
      <c r="G9" s="316"/>
      <c r="H9" s="317">
        <f>D9</f>
        <v>6.1397677233364991</v>
      </c>
      <c r="I9" s="318">
        <f t="shared" si="11"/>
        <v>46.442708836646453</v>
      </c>
      <c r="J9" s="317">
        <f t="shared" si="11"/>
        <v>41.920227279073643</v>
      </c>
      <c r="S9" s="117"/>
      <c r="T9" s="117"/>
      <c r="U9" s="117"/>
      <c r="V9" s="117"/>
      <c r="W9" s="117"/>
      <c r="X9" s="117"/>
      <c r="Y9" s="117"/>
      <c r="AT9" s="255" t="str">
        <f t="shared" si="4"/>
        <v>EV/Revenue FY1</v>
      </c>
      <c r="AU9" s="255"/>
      <c r="AV9" s="256">
        <f t="shared" si="5"/>
        <v>6.1397677233364991</v>
      </c>
      <c r="AW9" s="256">
        <f t="shared" si="6"/>
        <v>52.58247655998295</v>
      </c>
      <c r="AX9" s="256">
        <f t="shared" si="7"/>
        <v>94.502703839056593</v>
      </c>
      <c r="AY9" s="256"/>
      <c r="AZ9" s="256">
        <f t="shared" si="8"/>
        <v>6.1397677233364991</v>
      </c>
      <c r="BA9" s="256">
        <f t="shared" si="9"/>
        <v>46.442708836646453</v>
      </c>
      <c r="BB9" s="256">
        <f t="shared" si="10"/>
        <v>41.920227279073643</v>
      </c>
    </row>
    <row r="10" spans="2:16384">
      <c r="B10" s="254" t="s">
        <v>227</v>
      </c>
      <c r="C10" s="233"/>
      <c r="D10" s="314">
        <f>(('Comparable multiples'!AZ32*EBITDA_FY0)-Total_Debt+Cash)/(Shares_Outstanding/1000000)</f>
        <v>9.4542757678391212</v>
      </c>
      <c r="E10" s="319">
        <f>(('Comparable multiples'!BA32*EBITDA_FY0)-Total_Debt+Cash)/(Shares_Outstanding/1000000)</f>
        <v>29.154245674006081</v>
      </c>
      <c r="F10" s="314">
        <f>(('Comparable multiples'!BB32*EBITDA_FY0)-Total_Debt+Cash)/(Shares_Outstanding/1000000)</f>
        <v>63.1635427717544</v>
      </c>
      <c r="G10" s="316"/>
      <c r="H10" s="317">
        <f>D10</f>
        <v>9.4542757678391212</v>
      </c>
      <c r="I10" s="318">
        <f t="shared" si="11"/>
        <v>19.69996990616696</v>
      </c>
      <c r="J10" s="317">
        <f t="shared" si="11"/>
        <v>34.009297097748316</v>
      </c>
      <c r="S10" s="117"/>
      <c r="T10" s="117"/>
      <c r="U10" s="117"/>
      <c r="V10" s="117"/>
      <c r="W10" s="117"/>
      <c r="X10" s="117"/>
      <c r="Y10" s="117"/>
      <c r="AT10" s="255" t="str">
        <f t="shared" si="4"/>
        <v>EV/EBITDA LTM</v>
      </c>
      <c r="AU10" s="255"/>
      <c r="AV10" s="256">
        <f t="shared" si="5"/>
        <v>9.4542757678391212</v>
      </c>
      <c r="AW10" s="256">
        <f t="shared" si="6"/>
        <v>29.154245674006081</v>
      </c>
      <c r="AX10" s="256">
        <f t="shared" si="7"/>
        <v>63.1635427717544</v>
      </c>
      <c r="AY10" s="256"/>
      <c r="AZ10" s="256">
        <f t="shared" si="8"/>
        <v>9.4542757678391212</v>
      </c>
      <c r="BA10" s="256">
        <f t="shared" si="9"/>
        <v>19.69996990616696</v>
      </c>
      <c r="BB10" s="256">
        <f t="shared" si="10"/>
        <v>34.009297097748316</v>
      </c>
    </row>
    <row r="11" spans="2:16384">
      <c r="B11" s="254" t="s">
        <v>228</v>
      </c>
      <c r="C11" s="233"/>
      <c r="D11" s="314">
        <f>(('Comparable multiples'!AZ33*EBITDA_FY1)-Total_Debt+Cash)/(Shares_Outstanding/1000000)</f>
        <v>11.267852647938845</v>
      </c>
      <c r="E11" s="319">
        <f>(('Comparable multiples'!BA33*EBITDA_FY1)-Total_Debt+Cash)/(Shares_Outstanding/1000000)</f>
        <v>35.732808818456796</v>
      </c>
      <c r="F11" s="314">
        <f>(('Comparable multiples'!BB33*EBITDA_FY1)-Total_Debt+Cash)/(Shares_Outstanding/1000000)</f>
        <v>78.847164834677812</v>
      </c>
      <c r="G11" s="316"/>
      <c r="H11" s="317">
        <f>D11</f>
        <v>11.267852647938845</v>
      </c>
      <c r="I11" s="318">
        <f t="shared" si="11"/>
        <v>24.464956170517951</v>
      </c>
      <c r="J11" s="317">
        <f t="shared" si="11"/>
        <v>43.114356016221016</v>
      </c>
      <c r="S11" s="117"/>
      <c r="T11" s="117"/>
      <c r="U11" s="117"/>
      <c r="V11" s="117"/>
      <c r="W11" s="117"/>
      <c r="X11" s="117"/>
      <c r="Y11" s="117"/>
      <c r="AT11" s="255" t="str">
        <f t="shared" si="4"/>
        <v>EV/EBITDA FY1</v>
      </c>
      <c r="AU11" s="255"/>
      <c r="AV11" s="256">
        <f t="shared" si="5"/>
        <v>11.267852647938845</v>
      </c>
      <c r="AW11" s="256">
        <f t="shared" si="6"/>
        <v>35.732808818456796</v>
      </c>
      <c r="AX11" s="256">
        <f t="shared" si="7"/>
        <v>78.847164834677812</v>
      </c>
      <c r="AY11" s="256"/>
      <c r="AZ11" s="256">
        <f t="shared" si="8"/>
        <v>11.267852647938845</v>
      </c>
      <c r="BA11" s="256">
        <f t="shared" si="9"/>
        <v>24.464956170517951</v>
      </c>
      <c r="BB11" s="256">
        <f t="shared" si="10"/>
        <v>43.114356016221016</v>
      </c>
    </row>
    <row r="12" spans="2:16384">
      <c r="B12" s="25"/>
      <c r="C12" s="25"/>
      <c r="D12" s="316"/>
      <c r="E12" s="320"/>
      <c r="F12" s="316"/>
      <c r="G12" s="316"/>
      <c r="H12" s="321"/>
      <c r="I12" s="320"/>
      <c r="J12" s="322"/>
      <c r="S12" s="117"/>
      <c r="T12" s="117"/>
      <c r="U12" s="117"/>
      <c r="V12" s="117"/>
      <c r="W12" s="117"/>
      <c r="X12" s="117"/>
      <c r="Y12" s="117"/>
      <c r="AT12" s="255">
        <f t="shared" si="4"/>
        <v>0</v>
      </c>
      <c r="AU12" s="255"/>
      <c r="AV12" s="256"/>
      <c r="AW12" s="256"/>
      <c r="AX12" s="256"/>
      <c r="AY12" s="256"/>
      <c r="AZ12" s="256"/>
      <c r="BA12" s="256"/>
      <c r="BB12" s="256"/>
    </row>
    <row r="13" spans="2:16384">
      <c r="B13" s="254" t="s">
        <v>11</v>
      </c>
      <c r="D13" s="317" vm="1">
        <f ca="1">'Information from Python'!$F$5</f>
        <v>213.49</v>
      </c>
      <c r="E13" s="318" vm="1">
        <f ca="1">'Information from Python'!$F$5</f>
        <v>213.49</v>
      </c>
      <c r="F13" s="317" vm="1">
        <f ca="1">'Information from Python'!$F$5</f>
        <v>213.49</v>
      </c>
      <c r="G13" s="317"/>
      <c r="H13" s="322">
        <v>1000</v>
      </c>
      <c r="I13" s="318">
        <v>0</v>
      </c>
      <c r="J13" s="322">
        <v>0</v>
      </c>
      <c r="S13" s="117"/>
      <c r="T13" s="117"/>
      <c r="U13" s="117"/>
      <c r="V13" s="117"/>
      <c r="W13" s="117"/>
      <c r="X13" s="117"/>
      <c r="Y13" s="117"/>
      <c r="AT13" s="255" t="str">
        <f t="shared" si="4"/>
        <v>Current Price</v>
      </c>
      <c r="AU13" s="255"/>
      <c r="AV13" s="256" vm="1">
        <f t="shared" ca="1" si="5"/>
        <v>213.49</v>
      </c>
      <c r="AW13" s="256" vm="1">
        <f t="shared" ca="1" si="6"/>
        <v>213.49</v>
      </c>
      <c r="AX13" s="256" vm="1">
        <f t="shared" ca="1" si="7"/>
        <v>213.49</v>
      </c>
      <c r="AY13" s="256"/>
      <c r="AZ13" s="256">
        <f t="shared" si="8"/>
        <v>1000</v>
      </c>
      <c r="BA13" s="256">
        <f t="shared" si="9"/>
        <v>0</v>
      </c>
      <c r="BB13" s="256">
        <f t="shared" si="10"/>
        <v>0</v>
      </c>
    </row>
    <row r="14" spans="2:16384">
      <c r="AT14" s="255"/>
      <c r="AU14" s="255"/>
      <c r="AV14" s="255"/>
      <c r="AW14" s="255"/>
      <c r="AX14" s="255"/>
      <c r="AY14" s="255"/>
      <c r="AZ14" s="255"/>
      <c r="BA14" s="255"/>
      <c r="BB14" s="255"/>
    </row>
    <row r="15" spans="2:16384">
      <c r="AT15" s="255" t="s">
        <v>245</v>
      </c>
      <c r="AU15" s="255"/>
      <c r="AV15" s="255"/>
      <c r="AW15" s="255"/>
      <c r="AX15" s="255"/>
      <c r="AY15" s="255"/>
      <c r="AZ15" s="255"/>
      <c r="BA15" s="255"/>
      <c r="BB15" s="255"/>
    </row>
    <row r="17" spans="3:46">
      <c r="C17" s="312" t="s">
        <v>292</v>
      </c>
    </row>
    <row r="18" spans="3:46">
      <c r="C18" s="1" t="s">
        <v>288</v>
      </c>
      <c r="AT18" s="1" t="s">
        <v>291</v>
      </c>
    </row>
    <row r="19" spans="3:46">
      <c r="AT19" t="s">
        <v>288</v>
      </c>
    </row>
    <row r="20" spans="3:46">
      <c r="AT20" t="s">
        <v>290</v>
      </c>
    </row>
    <row r="21" spans="3:46">
      <c r="AT21" t="s">
        <v>289</v>
      </c>
    </row>
    <row r="23" spans="3:46">
      <c r="L23" s="116"/>
    </row>
  </sheetData>
  <sheetProtection formatCells="0" formatColumns="0" formatRows="0" insertColumns="0" insertRows="0" insertHyperlinks="0" selectLockedCells="1" sort="0" autoFilter="0" pivotTables="0"/>
  <mergeCells count="1">
    <mergeCell ref="B4:F4"/>
  </mergeCells>
  <phoneticPr fontId="41" type="noConversion"/>
  <dataValidations count="1">
    <dataValidation type="list" allowBlank="1" showInputMessage="1" showErrorMessage="1" sqref="C18" xr:uid="{F90FFADE-5C37-CA44-BD59-4A7EA0DFACEF}">
      <formula1>$AT$19:$AT$21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3640-0450-1549-B5D2-2A7649266D5D}">
  <sheetPr codeName="Sheet5"/>
  <dimension ref="B2:XFD24"/>
  <sheetViews>
    <sheetView zoomScale="66" workbookViewId="0">
      <selection activeCell="P9" sqref="P9"/>
    </sheetView>
  </sheetViews>
  <sheetFormatPr baseColWidth="10" defaultRowHeight="16"/>
  <cols>
    <col min="2" max="3" width="15.28515625" bestFit="1" customWidth="1"/>
    <col min="16" max="16" width="11.42578125" bestFit="1" customWidth="1"/>
    <col min="17" max="17" width="16.7109375" bestFit="1" customWidth="1"/>
  </cols>
  <sheetData>
    <row r="2" spans="2:16384" ht="21" thickBot="1">
      <c r="B2" s="38" t="s">
        <v>174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26" t="s">
        <v>174</v>
      </c>
      <c r="C4" s="66"/>
      <c r="D4" s="27"/>
      <c r="E4" s="33"/>
      <c r="F4" s="328" t="s">
        <v>149</v>
      </c>
      <c r="G4" s="328"/>
      <c r="H4" s="328"/>
      <c r="I4" s="328"/>
      <c r="J4" s="328"/>
      <c r="K4" s="328"/>
      <c r="L4" s="328"/>
      <c r="M4" s="328"/>
      <c r="N4" s="328"/>
      <c r="O4" s="328"/>
    </row>
    <row r="5" spans="2:16384">
      <c r="B5" s="85" t="s">
        <v>202</v>
      </c>
      <c r="C5" s="68" t="s">
        <v>112</v>
      </c>
      <c r="D5" s="68">
        <f>DCF!D64</f>
        <v>2022</v>
      </c>
      <c r="E5" s="69">
        <f>DCF!E64</f>
        <v>2023</v>
      </c>
      <c r="F5" s="67">
        <f>DCF!F64</f>
        <v>2024</v>
      </c>
      <c r="G5" s="67">
        <f>DCF!G64</f>
        <v>2025</v>
      </c>
      <c r="H5" s="67">
        <f>DCF!H64</f>
        <v>2026</v>
      </c>
      <c r="I5" s="67" t="str">
        <f>DCF!I64</f>
        <v/>
      </c>
      <c r="J5" s="67" t="str">
        <f>DCF!J64</f>
        <v/>
      </c>
      <c r="K5" s="67" t="str">
        <f>DCF!K64</f>
        <v/>
      </c>
      <c r="L5" s="67" t="str">
        <f>DCF!L64</f>
        <v/>
      </c>
      <c r="M5" s="67" t="str">
        <f>DCF!M64</f>
        <v/>
      </c>
      <c r="N5" s="67" t="str">
        <f>DCF!N64</f>
        <v/>
      </c>
      <c r="O5" s="67" t="str">
        <f>DCF!O64</f>
        <v/>
      </c>
      <c r="P5" t="s">
        <v>116</v>
      </c>
      <c r="Q5" t="s">
        <v>114</v>
      </c>
    </row>
    <row r="6" spans="2:16384">
      <c r="B6" s="68" t="s">
        <v>112</v>
      </c>
      <c r="C6" s="73">
        <f>'Balance Sheet Historic'!E11</f>
        <v>31176</v>
      </c>
      <c r="D6" s="6">
        <f>'Cash flow statement Historic'!D8</f>
        <v>3747</v>
      </c>
      <c r="E6" s="65">
        <f>IF(E5&lt;&gt;"",IF(COLUMN(E5)-COLUMN($C$6)&lt;$Q$6,$D$6,IF(COLUMN(E5)-COLUMN($C$6)&lt;$Q$6+1,$C$6-SUM($D$6:D6),"")),"")</f>
        <v>3747</v>
      </c>
      <c r="F6" s="6">
        <f>IF($F$5&lt;&gt;"",IF(COLUMN(F5)-COLUMN($C$6)&lt;$Q$6,$D$6,IF(COLUMN(F5)-COLUMN($C$6)&lt;$Q$6+1,$C$6-SUM($D$6:E6),"")),"")</f>
        <v>3747</v>
      </c>
      <c r="G6" s="6">
        <f>IF(G5&lt;&gt;"",IF(COLUMN(G5)-COLUMN($C$6)&lt;$Q$6,$D$6,IF(COLUMN(G5)-COLUMN($C$6)&lt;$Q$6+1,$C$6-SUM($D$6:F6),"")),"")</f>
        <v>3747</v>
      </c>
      <c r="H6" s="6">
        <f>IF(H5&lt;&gt;"",IF(COLUMN(H5)-COLUMN($C$6)&lt;$Q$6,$D$6,IF(COLUMN(H5)-COLUMN($C$6)&lt;$Q$6+1,$C$6-SUM($D$6:G6),"")),"")</f>
        <v>3747</v>
      </c>
      <c r="I6" s="6" t="str">
        <f>IF(I5&lt;&gt;"",IF(COLUMN(I5)-COLUMN($C$6)&lt;$Q$6,$D$6,IF(COLUMN(I5)-COLUMN($C$6)&lt;$Q$6+1,$C$6-SUM($D$6:H6),"")),"")</f>
        <v/>
      </c>
      <c r="J6" s="6" t="str">
        <f>IF(J5&lt;&gt;"",IF(COLUMN(J5)-COLUMN($C$6)&lt;$Q$6,$D$6,IF(COLUMN(J5)-COLUMN($C$6)&lt;$Q$6+1,$C$6-SUM($D$6:I6),"")),"")</f>
        <v/>
      </c>
      <c r="K6" s="6" t="str">
        <f>IF(K5&lt;&gt;"",IF(COLUMN(K5)-COLUMN($C$6)&lt;$Q$6,$D$6,IF(COLUMN(K5)-COLUMN($C$6)&lt;$Q$6+1,$C$6-SUM($D$6:J6),"")),"")</f>
        <v/>
      </c>
      <c r="L6" s="6" t="str">
        <f>IF(L5&lt;&gt;"",IF(COLUMN(L5)-COLUMN($C$6)&lt;$Q$6,$D$6,IF(COLUMN(L5)-COLUMN($C$6)&lt;$Q$6+1,$C$6-SUM($D$6:K6),"")),"")</f>
        <v/>
      </c>
      <c r="M6" s="6" t="str">
        <f>IF(M5&lt;&gt;"",IF(COLUMN(M5)-COLUMN($C$6)&lt;$Q$6,$D$6,IF(COLUMN(M5)-COLUMN($C$6)&lt;$Q$6+1,$C$6-SUM($D$6:L6),"")),"")</f>
        <v/>
      </c>
      <c r="N6" s="6" t="str">
        <f>IF(N5&lt;&gt;"",IF(COLUMN(N5)-COLUMN($C$6)&lt;$Q$6,$D$6,IF(COLUMN(N5)-COLUMN($C$6)&lt;$Q$6+1,$C$6-SUM($D$6:M6),"")),"")</f>
        <v/>
      </c>
      <c r="O6" s="6" t="str">
        <f>IF(O5&lt;&gt;"",IF(COLUMN(O5)-COLUMN($C$6)&lt;$Q$6,$D$6,IF(COLUMN(O5)-COLUMN($C$6)&lt;$Q$6+1,$C$6-SUM($D$6:N6),"")),"")</f>
        <v/>
      </c>
      <c r="P6" s="6">
        <f>(C6+'Balance Sheet Historic'!E12)/'PPE &amp; Depreciation Schedule'!D6</f>
        <v>10.639711769415532</v>
      </c>
      <c r="Q6" s="6">
        <f>IF(C6/D6= 0,"",C6/D6)</f>
        <v>8.3202562049639717</v>
      </c>
    </row>
    <row r="7" spans="2:16384">
      <c r="B7" s="68" cm="1">
        <f t="array" ref="B7:B18">TRANSPOSE((DCF!D64:O64))</f>
        <v>2022</v>
      </c>
      <c r="C7" s="6"/>
      <c r="D7" s="73">
        <f>'Cash flow statement Historic'!D22</f>
        <v>7163</v>
      </c>
      <c r="E7" s="65">
        <f>'Cash flow statement Historic'!C8-'PPE &amp; Depreciation Schedule'!E6</f>
        <v>920</v>
      </c>
      <c r="F7" s="6">
        <f>IF(F5&lt;&gt;"",IF($D$7-SUM($E$7:E7)&gt;$E$7,$E$7,IF($D$7-SUM($E$7:E7)&gt;0,$D$7-SUM($E$7:E7),"")),"")</f>
        <v>920</v>
      </c>
      <c r="G7" s="6">
        <f>IF(G5&lt;&gt;"",IF($D$7-SUM($E$7:F7)&gt;$E$7,$E$7,IF($D$7-SUM($E$7:F7)&gt;0,$D$7-SUM($E$7:F7),"")),"")</f>
        <v>920</v>
      </c>
      <c r="H7" s="6">
        <f>IF(H5&lt;&gt;"",IF($D$7-SUM($E$7:G7)&gt;$E$7,$E$7,IF($D$7-SUM($E$7:G7)&gt;0,$D$7-SUM($E$7:G7),"")),"")</f>
        <v>920</v>
      </c>
      <c r="I7" s="6" t="str">
        <f>IF(I5&lt;&gt;"",IF($D$7-SUM($E$7:H7)&gt;$E$7,$E$7,IF($D$7-SUM($E$7:H7)&gt;0,$D$7-SUM($E$7:H7),"")),"")</f>
        <v/>
      </c>
      <c r="J7" s="6" t="str">
        <f>IF(J5&lt;&gt;"",IF($D$7-SUM($E$7:I7)&gt;$E$7,$E$7,IF($D$7-SUM($E$7:I7)&gt;0,$D$7-SUM($E$7:I7),"")),"")</f>
        <v/>
      </c>
      <c r="K7" s="6" t="str">
        <f>IF(K5&lt;&gt;"",IF($D$7-SUM($E$7:J7)&gt;$E$7,$E$7,IF($D$7-SUM($E$7:J7)&gt;0,$D$7-SUM($E$7:J7),"")),"")</f>
        <v/>
      </c>
      <c r="L7" s="6" t="str">
        <f>IF(L5&lt;&gt;"",IF($D$7-SUM($E$7:K7)&gt;$E$7,$E$7,IF($D$7-SUM($E$7:K7)&gt;0,$D$7-SUM($E$7:K7),"")),"")</f>
        <v/>
      </c>
      <c r="M7" s="6" t="str">
        <f>IF(M5&lt;&gt;"",IF($D$7-SUM($E$7:L7)&gt;$E$7,$E$7,IF($D$7-SUM($E$7:L7)&gt;0,$D$7-SUM($E$7:L7),"")),"")</f>
        <v/>
      </c>
      <c r="N7" s="6" t="str">
        <f>IF(N5&lt;&gt;"",IF($D$7-SUM($E$7:M7)&gt;$E$7,$E$7,IF($D$7-SUM($E$7:M7)&gt;0,$D$7-SUM($E$7:M7),"")),"")</f>
        <v/>
      </c>
      <c r="O7" s="6" t="str">
        <f>IF(O5&lt;&gt;"",IF($D$7-SUM($E$7:N7)&gt;$E$7,$E$7,IF($D$7-SUM($E$7:N7)&gt;0,$D$7-SUM($E$7:N7),"")),"")</f>
        <v/>
      </c>
      <c r="P7" s="6">
        <f ca="1">IF(B7&lt;&gt;"",IF(OFFSET(D7,0,ROW()-7)/OFFSET(E7,0,ROW()-7)&gt;0,OFFSET(D7,0,ROW()-7)/OFFSET(E7,0,ROW()-7),0),"")</f>
        <v>7.785869565217391</v>
      </c>
      <c r="Q7" s="6"/>
    </row>
    <row r="8" spans="2:16384">
      <c r="B8" s="70">
        <v>2023</v>
      </c>
      <c r="C8" s="7"/>
      <c r="D8" s="7"/>
      <c r="E8" s="74">
        <f>'Cash flow statement Historic'!C22</f>
        <v>8899</v>
      </c>
      <c r="F8" s="6">
        <f t="shared" ref="F8:O8" ca="1" si="0">IF(AND(F$5&lt;&gt;"",COLUMN()-COLUMN($E$8)&lt;$P$8),$E$8/$P$8,"")</f>
        <v>965.93967250013895</v>
      </c>
      <c r="G8" s="6">
        <f t="shared" ca="1" si="0"/>
        <v>965.93967250013895</v>
      </c>
      <c r="H8" s="6">
        <f t="shared" ca="1" si="0"/>
        <v>965.93967250013895</v>
      </c>
      <c r="I8" s="6" t="str">
        <f t="shared" ca="1" si="0"/>
        <v/>
      </c>
      <c r="J8" s="6" t="str">
        <f t="shared" ca="1" si="0"/>
        <v/>
      </c>
      <c r="K8" s="6" t="str">
        <f t="shared" ca="1" si="0"/>
        <v/>
      </c>
      <c r="L8" s="6" t="str">
        <f t="shared" ca="1" si="0"/>
        <v/>
      </c>
      <c r="M8" s="6" t="str">
        <f t="shared" ca="1" si="0"/>
        <v/>
      </c>
      <c r="N8" s="6" t="str">
        <f t="shared" ca="1" si="0"/>
        <v/>
      </c>
      <c r="O8" s="6" t="str">
        <f t="shared" ca="1" si="0"/>
        <v/>
      </c>
      <c r="P8" s="259">
        <f t="shared" ref="P8:P16" ca="1" si="1">IF(B8&lt;&gt;"",AVERAGE($P$6:$P$7),"")</f>
        <v>9.2127906673164617</v>
      </c>
      <c r="Q8" s="6"/>
    </row>
    <row r="9" spans="2:16384">
      <c r="B9" s="67">
        <v>2024</v>
      </c>
      <c r="C9" s="6"/>
      <c r="D9" s="6"/>
      <c r="E9" s="6"/>
      <c r="F9" s="260">
        <f>IF(B9&lt;&gt;"",$E$8*(1+Growth_RATE_PPE)^(COLUMN()-COLUMN($E$8)),"")</f>
        <v>9165.9699999999993</v>
      </c>
      <c r="G9" s="6">
        <f t="shared" ref="G9:O9" ca="1" si="2">IF(AND(G$5&lt;&gt;"",COLUMN()-COLUMN($F9)&lt;$P9),$F9/$P9,"")</f>
        <v>994.91786267514306</v>
      </c>
      <c r="H9" s="6">
        <f t="shared" ca="1" si="2"/>
        <v>994.91786267514306</v>
      </c>
      <c r="I9" s="6" t="str">
        <f t="shared" ca="1" si="2"/>
        <v/>
      </c>
      <c r="J9" s="6" t="str">
        <f t="shared" ca="1" si="2"/>
        <v/>
      </c>
      <c r="K9" s="6" t="str">
        <f t="shared" ca="1" si="2"/>
        <v/>
      </c>
      <c r="L9" s="6" t="str">
        <f t="shared" ca="1" si="2"/>
        <v/>
      </c>
      <c r="M9" s="6" t="str">
        <f t="shared" ca="1" si="2"/>
        <v/>
      </c>
      <c r="N9" s="6" t="str">
        <f t="shared" ca="1" si="2"/>
        <v/>
      </c>
      <c r="O9" s="6" t="str">
        <f t="shared" ca="1" si="2"/>
        <v/>
      </c>
      <c r="P9" s="259">
        <f t="shared" ca="1" si="1"/>
        <v>9.2127906673164617</v>
      </c>
      <c r="Q9" s="6"/>
    </row>
    <row r="10" spans="2:16384">
      <c r="B10" s="67">
        <v>2025</v>
      </c>
      <c r="C10" s="6"/>
      <c r="D10" s="6"/>
      <c r="E10" s="6"/>
      <c r="F10" s="6"/>
      <c r="G10" s="260">
        <f>IF(B10&lt;&gt;"",$E$8*(1+Growth_RATE_PPE)^(COLUMN()-COLUMN($E$8)),"")</f>
        <v>9440.9490999999998</v>
      </c>
      <c r="H10" s="6">
        <f ca="1">IF(AND(H$5&lt;&gt;"",COLUMN()-COLUMN($G10)&lt;$P10),$G10/$P10,"")</f>
        <v>1024.7653985553975</v>
      </c>
      <c r="I10" s="6" t="str">
        <f t="shared" ref="I10:O10" ca="1" si="3">IF(AND(I$5&lt;&gt;"",COLUMN()-COLUMN($G10)&lt;$P10),$G10/$P10,"")</f>
        <v/>
      </c>
      <c r="J10" s="6" t="str">
        <f t="shared" ca="1" si="3"/>
        <v/>
      </c>
      <c r="K10" s="6" t="str">
        <f t="shared" ca="1" si="3"/>
        <v/>
      </c>
      <c r="L10" s="6" t="str">
        <f t="shared" ca="1" si="3"/>
        <v/>
      </c>
      <c r="M10" s="6" t="str">
        <f t="shared" ca="1" si="3"/>
        <v/>
      </c>
      <c r="N10" s="6" t="str">
        <f t="shared" ca="1" si="3"/>
        <v/>
      </c>
      <c r="O10" s="6" t="str">
        <f t="shared" ca="1" si="3"/>
        <v/>
      </c>
      <c r="P10" s="259">
        <f t="shared" ca="1" si="1"/>
        <v>9.2127906673164617</v>
      </c>
      <c r="Q10" s="6"/>
    </row>
    <row r="11" spans="2:16384">
      <c r="B11" s="67">
        <v>2026</v>
      </c>
      <c r="C11" s="6"/>
      <c r="D11" s="6"/>
      <c r="E11" s="6"/>
      <c r="F11" s="6"/>
      <c r="G11" s="6"/>
      <c r="H11" s="260">
        <f>IF(B11&lt;&gt;"",$E$8*(1+Growth_RATE_PPE)^(COLUMN()-COLUMN($E$8)),"")</f>
        <v>9724.1775730000008</v>
      </c>
      <c r="I11" s="6" t="str">
        <f ca="1">IF(AND(I$5&lt;&gt;"",COLUMN()-COLUMN($H11)&lt;$P11),$H11/$P11,"")</f>
        <v/>
      </c>
      <c r="J11" s="6" t="str">
        <f t="shared" ref="J11:O11" ca="1" si="4">IF(AND(J$5&lt;&gt;"",COLUMN()-COLUMN($H11)&lt;$P11),$H11/$P11,"")</f>
        <v/>
      </c>
      <c r="K11" s="6" t="str">
        <f t="shared" ca="1" si="4"/>
        <v/>
      </c>
      <c r="L11" s="6" t="str">
        <f t="shared" ca="1" si="4"/>
        <v/>
      </c>
      <c r="M11" s="6" t="str">
        <f t="shared" ca="1" si="4"/>
        <v/>
      </c>
      <c r="N11" s="6" t="str">
        <f t="shared" ca="1" si="4"/>
        <v/>
      </c>
      <c r="O11" s="6" t="str">
        <f t="shared" ca="1" si="4"/>
        <v/>
      </c>
      <c r="P11" s="259">
        <f t="shared" ca="1" si="1"/>
        <v>9.2127906673164617</v>
      </c>
      <c r="Q11" s="6"/>
    </row>
    <row r="12" spans="2:16384">
      <c r="B12" s="67" t="str">
        <v/>
      </c>
      <c r="C12" s="6"/>
      <c r="D12" s="6"/>
      <c r="E12" s="6"/>
      <c r="F12" s="6"/>
      <c r="G12" s="6"/>
      <c r="H12" s="6"/>
      <c r="I12" s="261" t="str">
        <f>IF(B12&lt;&gt;"",$E$8*(1+Growth_RATE_PPE)^(COLUMN()-COLUMN($E$8)),"")</f>
        <v/>
      </c>
      <c r="J12" s="6" t="str">
        <f>IF(AND(J$5&lt;&gt;"",COLUMN()-COLUMN($I12)&lt;$P12),$I12/$P12,"")</f>
        <v/>
      </c>
      <c r="K12" s="6" t="str">
        <f t="shared" ref="K12:O12" si="5">IF(AND(K$5&lt;&gt;"",COLUMN()-COLUMN($I12)&lt;$P12),$I12/$P12,"")</f>
        <v/>
      </c>
      <c r="L12" s="6" t="str">
        <f t="shared" si="5"/>
        <v/>
      </c>
      <c r="M12" s="6" t="str">
        <f t="shared" si="5"/>
        <v/>
      </c>
      <c r="N12" s="6" t="str">
        <f t="shared" si="5"/>
        <v/>
      </c>
      <c r="O12" s="6" t="str">
        <f t="shared" si="5"/>
        <v/>
      </c>
      <c r="P12" s="259" t="str">
        <f>IF(B12&lt;&gt;"",AVERAGE($P$6:$P$7),"")</f>
        <v/>
      </c>
      <c r="Q12" s="6"/>
    </row>
    <row r="13" spans="2:16384">
      <c r="B13" s="67" t="str">
        <v/>
      </c>
      <c r="C13" s="6"/>
      <c r="D13" s="6"/>
      <c r="E13" s="6"/>
      <c r="F13" s="6"/>
      <c r="G13" s="6"/>
      <c r="H13" s="6"/>
      <c r="I13" s="6"/>
      <c r="J13" s="260" t="str">
        <f>IF(B13&lt;&gt;"",$E$8*(1+Growth_RATE_PPE)^(COLUMN()-COLUMN($E$8)),"")</f>
        <v/>
      </c>
      <c r="K13" s="6" t="str">
        <f>IF(AND(K$5&lt;&gt;"",COLUMN()-COLUMN($J13)&lt;$P13),$J13/$P13,"")</f>
        <v/>
      </c>
      <c r="L13" s="6" t="str">
        <f t="shared" ref="L13:O13" si="6">IF(AND(L$5&lt;&gt;"",COLUMN()-COLUMN($J13)&lt;$P13),$J13/$P13,"")</f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  <c r="P13" s="259" t="str">
        <f t="shared" si="1"/>
        <v/>
      </c>
      <c r="Q13" s="6"/>
    </row>
    <row r="14" spans="2:16384">
      <c r="B14" s="67" t="str">
        <v/>
      </c>
      <c r="C14" s="6"/>
      <c r="D14" s="6"/>
      <c r="E14" s="6"/>
      <c r="F14" s="6"/>
      <c r="G14" s="6"/>
      <c r="H14" s="6"/>
      <c r="I14" s="6"/>
      <c r="J14" s="6"/>
      <c r="K14" s="260" t="str">
        <f>IF(B14&lt;&gt;"",$E$8*(1+Growth_RATE_PPE)^(COLUMN()-COLUMN($E$8)),"")</f>
        <v/>
      </c>
      <c r="L14" s="6" t="str">
        <f>IF(AND(L$5&lt;&gt;"",COLUMN()-COLUMN($K14)&lt;$P14),$K14/$P14,"")</f>
        <v/>
      </c>
      <c r="M14" s="6" t="str">
        <f>IF(AND(M$5&lt;&gt;"",COLUMN()-COLUMN($K14)&lt;$P14),$K14/$P14,"")</f>
        <v/>
      </c>
      <c r="N14" s="6" t="str">
        <f t="shared" ref="N14:O14" si="7">IF(AND(N$5&lt;&gt;"",COLUMN()-COLUMN($K14)&lt;$P14),$K14/$P14,"")</f>
        <v/>
      </c>
      <c r="O14" s="6" t="str">
        <f t="shared" si="7"/>
        <v/>
      </c>
      <c r="P14" s="259" t="str">
        <f t="shared" si="1"/>
        <v/>
      </c>
      <c r="Q14" s="6"/>
    </row>
    <row r="15" spans="2:16384">
      <c r="B15" s="67" t="str">
        <v/>
      </c>
      <c r="C15" s="6"/>
      <c r="D15" s="6"/>
      <c r="E15" s="6"/>
      <c r="F15" s="6"/>
      <c r="G15" s="6"/>
      <c r="H15" s="6"/>
      <c r="I15" s="6"/>
      <c r="J15" s="6"/>
      <c r="K15" s="6"/>
      <c r="L15" s="260" t="str">
        <f>IF(B15&lt;&gt;"",$E$8*(1+Growth_RATE_PPE)^(COLUMN()-COLUMN($E$8)),"")</f>
        <v/>
      </c>
      <c r="M15" s="6" t="str">
        <f>IF(AND(P15&lt;&gt;"",COLUMN()-COLUMN($L15)&lt;$P15),$L15/$P15,"")</f>
        <v/>
      </c>
      <c r="N15" s="6" t="str">
        <f t="shared" ref="N15:O15" si="8">IF(AND(N$5&lt;&gt;"",COLUMN()-COLUMN($L15)&lt;$P15),$L15/$P15,"")</f>
        <v/>
      </c>
      <c r="O15" s="6" t="str">
        <f t="shared" si="8"/>
        <v/>
      </c>
      <c r="P15" s="259" t="str">
        <f t="shared" si="1"/>
        <v/>
      </c>
      <c r="Q15" s="6"/>
    </row>
    <row r="16" spans="2:16384">
      <c r="B16" s="67" t="str">
        <v/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260" t="str">
        <f>IF(B16&lt;&gt;"",$E$8*(1+Growth_RATE_PPE)^(COLUMN()-COLUMN($E$8)),"")</f>
        <v/>
      </c>
      <c r="N16" s="6" t="str">
        <f>IF(AND(N$5&lt;&gt;"",COLUMN()-COLUMN($M16)&lt;$P16),$M16/$P16,"")</f>
        <v/>
      </c>
      <c r="O16" s="6" t="str">
        <f>IF(AND(O$5&lt;&gt;"",COLUMN()-COLUMN($M16)&lt;$P16),$M16/$P16,"")</f>
        <v/>
      </c>
      <c r="P16" s="259" t="str">
        <f t="shared" si="1"/>
        <v/>
      </c>
      <c r="Q16" s="6"/>
    </row>
    <row r="17" spans="2:17">
      <c r="B17" s="67" t="str">
        <v/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60" t="str">
        <f>IF(B17&lt;&gt;"",$E$8*(1+Growth_RATE_PPE)^(COLUMN()-COLUMN($E$8)),"")</f>
        <v/>
      </c>
      <c r="O17" s="6" t="str">
        <f>IF(AND(P17&lt;&gt;"",COLUMN()-COLUMN($N17)&lt;$P17),$N17/$P17,"")</f>
        <v/>
      </c>
      <c r="P17" s="259" t="str">
        <f>IF(B17&lt;&gt;"",AVERAGE($P$6:$P$7),"")</f>
        <v/>
      </c>
      <c r="Q17" s="6"/>
    </row>
    <row r="18" spans="2:17">
      <c r="B18" t="str">
        <v/>
      </c>
      <c r="O18" s="262" t="str">
        <f>IF(B18&lt;&gt;"",$E$8*(1+Growth_RATE_PPE)^(COLUMN()-COLUMN($E$8)),"")</f>
        <v/>
      </c>
      <c r="P18" s="259"/>
    </row>
    <row r="19" spans="2:17" ht="17" thickBot="1">
      <c r="C19" s="71" t="s">
        <v>117</v>
      </c>
      <c r="D19" s="72">
        <f t="shared" ref="D19:O19" ca="1" si="9">IF(D5&lt;&gt;"",SUM(OFFSET(D$6, 0, 0, COLUMN()-3, 1)),"")</f>
        <v>3747</v>
      </c>
      <c r="E19" s="72">
        <f t="shared" ca="1" si="9"/>
        <v>4667</v>
      </c>
      <c r="F19" s="72">
        <f t="shared" ca="1" si="9"/>
        <v>5632.9396725001388</v>
      </c>
      <c r="G19" s="72">
        <f t="shared" ca="1" si="9"/>
        <v>6627.8575351752816</v>
      </c>
      <c r="H19" s="72">
        <f t="shared" ca="1" si="9"/>
        <v>7652.6229337306795</v>
      </c>
      <c r="I19" s="72" t="str">
        <f t="shared" ca="1" si="9"/>
        <v/>
      </c>
      <c r="J19" s="72" t="str">
        <f t="shared" ca="1" si="9"/>
        <v/>
      </c>
      <c r="K19" s="72" t="str">
        <f t="shared" ca="1" si="9"/>
        <v/>
      </c>
      <c r="L19" s="72" t="str">
        <f t="shared" ca="1" si="9"/>
        <v/>
      </c>
      <c r="M19" s="72" t="str">
        <f t="shared" ca="1" si="9"/>
        <v/>
      </c>
      <c r="N19" s="72" t="str">
        <f t="shared" ca="1" si="9"/>
        <v/>
      </c>
      <c r="O19" s="72" t="str">
        <f t="shared" ca="1" si="9"/>
        <v/>
      </c>
    </row>
    <row r="20" spans="2:17" ht="17" thickTop="1"/>
    <row r="22" spans="2:17">
      <c r="D22" s="4"/>
    </row>
    <row r="24" spans="2:17">
      <c r="B24" t="s">
        <v>113</v>
      </c>
    </row>
  </sheetData>
  <sheetProtection sheet="1" formatCells="0" formatColumns="0" formatRows="0" insertColumns="0" insertRows="0" insertHyperlinks="0" selectLockedCells="1" sort="0" autoFilter="0" pivotTables="0"/>
  <mergeCells count="1">
    <mergeCell ref="F4:O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2:XFD19"/>
  <sheetViews>
    <sheetView workbookViewId="0">
      <selection activeCell="E55" sqref="E55:E57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195</v>
      </c>
      <c r="C4" s="329" t="s">
        <v>196</v>
      </c>
      <c r="D4" s="329"/>
      <c r="E4" s="329"/>
      <c r="F4" s="329"/>
      <c r="G4" s="329"/>
      <c r="H4" s="329"/>
      <c r="I4" s="329"/>
      <c r="J4" s="329"/>
      <c r="K4" s="329"/>
      <c r="L4" s="329"/>
      <c r="M4" s="329"/>
      <c r="N4" s="329"/>
      <c r="O4" s="329"/>
      <c r="P4" s="329"/>
      <c r="Q4" s="329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  <c r="M5" s="68"/>
      <c r="N5" s="68"/>
      <c r="O5" s="68"/>
      <c r="P5" s="68"/>
      <c r="Q5" s="68"/>
    </row>
    <row r="6" spans="2:16384">
      <c r="B6" t="s">
        <v>44</v>
      </c>
      <c r="C6" s="80">
        <v>96773</v>
      </c>
      <c r="D6" s="80">
        <v>81462</v>
      </c>
      <c r="E6" s="80">
        <v>53823</v>
      </c>
      <c r="F6" s="80">
        <v>31536</v>
      </c>
      <c r="G6" s="80">
        <v>24578</v>
      </c>
      <c r="H6" s="80"/>
      <c r="I6" s="80"/>
      <c r="J6" s="80"/>
      <c r="K6" s="80"/>
      <c r="L6" s="80"/>
      <c r="M6" s="80"/>
      <c r="N6" s="80"/>
      <c r="O6" s="80"/>
      <c r="P6" s="80"/>
      <c r="Q6" s="80"/>
    </row>
    <row r="7" spans="2:16384">
      <c r="B7" t="s">
        <v>45</v>
      </c>
      <c r="C7" s="80">
        <v>74446</v>
      </c>
      <c r="D7" s="80">
        <v>56862</v>
      </c>
      <c r="E7" s="80">
        <v>37306</v>
      </c>
      <c r="F7" s="80">
        <v>22351</v>
      </c>
      <c r="G7" s="80">
        <v>18402</v>
      </c>
      <c r="H7" s="80"/>
      <c r="I7" s="80"/>
      <c r="J7" s="80"/>
      <c r="K7" s="80"/>
      <c r="L7" s="80"/>
      <c r="M7" s="80"/>
      <c r="N7" s="80"/>
      <c r="O7" s="80"/>
      <c r="P7" s="80"/>
      <c r="Q7" s="80"/>
    </row>
    <row r="8" spans="2:16384">
      <c r="B8" t="s">
        <v>46</v>
      </c>
      <c r="C8" s="80">
        <v>22327</v>
      </c>
      <c r="D8" s="80">
        <v>24600</v>
      </c>
      <c r="E8" s="80">
        <v>16517</v>
      </c>
      <c r="F8" s="80">
        <v>9185</v>
      </c>
      <c r="G8" s="80">
        <v>6176</v>
      </c>
      <c r="H8" s="80"/>
      <c r="I8" s="80"/>
      <c r="J8" s="80"/>
      <c r="K8" s="80"/>
      <c r="L8" s="80"/>
      <c r="M8" s="80"/>
      <c r="N8" s="80"/>
      <c r="O8" s="80"/>
      <c r="P8" s="80"/>
      <c r="Q8" s="80"/>
    </row>
    <row r="9" spans="2:16384">
      <c r="B9" t="s">
        <v>47</v>
      </c>
      <c r="C9" s="80">
        <v>8769</v>
      </c>
      <c r="D9" s="80">
        <v>7021</v>
      </c>
      <c r="E9" s="80">
        <v>7110</v>
      </c>
      <c r="F9" s="80">
        <v>4679</v>
      </c>
      <c r="G9" s="80">
        <v>3989</v>
      </c>
      <c r="H9" s="80"/>
      <c r="I9" s="80"/>
      <c r="J9" s="80"/>
      <c r="K9" s="80"/>
      <c r="L9" s="80"/>
      <c r="M9" s="80"/>
      <c r="N9" s="80"/>
      <c r="O9" s="80"/>
      <c r="P9" s="80"/>
      <c r="Q9" s="80"/>
    </row>
    <row r="10" spans="2:16384">
      <c r="B10" t="s">
        <v>48</v>
      </c>
      <c r="C10" s="80">
        <v>4667</v>
      </c>
      <c r="D10" s="80">
        <v>3747</v>
      </c>
      <c r="E10" s="80">
        <v>2911</v>
      </c>
      <c r="F10" s="80">
        <v>2322</v>
      </c>
      <c r="G10" s="80">
        <v>2107</v>
      </c>
      <c r="H10" s="80"/>
      <c r="I10" s="80"/>
      <c r="J10" s="80"/>
      <c r="K10" s="80"/>
      <c r="L10" s="80"/>
      <c r="M10" s="80"/>
      <c r="N10" s="80"/>
      <c r="O10" s="80"/>
      <c r="P10" s="80"/>
      <c r="Q10" s="80"/>
    </row>
    <row r="11" spans="2:16384">
      <c r="B11" t="s">
        <v>49</v>
      </c>
      <c r="C11" s="80">
        <v>8891</v>
      </c>
      <c r="D11" s="80">
        <v>13832</v>
      </c>
      <c r="E11" s="80">
        <v>6496</v>
      </c>
      <c r="F11" s="80">
        <v>2184</v>
      </c>
      <c r="G11" s="80">
        <v>80</v>
      </c>
      <c r="H11" s="80"/>
      <c r="I11" s="80"/>
      <c r="J11" s="80"/>
      <c r="K11" s="80"/>
      <c r="L11" s="80"/>
      <c r="M11" s="80"/>
      <c r="N11" s="80"/>
      <c r="O11" s="80"/>
      <c r="P11" s="80"/>
      <c r="Q11" s="80"/>
    </row>
    <row r="12" spans="2:16384">
      <c r="B12" t="s">
        <v>50</v>
      </c>
      <c r="C12" s="80">
        <v>1238</v>
      </c>
      <c r="D12" s="80">
        <v>114</v>
      </c>
      <c r="E12" s="80">
        <v>271</v>
      </c>
      <c r="F12" s="80">
        <v>-44</v>
      </c>
      <c r="G12" s="80">
        <v>120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</row>
    <row r="13" spans="2:16384">
      <c r="B13" t="s">
        <v>51</v>
      </c>
      <c r="C13" s="80">
        <v>0</v>
      </c>
      <c r="D13" s="80">
        <v>-36</v>
      </c>
      <c r="E13" s="80">
        <v>-76</v>
      </c>
      <c r="F13" s="80">
        <v>-295</v>
      </c>
      <c r="G13" s="80">
        <v>-149</v>
      </c>
      <c r="H13" s="80"/>
      <c r="I13" s="80"/>
      <c r="J13" s="80"/>
      <c r="K13" s="80"/>
      <c r="L13" s="80"/>
      <c r="M13" s="80"/>
      <c r="N13" s="80"/>
      <c r="O13" s="80"/>
      <c r="P13" s="80"/>
      <c r="Q13" s="80"/>
    </row>
    <row r="14" spans="2:16384">
      <c r="B14" t="s">
        <v>1</v>
      </c>
      <c r="C14" s="80">
        <v>10129</v>
      </c>
      <c r="D14" s="80">
        <v>13910</v>
      </c>
      <c r="E14" s="80">
        <v>6691</v>
      </c>
      <c r="F14" s="80">
        <v>1845</v>
      </c>
      <c r="G14" s="80">
        <v>51</v>
      </c>
      <c r="H14" s="80"/>
      <c r="I14" s="80"/>
      <c r="J14" s="80"/>
      <c r="K14" s="80"/>
      <c r="L14" s="80"/>
      <c r="M14" s="80"/>
      <c r="N14" s="80"/>
      <c r="O14" s="80"/>
      <c r="P14" s="80"/>
      <c r="Q14" s="80"/>
    </row>
    <row r="15" spans="2:16384">
      <c r="B15" t="s">
        <v>52</v>
      </c>
      <c r="C15" s="80">
        <v>-156</v>
      </c>
      <c r="D15" s="80">
        <v>-191</v>
      </c>
      <c r="E15" s="80">
        <v>-348</v>
      </c>
      <c r="F15" s="80">
        <v>-691</v>
      </c>
      <c r="G15" s="80">
        <v>-716</v>
      </c>
      <c r="H15" s="80"/>
      <c r="I15" s="80"/>
      <c r="J15" s="80"/>
      <c r="K15" s="80"/>
      <c r="L15" s="80"/>
      <c r="M15" s="80"/>
      <c r="N15" s="80"/>
      <c r="O15" s="80"/>
      <c r="P15" s="80"/>
      <c r="Q15" s="80"/>
    </row>
    <row r="16" spans="2:16384">
      <c r="B16" t="s">
        <v>53</v>
      </c>
      <c r="C16" s="80">
        <v>9973</v>
      </c>
      <c r="D16" s="80">
        <v>13719</v>
      </c>
      <c r="E16" s="80">
        <v>6343</v>
      </c>
      <c r="F16" s="80">
        <v>1154</v>
      </c>
      <c r="G16" s="80">
        <v>-665</v>
      </c>
      <c r="H16" s="80"/>
      <c r="I16" s="80"/>
      <c r="J16" s="80"/>
      <c r="K16" s="80"/>
      <c r="L16" s="80"/>
      <c r="M16" s="80"/>
      <c r="N16" s="80"/>
      <c r="O16" s="80"/>
      <c r="P16" s="80"/>
      <c r="Q16" s="80"/>
    </row>
    <row r="17" spans="2:17">
      <c r="B17" t="s">
        <v>54</v>
      </c>
      <c r="C17" s="80">
        <v>-5001</v>
      </c>
      <c r="D17" s="80">
        <v>1132</v>
      </c>
      <c r="E17" s="80">
        <v>699</v>
      </c>
      <c r="F17" s="80">
        <v>292</v>
      </c>
      <c r="G17" s="80">
        <v>110</v>
      </c>
      <c r="H17" s="80"/>
      <c r="I17" s="80"/>
      <c r="J17" s="80"/>
      <c r="K17" s="80"/>
      <c r="L17" s="80"/>
      <c r="M17" s="80"/>
      <c r="N17" s="80"/>
      <c r="O17" s="80"/>
      <c r="P17" s="80"/>
      <c r="Q17" s="80"/>
    </row>
    <row r="18" spans="2:17" ht="17" thickBot="1">
      <c r="B18" s="71" t="s">
        <v>55</v>
      </c>
      <c r="C18" s="81">
        <v>14997</v>
      </c>
      <c r="D18" s="81">
        <v>12556</v>
      </c>
      <c r="E18" s="81">
        <v>5519</v>
      </c>
      <c r="F18" s="81">
        <v>721</v>
      </c>
      <c r="G18" s="81">
        <v>-862</v>
      </c>
      <c r="H18" s="81"/>
      <c r="I18" s="81"/>
      <c r="J18" s="81"/>
      <c r="K18" s="81"/>
      <c r="L18" s="81"/>
      <c r="M18" s="81"/>
      <c r="N18" s="81"/>
      <c r="O18" s="81"/>
      <c r="P18" s="81"/>
      <c r="Q18" s="81"/>
    </row>
    <row r="19" spans="2:17" ht="17" thickTop="1"/>
  </sheetData>
  <mergeCells count="1">
    <mergeCell ref="C4:Q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B2:XFD37"/>
  <sheetViews>
    <sheetView topLeftCell="A18" zoomScale="84" workbookViewId="0">
      <selection activeCell="E55" sqref="E55:E57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197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197</v>
      </c>
      <c r="C4" s="329" t="s">
        <v>196</v>
      </c>
      <c r="D4" s="329"/>
      <c r="E4" s="329"/>
      <c r="F4" s="329"/>
      <c r="G4" s="329"/>
      <c r="H4" s="329"/>
      <c r="I4" s="329"/>
      <c r="J4" s="329"/>
      <c r="K4" s="329"/>
      <c r="L4" s="329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56</v>
      </c>
      <c r="C6" s="80">
        <v>14974</v>
      </c>
      <c r="D6" s="80">
        <v>12587</v>
      </c>
      <c r="E6" s="80">
        <v>5644</v>
      </c>
      <c r="F6" s="80">
        <v>862</v>
      </c>
      <c r="G6" s="80">
        <v>-775</v>
      </c>
      <c r="H6" s="80"/>
      <c r="I6" s="80"/>
      <c r="J6" s="80"/>
      <c r="K6" s="80"/>
      <c r="L6" s="80"/>
    </row>
    <row r="7" spans="2:16384">
      <c r="B7" t="s">
        <v>57</v>
      </c>
      <c r="C7" s="80">
        <v>0</v>
      </c>
      <c r="D7" s="80">
        <v>0</v>
      </c>
      <c r="E7" s="80">
        <v>0</v>
      </c>
      <c r="F7" s="80">
        <v>0</v>
      </c>
      <c r="G7" s="80">
        <v>0</v>
      </c>
      <c r="H7" s="80"/>
      <c r="I7" s="80"/>
      <c r="J7" s="80"/>
      <c r="K7" s="80"/>
      <c r="L7" s="80"/>
    </row>
    <row r="8" spans="2:16384">
      <c r="B8" t="s">
        <v>58</v>
      </c>
      <c r="C8" s="80">
        <v>4667</v>
      </c>
      <c r="D8" s="80">
        <v>3747</v>
      </c>
      <c r="E8" s="80">
        <v>2911</v>
      </c>
      <c r="F8" s="80">
        <v>2502</v>
      </c>
      <c r="G8" s="80">
        <v>2295</v>
      </c>
      <c r="H8" s="80"/>
      <c r="I8" s="80"/>
      <c r="J8" s="80"/>
      <c r="K8" s="80"/>
      <c r="L8" s="80"/>
    </row>
    <row r="9" spans="2:16384">
      <c r="B9" t="s">
        <v>59</v>
      </c>
      <c r="C9" s="80">
        <v>-6349</v>
      </c>
      <c r="D9" s="80">
        <v>0</v>
      </c>
      <c r="E9" s="80">
        <v>0</v>
      </c>
      <c r="F9" s="80">
        <v>0</v>
      </c>
      <c r="G9" s="80">
        <v>0</v>
      </c>
      <c r="H9" s="80"/>
      <c r="I9" s="80"/>
      <c r="J9" s="80"/>
      <c r="K9" s="80"/>
      <c r="L9" s="80"/>
    </row>
    <row r="10" spans="2:16384">
      <c r="B10" t="s">
        <v>60</v>
      </c>
      <c r="C10" s="80">
        <v>0</v>
      </c>
      <c r="D10" s="80">
        <v>0</v>
      </c>
      <c r="E10" s="80">
        <v>0</v>
      </c>
      <c r="F10" s="80">
        <v>0</v>
      </c>
      <c r="G10" s="80">
        <v>0</v>
      </c>
      <c r="H10" s="80"/>
      <c r="I10" s="80"/>
      <c r="J10" s="80"/>
      <c r="K10" s="80"/>
      <c r="L10" s="80"/>
    </row>
    <row r="11" spans="2:16384">
      <c r="B11" t="s">
        <v>61</v>
      </c>
      <c r="C11" s="80">
        <v>0</v>
      </c>
      <c r="D11" s="80">
        <v>0</v>
      </c>
      <c r="E11" s="80">
        <v>0</v>
      </c>
      <c r="F11" s="80">
        <v>117</v>
      </c>
      <c r="G11" s="80">
        <v>146</v>
      </c>
      <c r="H11" s="80"/>
      <c r="I11" s="80"/>
      <c r="J11" s="80"/>
      <c r="K11" s="80"/>
      <c r="L11" s="80"/>
    </row>
    <row r="12" spans="2:16384">
      <c r="B12" t="s">
        <v>62</v>
      </c>
      <c r="C12" s="80">
        <v>2212</v>
      </c>
      <c r="D12" s="80">
        <v>2298</v>
      </c>
      <c r="E12" s="80">
        <v>2424</v>
      </c>
      <c r="F12" s="80">
        <v>2278</v>
      </c>
      <c r="G12" s="80">
        <v>1088</v>
      </c>
      <c r="H12" s="80"/>
      <c r="I12" s="80"/>
      <c r="J12" s="80"/>
      <c r="K12" s="80"/>
      <c r="L12" s="80"/>
    </row>
    <row r="13" spans="2:16384">
      <c r="B13" t="s">
        <v>63</v>
      </c>
      <c r="C13" s="80">
        <v>586</v>
      </c>
      <c r="D13" s="80">
        <v>1124</v>
      </c>
      <c r="E13" s="80">
        <v>130</v>
      </c>
      <c r="F13" s="80">
        <v>652</v>
      </c>
      <c r="G13" s="80">
        <v>367</v>
      </c>
      <c r="H13" s="80"/>
      <c r="I13" s="80"/>
      <c r="J13" s="80"/>
      <c r="K13" s="80"/>
      <c r="L13" s="80"/>
    </row>
    <row r="14" spans="2:16384">
      <c r="B14" t="s">
        <v>64</v>
      </c>
      <c r="C14" s="80">
        <v>1195</v>
      </c>
      <c r="D14" s="80">
        <v>6465</v>
      </c>
      <c r="E14" s="80">
        <v>1709</v>
      </c>
      <c r="F14" s="80">
        <v>422</v>
      </c>
      <c r="G14" s="80">
        <v>429</v>
      </c>
      <c r="H14" s="80"/>
      <c r="I14" s="80"/>
      <c r="J14" s="80"/>
      <c r="K14" s="80"/>
      <c r="L14" s="80"/>
    </row>
    <row r="15" spans="2:16384">
      <c r="B15" t="s">
        <v>65</v>
      </c>
      <c r="C15" s="80">
        <v>0</v>
      </c>
      <c r="D15" s="80">
        <v>6029</v>
      </c>
      <c r="E15" s="80">
        <v>4578</v>
      </c>
      <c r="F15" s="80">
        <v>2102</v>
      </c>
      <c r="G15" s="80">
        <v>682</v>
      </c>
      <c r="H15" s="80"/>
      <c r="I15" s="80"/>
      <c r="J15" s="80"/>
      <c r="K15" s="80"/>
      <c r="L15" s="80"/>
    </row>
    <row r="16" spans="2:16384">
      <c r="B16" t="s">
        <v>66</v>
      </c>
      <c r="C16" s="80">
        <v>0</v>
      </c>
      <c r="D16" s="80">
        <v>0</v>
      </c>
      <c r="E16" s="80">
        <v>0</v>
      </c>
      <c r="F16" s="80">
        <v>0</v>
      </c>
      <c r="G16" s="80">
        <v>0</v>
      </c>
      <c r="H16" s="80"/>
      <c r="I16" s="80"/>
      <c r="J16" s="80"/>
      <c r="K16" s="80"/>
      <c r="L16" s="80"/>
    </row>
    <row r="17" spans="2:12">
      <c r="B17" t="s">
        <v>67</v>
      </c>
      <c r="C17" s="80">
        <v>-467</v>
      </c>
      <c r="D17" s="80">
        <v>-2348</v>
      </c>
      <c r="E17" s="80">
        <v>-2221</v>
      </c>
      <c r="F17" s="80">
        <v>-844</v>
      </c>
      <c r="G17" s="80">
        <v>-235</v>
      </c>
      <c r="H17" s="80"/>
      <c r="I17" s="80"/>
      <c r="J17" s="80"/>
      <c r="K17" s="80"/>
      <c r="L17" s="80"/>
    </row>
    <row r="18" spans="2:12" ht="17" thickBot="1">
      <c r="B18" s="39" t="s">
        <v>68</v>
      </c>
      <c r="C18" s="82">
        <v>13256</v>
      </c>
      <c r="D18" s="82">
        <v>14724</v>
      </c>
      <c r="E18" s="82">
        <v>11497</v>
      </c>
      <c r="F18" s="82">
        <v>5943</v>
      </c>
      <c r="G18" s="82">
        <v>2405</v>
      </c>
      <c r="H18" s="82"/>
      <c r="I18" s="82"/>
      <c r="J18" s="82"/>
      <c r="K18" s="82"/>
      <c r="L18" s="82"/>
    </row>
    <row r="19" spans="2:12" ht="17" thickTop="1">
      <c r="B19" t="s">
        <v>69</v>
      </c>
      <c r="C19" s="80">
        <v>0</v>
      </c>
      <c r="D19" s="80">
        <v>0</v>
      </c>
      <c r="E19" s="80">
        <v>0</v>
      </c>
      <c r="F19" s="80">
        <v>0</v>
      </c>
      <c r="G19" s="80">
        <v>0</v>
      </c>
      <c r="H19" s="80"/>
      <c r="I19" s="80"/>
      <c r="J19" s="80"/>
      <c r="K19" s="80"/>
      <c r="L19" s="80"/>
    </row>
    <row r="20" spans="2:12">
      <c r="B20" t="s">
        <v>70</v>
      </c>
      <c r="C20" s="80">
        <v>0</v>
      </c>
      <c r="D20" s="80">
        <v>0</v>
      </c>
      <c r="E20" s="80">
        <v>0</v>
      </c>
      <c r="F20" s="80">
        <v>0</v>
      </c>
      <c r="G20" s="80">
        <v>0</v>
      </c>
      <c r="H20" s="80"/>
      <c r="I20" s="80"/>
      <c r="J20" s="80"/>
      <c r="K20" s="80"/>
      <c r="L20" s="80"/>
    </row>
    <row r="21" spans="2:12">
      <c r="B21" t="s">
        <v>71</v>
      </c>
      <c r="C21" s="80">
        <v>-6621</v>
      </c>
      <c r="D21" s="80">
        <v>-5813</v>
      </c>
      <c r="E21" s="80">
        <v>-132</v>
      </c>
      <c r="F21" s="80">
        <v>0</v>
      </c>
      <c r="G21" s="80">
        <v>0</v>
      </c>
      <c r="H21" s="80"/>
      <c r="I21" s="80"/>
      <c r="J21" s="80"/>
      <c r="K21" s="80"/>
      <c r="L21" s="80"/>
    </row>
    <row r="22" spans="2:12">
      <c r="B22" t="s">
        <v>72</v>
      </c>
      <c r="C22" s="80">
        <v>8899</v>
      </c>
      <c r="D22" s="80">
        <v>7163</v>
      </c>
      <c r="E22" s="80">
        <v>6514</v>
      </c>
      <c r="F22" s="80">
        <v>3232</v>
      </c>
      <c r="G22" s="80">
        <v>1432</v>
      </c>
      <c r="H22" s="80"/>
      <c r="I22" s="80"/>
      <c r="J22" s="80"/>
      <c r="K22" s="80"/>
      <c r="L22" s="80"/>
    </row>
    <row r="23" spans="2:12">
      <c r="B23" t="s">
        <v>73</v>
      </c>
      <c r="C23" s="80">
        <v>0</v>
      </c>
      <c r="D23" s="80">
        <v>0</v>
      </c>
      <c r="E23" s="80">
        <v>0</v>
      </c>
      <c r="F23" s="80">
        <v>0</v>
      </c>
      <c r="G23" s="80">
        <v>0</v>
      </c>
      <c r="H23" s="80"/>
      <c r="I23" s="80"/>
      <c r="J23" s="80"/>
      <c r="K23" s="80"/>
      <c r="L23" s="80"/>
    </row>
    <row r="24" spans="2:12">
      <c r="B24" t="s">
        <v>74</v>
      </c>
      <c r="C24" s="80">
        <v>64</v>
      </c>
      <c r="D24" s="80">
        <v>0</v>
      </c>
      <c r="E24" s="80">
        <v>0</v>
      </c>
      <c r="F24" s="80">
        <v>13</v>
      </c>
      <c r="G24" s="80">
        <v>45</v>
      </c>
      <c r="H24" s="80"/>
      <c r="I24" s="80"/>
      <c r="J24" s="80"/>
      <c r="K24" s="80"/>
      <c r="L24" s="80"/>
    </row>
    <row r="25" spans="2:12">
      <c r="B25" t="s">
        <v>75</v>
      </c>
      <c r="C25" s="80">
        <v>0</v>
      </c>
      <c r="D25" s="80">
        <v>1003</v>
      </c>
      <c r="E25" s="80">
        <v>-1222</v>
      </c>
      <c r="F25" s="80">
        <v>113</v>
      </c>
      <c r="G25" s="80">
        <v>41</v>
      </c>
      <c r="H25" s="80"/>
      <c r="I25" s="80"/>
      <c r="J25" s="80"/>
      <c r="K25" s="80"/>
      <c r="L25" s="80"/>
    </row>
    <row r="26" spans="2:12" ht="17" thickBot="1">
      <c r="B26" s="39" t="s">
        <v>201</v>
      </c>
      <c r="C26" s="82">
        <v>-15584</v>
      </c>
      <c r="D26" s="82">
        <v>-11973</v>
      </c>
      <c r="E26" s="82">
        <v>-7868</v>
      </c>
      <c r="F26" s="82">
        <v>-3132</v>
      </c>
      <c r="G26" s="82">
        <v>-1436</v>
      </c>
      <c r="H26" s="82"/>
      <c r="I26" s="82"/>
      <c r="J26" s="82"/>
      <c r="K26" s="82"/>
      <c r="L26" s="82"/>
    </row>
    <row r="27" spans="2:12" ht="17" thickTop="1">
      <c r="B27" t="s">
        <v>76</v>
      </c>
      <c r="C27" s="80">
        <v>700</v>
      </c>
      <c r="D27" s="80">
        <v>541</v>
      </c>
      <c r="E27" s="80">
        <v>707</v>
      </c>
      <c r="F27" s="80">
        <v>12686</v>
      </c>
      <c r="G27" s="80">
        <v>1111</v>
      </c>
      <c r="H27" s="80"/>
      <c r="I27" s="80"/>
      <c r="J27" s="80"/>
      <c r="K27" s="80"/>
      <c r="L27" s="80"/>
    </row>
    <row r="28" spans="2:12">
      <c r="B28" t="s">
        <v>77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78</v>
      </c>
      <c r="C29" s="80">
        <v>0</v>
      </c>
      <c r="D29" s="80">
        <v>0</v>
      </c>
      <c r="E29" s="80">
        <v>0</v>
      </c>
      <c r="F29" s="80">
        <v>0</v>
      </c>
      <c r="G29" s="80">
        <v>0</v>
      </c>
      <c r="H29" s="80"/>
      <c r="I29" s="80"/>
      <c r="J29" s="80"/>
      <c r="K29" s="80"/>
      <c r="L29" s="80"/>
    </row>
    <row r="30" spans="2:12">
      <c r="B30" t="s">
        <v>79</v>
      </c>
      <c r="C30" s="80">
        <v>0</v>
      </c>
      <c r="D30" s="80">
        <v>0</v>
      </c>
      <c r="E30" s="80">
        <v>0</v>
      </c>
      <c r="F30" s="80">
        <v>0</v>
      </c>
      <c r="G30" s="80">
        <v>0</v>
      </c>
      <c r="H30" s="80"/>
      <c r="I30" s="80"/>
      <c r="J30" s="80"/>
      <c r="K30" s="80"/>
      <c r="L30" s="80"/>
    </row>
    <row r="31" spans="2:12">
      <c r="B31" t="s">
        <v>80</v>
      </c>
      <c r="C31" s="80">
        <v>3931</v>
      </c>
      <c r="D31" s="80">
        <v>0</v>
      </c>
      <c r="E31" s="80">
        <v>8883</v>
      </c>
      <c r="F31" s="80">
        <v>9713</v>
      </c>
      <c r="G31" s="80">
        <v>10669</v>
      </c>
      <c r="H31" s="80"/>
      <c r="I31" s="80"/>
      <c r="J31" s="80"/>
      <c r="K31" s="80"/>
      <c r="L31" s="80"/>
    </row>
    <row r="32" spans="2:12">
      <c r="B32" t="s">
        <v>81</v>
      </c>
      <c r="C32" s="80">
        <v>1815</v>
      </c>
      <c r="D32" s="80">
        <v>3866</v>
      </c>
      <c r="E32" s="80">
        <v>14615</v>
      </c>
      <c r="F32" s="80">
        <v>12201</v>
      </c>
      <c r="G32" s="80">
        <v>9871</v>
      </c>
      <c r="H32" s="80"/>
      <c r="I32" s="80"/>
      <c r="J32" s="80"/>
      <c r="K32" s="80"/>
      <c r="L32" s="80"/>
    </row>
    <row r="33" spans="2:12">
      <c r="B33" t="s">
        <v>82</v>
      </c>
      <c r="C33" s="80">
        <v>0</v>
      </c>
      <c r="D33" s="80">
        <v>0</v>
      </c>
      <c r="E33" s="80">
        <v>0</v>
      </c>
      <c r="F33" s="80">
        <v>0</v>
      </c>
      <c r="G33" s="80">
        <v>0</v>
      </c>
      <c r="H33" s="80"/>
      <c r="I33" s="80"/>
      <c r="J33" s="80"/>
      <c r="K33" s="80"/>
      <c r="L33" s="80"/>
    </row>
    <row r="34" spans="2:12">
      <c r="B34" t="s">
        <v>83</v>
      </c>
      <c r="C34" s="80">
        <v>-227</v>
      </c>
      <c r="D34" s="80">
        <v>-202</v>
      </c>
      <c r="E34" s="80">
        <v>-178</v>
      </c>
      <c r="F34" s="80">
        <v>-225</v>
      </c>
      <c r="G34" s="80">
        <v>-380</v>
      </c>
      <c r="H34" s="80"/>
      <c r="I34" s="80"/>
      <c r="J34" s="80"/>
      <c r="K34" s="80"/>
      <c r="L34" s="80"/>
    </row>
    <row r="35" spans="2:12" ht="17" thickBot="1">
      <c r="B35" s="39" t="s">
        <v>84</v>
      </c>
      <c r="C35" s="82">
        <v>2589</v>
      </c>
      <c r="D35" s="82">
        <v>-3527</v>
      </c>
      <c r="E35" s="82">
        <v>-5203</v>
      </c>
      <c r="F35" s="82">
        <v>9973</v>
      </c>
      <c r="G35" s="82">
        <v>1529</v>
      </c>
      <c r="H35" s="82"/>
      <c r="I35" s="82"/>
      <c r="J35" s="82"/>
      <c r="K35" s="82"/>
      <c r="L35" s="82"/>
    </row>
    <row r="36" spans="2:12" ht="18" thickTop="1" thickBot="1">
      <c r="B36" s="79" t="s">
        <v>85</v>
      </c>
      <c r="C36" s="83">
        <v>261</v>
      </c>
      <c r="D36" s="83">
        <v>-776</v>
      </c>
      <c r="E36" s="83">
        <v>-1574</v>
      </c>
      <c r="F36" s="83">
        <v>12784</v>
      </c>
      <c r="G36" s="83">
        <v>2498</v>
      </c>
      <c r="H36" s="83"/>
      <c r="I36" s="83"/>
      <c r="J36" s="83"/>
      <c r="K36" s="83"/>
      <c r="L36" s="83"/>
    </row>
    <row r="37" spans="2:12" ht="17" thickTop="1"/>
  </sheetData>
  <mergeCells count="1">
    <mergeCell ref="C4:L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2:XFD68"/>
  <sheetViews>
    <sheetView topLeftCell="A30" zoomScale="74" workbookViewId="0">
      <selection activeCell="E55" sqref="E55:E57"/>
    </sheetView>
  </sheetViews>
  <sheetFormatPr baseColWidth="10" defaultRowHeight="16"/>
  <cols>
    <col min="2" max="2" width="38.140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198</v>
      </c>
      <c r="C4" s="329" t="s">
        <v>196</v>
      </c>
      <c r="D4" s="329"/>
      <c r="E4" s="329"/>
      <c r="F4" s="329"/>
      <c r="G4" s="329"/>
      <c r="H4" s="329"/>
      <c r="I4" s="329"/>
      <c r="J4" s="329"/>
      <c r="K4" s="329"/>
      <c r="L4" s="329"/>
    </row>
    <row r="5" spans="2:16384">
      <c r="B5" s="84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14</v>
      </c>
      <c r="C6" s="80">
        <v>29637</v>
      </c>
      <c r="D6" s="80">
        <v>22479</v>
      </c>
      <c r="E6" s="80">
        <v>18052</v>
      </c>
      <c r="F6" s="80">
        <v>19622</v>
      </c>
      <c r="G6" s="80">
        <v>6514</v>
      </c>
      <c r="H6" s="80"/>
      <c r="I6" s="80"/>
      <c r="J6" s="80"/>
      <c r="K6" s="80"/>
      <c r="L6" s="80"/>
    </row>
    <row r="7" spans="2:16384">
      <c r="B7" t="s">
        <v>15</v>
      </c>
      <c r="C7" s="80">
        <v>3702</v>
      </c>
      <c r="D7" s="80">
        <v>3123</v>
      </c>
      <c r="E7" s="80">
        <v>1997</v>
      </c>
      <c r="F7" s="80">
        <v>1912</v>
      </c>
      <c r="G7" s="80">
        <v>1324</v>
      </c>
      <c r="H7" s="80"/>
      <c r="I7" s="80"/>
      <c r="J7" s="80"/>
      <c r="K7" s="80"/>
      <c r="L7" s="80"/>
    </row>
    <row r="8" spans="2:16384">
      <c r="B8" t="s">
        <v>16</v>
      </c>
      <c r="C8" s="80">
        <v>13626</v>
      </c>
      <c r="D8" s="80">
        <v>12839</v>
      </c>
      <c r="E8" s="80">
        <v>5757</v>
      </c>
      <c r="F8" s="80">
        <v>4101</v>
      </c>
      <c r="G8" s="80">
        <v>3552</v>
      </c>
      <c r="H8" s="80"/>
      <c r="I8" s="80"/>
      <c r="J8" s="80"/>
      <c r="K8" s="80"/>
      <c r="L8" s="80"/>
    </row>
    <row r="9" spans="2:16384">
      <c r="B9" t="s">
        <v>17</v>
      </c>
      <c r="C9" s="80">
        <v>2651</v>
      </c>
      <c r="D9" s="80">
        <v>2476</v>
      </c>
      <c r="E9" s="80">
        <v>1294</v>
      </c>
      <c r="F9" s="80">
        <v>1082</v>
      </c>
      <c r="G9" s="80">
        <v>713</v>
      </c>
      <c r="H9" s="80"/>
      <c r="I9" s="80"/>
      <c r="J9" s="80"/>
      <c r="K9" s="80"/>
      <c r="L9" s="80"/>
    </row>
    <row r="10" spans="2:16384">
      <c r="B10" t="s">
        <v>18</v>
      </c>
      <c r="C10" s="80">
        <v>49616</v>
      </c>
      <c r="D10" s="80">
        <v>40917</v>
      </c>
      <c r="E10" s="80">
        <v>27100</v>
      </c>
      <c r="F10" s="80">
        <v>26717</v>
      </c>
      <c r="G10" s="80">
        <v>12103</v>
      </c>
      <c r="H10" s="80"/>
      <c r="I10" s="80"/>
      <c r="J10" s="80"/>
      <c r="K10" s="80"/>
      <c r="L10" s="80"/>
    </row>
    <row r="11" spans="2:16384">
      <c r="B11" t="s">
        <v>108</v>
      </c>
      <c r="C11" s="80">
        <v>45123</v>
      </c>
      <c r="D11" s="80">
        <v>36635</v>
      </c>
      <c r="E11" s="80">
        <v>31176</v>
      </c>
      <c r="F11" s="80">
        <v>23375</v>
      </c>
      <c r="G11" s="80">
        <v>20199</v>
      </c>
      <c r="H11" s="80"/>
      <c r="I11" s="80"/>
      <c r="J11" s="80"/>
      <c r="K11" s="80"/>
      <c r="L11" s="80"/>
    </row>
    <row r="12" spans="2:16384">
      <c r="B12" t="s">
        <v>20</v>
      </c>
      <c r="C12" s="80">
        <v>15080</v>
      </c>
      <c r="D12" s="80">
        <v>11499</v>
      </c>
      <c r="E12" s="80">
        <v>8691</v>
      </c>
      <c r="F12" s="80">
        <v>6518</v>
      </c>
      <c r="G12" s="80">
        <v>4863</v>
      </c>
      <c r="H12" s="80"/>
      <c r="I12" s="80"/>
      <c r="J12" s="80"/>
      <c r="K12" s="80"/>
      <c r="L12" s="80"/>
    </row>
    <row r="13" spans="2:16384">
      <c r="B13" t="s">
        <v>21</v>
      </c>
      <c r="C13" s="80">
        <v>0</v>
      </c>
      <c r="D13" s="80">
        <v>0</v>
      </c>
      <c r="E13" s="80">
        <v>0</v>
      </c>
      <c r="F13" s="80">
        <v>0</v>
      </c>
      <c r="G13" s="80">
        <v>0</v>
      </c>
      <c r="H13" s="80"/>
      <c r="I13" s="80"/>
      <c r="J13" s="80"/>
      <c r="K13" s="80"/>
      <c r="L13" s="80"/>
    </row>
    <row r="14" spans="2:16384">
      <c r="B14" t="s">
        <v>22</v>
      </c>
      <c r="C14" s="80">
        <v>2593</v>
      </c>
      <c r="D14" s="80">
        <v>2652</v>
      </c>
      <c r="E14" s="80">
        <v>1218</v>
      </c>
      <c r="F14" s="80">
        <v>399</v>
      </c>
      <c r="G14" s="80">
        <v>393</v>
      </c>
      <c r="H14" s="80"/>
      <c r="I14" s="80"/>
      <c r="J14" s="80"/>
      <c r="K14" s="80"/>
      <c r="L14" s="80"/>
    </row>
    <row r="15" spans="2:16384">
      <c r="B15" t="s">
        <v>23</v>
      </c>
      <c r="C15" s="80">
        <v>615</v>
      </c>
      <c r="D15" s="80">
        <v>593</v>
      </c>
      <c r="E15" s="80">
        <v>1717</v>
      </c>
      <c r="F15" s="80">
        <v>520</v>
      </c>
      <c r="G15" s="80">
        <v>537</v>
      </c>
      <c r="H15" s="80"/>
      <c r="I15" s="80"/>
      <c r="J15" s="80"/>
      <c r="K15" s="80"/>
      <c r="L15" s="80"/>
    </row>
    <row r="16" spans="2:16384">
      <c r="B16" t="s">
        <v>24</v>
      </c>
      <c r="C16" s="80">
        <v>8671</v>
      </c>
      <c r="D16" s="80">
        <v>1541</v>
      </c>
      <c r="E16" s="80">
        <v>920</v>
      </c>
      <c r="F16" s="80">
        <v>1137</v>
      </c>
      <c r="G16" s="80">
        <v>1077</v>
      </c>
      <c r="H16" s="80"/>
      <c r="I16" s="80"/>
      <c r="J16" s="80"/>
      <c r="K16" s="80"/>
      <c r="L16" s="80"/>
    </row>
    <row r="17" spans="2:12">
      <c r="B17" t="s">
        <v>25</v>
      </c>
      <c r="C17" s="80">
        <v>106618</v>
      </c>
      <c r="D17" s="80">
        <v>82338</v>
      </c>
      <c r="E17" s="80">
        <v>62131</v>
      </c>
      <c r="F17" s="80">
        <v>52148</v>
      </c>
      <c r="G17" s="80">
        <v>34309</v>
      </c>
      <c r="H17" s="80"/>
      <c r="I17" s="80"/>
      <c r="J17" s="80"/>
      <c r="K17" s="80"/>
      <c r="L17" s="80"/>
    </row>
    <row r="18" spans="2:12">
      <c r="B18" t="s">
        <v>26</v>
      </c>
      <c r="C18" s="80">
        <v>3045</v>
      </c>
      <c r="D18" s="80">
        <v>1987</v>
      </c>
      <c r="E18" s="80">
        <v>1957</v>
      </c>
      <c r="F18" s="80">
        <v>2459</v>
      </c>
      <c r="G18" s="80">
        <v>2070</v>
      </c>
      <c r="H18" s="80"/>
      <c r="I18" s="80"/>
      <c r="J18" s="80"/>
      <c r="K18" s="80"/>
      <c r="L18" s="80"/>
    </row>
    <row r="19" spans="2:12">
      <c r="B19" t="s">
        <v>27</v>
      </c>
      <c r="C19" s="80">
        <v>14431</v>
      </c>
      <c r="D19" s="80">
        <v>15255</v>
      </c>
      <c r="E19" s="80">
        <v>10025</v>
      </c>
      <c r="F19" s="80">
        <v>6051</v>
      </c>
      <c r="G19" s="80">
        <v>3771</v>
      </c>
      <c r="H19" s="80"/>
      <c r="I19" s="80"/>
      <c r="J19" s="80"/>
      <c r="K19" s="80"/>
      <c r="L19" s="80"/>
    </row>
    <row r="20" spans="2:12">
      <c r="B20" t="s">
        <v>28</v>
      </c>
      <c r="C20" s="80">
        <v>1204</v>
      </c>
      <c r="D20" s="80">
        <v>1235</v>
      </c>
      <c r="E20" s="80">
        <v>1122</v>
      </c>
      <c r="F20" s="80">
        <v>777</v>
      </c>
      <c r="G20" s="80">
        <v>611</v>
      </c>
      <c r="H20" s="80"/>
      <c r="I20" s="80"/>
      <c r="J20" s="80"/>
      <c r="K20" s="80"/>
      <c r="L20" s="80"/>
    </row>
    <row r="21" spans="2:12">
      <c r="B21" t="s">
        <v>29</v>
      </c>
      <c r="C21" s="80">
        <v>10068</v>
      </c>
      <c r="D21" s="80">
        <v>8232</v>
      </c>
      <c r="E21" s="80">
        <v>6601</v>
      </c>
      <c r="F21" s="80">
        <v>4961</v>
      </c>
      <c r="G21" s="80">
        <v>4215</v>
      </c>
      <c r="H21" s="80"/>
      <c r="I21" s="80"/>
      <c r="J21" s="80"/>
      <c r="K21" s="80"/>
      <c r="L21" s="80"/>
    </row>
    <row r="22" spans="2:12">
      <c r="B22" t="s">
        <v>30</v>
      </c>
      <c r="C22" s="80">
        <v>28748</v>
      </c>
      <c r="D22" s="80">
        <v>26709</v>
      </c>
      <c r="E22" s="80">
        <v>19705</v>
      </c>
      <c r="F22" s="80">
        <v>14248</v>
      </c>
      <c r="G22" s="80">
        <v>10667</v>
      </c>
      <c r="H22" s="80"/>
      <c r="I22" s="80"/>
      <c r="J22" s="80"/>
      <c r="K22" s="80"/>
      <c r="L22" s="80"/>
    </row>
    <row r="23" spans="2:12">
      <c r="B23" t="s">
        <v>31</v>
      </c>
      <c r="C23" s="80">
        <v>6528</v>
      </c>
      <c r="D23" s="80">
        <v>3761</v>
      </c>
      <c r="E23" s="80">
        <v>6916</v>
      </c>
      <c r="F23" s="80">
        <v>10888</v>
      </c>
      <c r="G23" s="80">
        <v>12627</v>
      </c>
      <c r="H23" s="80"/>
      <c r="I23" s="80"/>
      <c r="J23" s="80"/>
      <c r="K23" s="80"/>
      <c r="L23" s="80"/>
    </row>
    <row r="24" spans="2:12">
      <c r="B24" t="s">
        <v>32</v>
      </c>
      <c r="C24" s="80">
        <v>81</v>
      </c>
      <c r="D24" s="80">
        <v>82</v>
      </c>
      <c r="E24" s="80">
        <v>24</v>
      </c>
      <c r="F24" s="80">
        <v>151</v>
      </c>
      <c r="G24" s="80">
        <v>0</v>
      </c>
      <c r="H24" s="80"/>
      <c r="I24" s="80"/>
      <c r="J24" s="80"/>
      <c r="K24" s="80"/>
      <c r="L24" s="80"/>
    </row>
    <row r="25" spans="2:12">
      <c r="B25" t="s">
        <v>33</v>
      </c>
      <c r="C25" s="80">
        <v>7652</v>
      </c>
      <c r="D25" s="80">
        <v>5888</v>
      </c>
      <c r="E25" s="80">
        <v>3903</v>
      </c>
      <c r="F25" s="80">
        <v>3182</v>
      </c>
      <c r="G25" s="80">
        <v>2905</v>
      </c>
      <c r="H25" s="80"/>
      <c r="I25" s="80"/>
      <c r="J25" s="80"/>
      <c r="K25" s="80"/>
      <c r="L25" s="80"/>
    </row>
    <row r="26" spans="2:12">
      <c r="B26" t="s">
        <v>34</v>
      </c>
      <c r="C26" s="80">
        <v>43009</v>
      </c>
      <c r="D26" s="80">
        <v>36440</v>
      </c>
      <c r="E26" s="80">
        <v>30548</v>
      </c>
      <c r="F26" s="80">
        <v>28469</v>
      </c>
      <c r="G26" s="80">
        <v>26199</v>
      </c>
      <c r="H26" s="80"/>
      <c r="I26" s="80"/>
      <c r="J26" s="80"/>
      <c r="K26" s="80"/>
      <c r="L26" s="80"/>
    </row>
    <row r="27" spans="2:12">
      <c r="B27" t="s">
        <v>35</v>
      </c>
      <c r="C27" s="80">
        <v>242</v>
      </c>
      <c r="D27" s="80">
        <v>409</v>
      </c>
      <c r="E27" s="80">
        <v>568</v>
      </c>
      <c r="F27" s="80">
        <v>604</v>
      </c>
      <c r="G27" s="80">
        <v>643</v>
      </c>
      <c r="H27" s="80"/>
      <c r="I27" s="80"/>
      <c r="J27" s="80"/>
      <c r="K27" s="80"/>
      <c r="L27" s="80"/>
    </row>
    <row r="28" spans="2:12">
      <c r="B28" t="s">
        <v>36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37</v>
      </c>
      <c r="C29" s="80">
        <v>62634</v>
      </c>
      <c r="D29" s="80">
        <v>44704</v>
      </c>
      <c r="E29" s="80">
        <v>30189</v>
      </c>
      <c r="F29" s="80">
        <v>22225</v>
      </c>
      <c r="G29" s="80">
        <v>6618</v>
      </c>
      <c r="H29" s="80"/>
      <c r="I29" s="80"/>
      <c r="J29" s="80"/>
      <c r="K29" s="80"/>
      <c r="L29" s="80"/>
    </row>
    <row r="30" spans="2:12">
      <c r="B30" t="s">
        <v>38</v>
      </c>
      <c r="C30" s="80">
        <v>62634</v>
      </c>
      <c r="D30" s="80">
        <v>44704</v>
      </c>
      <c r="E30" s="80">
        <v>30189</v>
      </c>
      <c r="F30" s="80">
        <v>22225</v>
      </c>
      <c r="G30" s="80">
        <v>6618</v>
      </c>
      <c r="H30" s="80"/>
      <c r="I30" s="80"/>
      <c r="J30" s="80"/>
      <c r="K30" s="80"/>
      <c r="L30" s="80"/>
    </row>
    <row r="34" spans="2:16384" ht="21" thickBot="1">
      <c r="B34" s="38" t="s">
        <v>199</v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37"/>
      <c r="EZ34" s="37"/>
      <c r="FA34" s="37"/>
      <c r="FB34" s="37"/>
      <c r="FC34" s="37"/>
      <c r="FD34" s="37"/>
      <c r="FE34" s="37"/>
      <c r="FF34" s="37"/>
      <c r="FG34" s="37"/>
      <c r="FH34" s="37"/>
      <c r="FI34" s="37"/>
      <c r="FJ34" s="37"/>
      <c r="FK34" s="37"/>
      <c r="FL34" s="37"/>
      <c r="FM34" s="37"/>
      <c r="FN34" s="37"/>
      <c r="FO34" s="37"/>
      <c r="FP34" s="37"/>
      <c r="FQ34" s="37"/>
      <c r="FR34" s="37"/>
      <c r="FS34" s="37"/>
      <c r="FT34" s="37"/>
      <c r="FU34" s="37"/>
      <c r="FV34" s="37"/>
      <c r="FW34" s="37"/>
      <c r="FX34" s="37"/>
      <c r="FY34" s="37"/>
      <c r="FZ34" s="37"/>
      <c r="GA34" s="37"/>
      <c r="GB34" s="37"/>
      <c r="GC34" s="37"/>
      <c r="GD34" s="37"/>
      <c r="GE34" s="37"/>
      <c r="GF34" s="37"/>
      <c r="GG34" s="37"/>
      <c r="GH34" s="37"/>
      <c r="GI34" s="37"/>
      <c r="GJ34" s="37"/>
      <c r="GK34" s="37"/>
      <c r="GL34" s="37"/>
      <c r="GM34" s="37"/>
      <c r="GN34" s="37"/>
      <c r="GO34" s="37"/>
      <c r="GP34" s="37"/>
      <c r="GQ34" s="37"/>
      <c r="GR34" s="37"/>
      <c r="GS34" s="37"/>
      <c r="GT34" s="37"/>
      <c r="GU34" s="37"/>
      <c r="GV34" s="37"/>
      <c r="GW34" s="37"/>
      <c r="GX34" s="37"/>
      <c r="GY34" s="37"/>
      <c r="GZ34" s="37"/>
      <c r="HA34" s="37"/>
      <c r="HB34" s="37"/>
      <c r="HC34" s="37"/>
      <c r="HD34" s="37"/>
      <c r="HE34" s="37"/>
      <c r="HF34" s="37"/>
      <c r="HG34" s="37"/>
      <c r="HH34" s="37"/>
      <c r="HI34" s="37"/>
      <c r="HJ34" s="37"/>
      <c r="HK34" s="37"/>
      <c r="HL34" s="37"/>
      <c r="HM34" s="37"/>
      <c r="HN34" s="37"/>
      <c r="HO34" s="37"/>
      <c r="HP34" s="37"/>
      <c r="HQ34" s="37"/>
      <c r="HR34" s="37"/>
      <c r="HS34" s="37"/>
      <c r="HT34" s="37"/>
      <c r="HU34" s="37"/>
      <c r="HV34" s="37"/>
      <c r="HW34" s="37"/>
      <c r="HX34" s="37"/>
      <c r="HY34" s="37"/>
      <c r="HZ34" s="37"/>
      <c r="IA34" s="37"/>
      <c r="IB34" s="37"/>
      <c r="IC34" s="37"/>
      <c r="ID34" s="37"/>
      <c r="IE34" s="37"/>
      <c r="IF34" s="37"/>
      <c r="IG34" s="37"/>
      <c r="IH34" s="37"/>
      <c r="II34" s="37"/>
      <c r="IJ34" s="37"/>
      <c r="IK34" s="37"/>
      <c r="IL34" s="37"/>
      <c r="IM34" s="37"/>
      <c r="IN34" s="37"/>
      <c r="IO34" s="37"/>
      <c r="IP34" s="37"/>
      <c r="IQ34" s="37"/>
      <c r="IR34" s="37"/>
      <c r="IS34" s="37"/>
      <c r="IT34" s="37"/>
      <c r="IU34" s="37"/>
      <c r="IV34" s="37"/>
      <c r="IW34" s="37"/>
      <c r="IX34" s="37"/>
      <c r="IY34" s="37"/>
      <c r="IZ34" s="37"/>
      <c r="JA34" s="37"/>
      <c r="JB34" s="37"/>
      <c r="JC34" s="37"/>
      <c r="JD34" s="37"/>
      <c r="JE34" s="37"/>
      <c r="JF34" s="37"/>
      <c r="JG34" s="37"/>
      <c r="JH34" s="37"/>
      <c r="JI34" s="37"/>
      <c r="JJ34" s="37"/>
      <c r="JK34" s="37"/>
      <c r="JL34" s="37"/>
      <c r="JM34" s="37"/>
      <c r="JN34" s="37"/>
      <c r="JO34" s="37"/>
      <c r="JP34" s="37"/>
      <c r="JQ34" s="37"/>
      <c r="JR34" s="37"/>
      <c r="JS34" s="37"/>
      <c r="JT34" s="37"/>
      <c r="JU34" s="37"/>
      <c r="JV34" s="37"/>
      <c r="JW34" s="37"/>
      <c r="JX34" s="37"/>
      <c r="JY34" s="37"/>
      <c r="JZ34" s="37"/>
      <c r="KA34" s="37"/>
      <c r="KB34" s="37"/>
      <c r="KC34" s="37"/>
      <c r="KD34" s="37"/>
      <c r="KE34" s="37"/>
      <c r="KF34" s="37"/>
      <c r="KG34" s="37"/>
      <c r="KH34" s="37"/>
      <c r="KI34" s="37"/>
      <c r="KJ34" s="37"/>
      <c r="KK34" s="37"/>
      <c r="KL34" s="37"/>
      <c r="KM34" s="37"/>
      <c r="KN34" s="37"/>
      <c r="KO34" s="37"/>
      <c r="KP34" s="37"/>
      <c r="KQ34" s="37"/>
      <c r="KR34" s="37"/>
      <c r="KS34" s="37"/>
      <c r="KT34" s="37"/>
      <c r="KU34" s="37"/>
      <c r="KV34" s="37"/>
      <c r="KW34" s="37"/>
      <c r="KX34" s="37"/>
      <c r="KY34" s="37"/>
      <c r="KZ34" s="37"/>
      <c r="LA34" s="37"/>
      <c r="LB34" s="37"/>
      <c r="LC34" s="37"/>
      <c r="LD34" s="37"/>
      <c r="LE34" s="37"/>
      <c r="LF34" s="37"/>
      <c r="LG34" s="37"/>
      <c r="LH34" s="37"/>
      <c r="LI34" s="37"/>
      <c r="LJ34" s="37"/>
      <c r="LK34" s="37"/>
      <c r="LL34" s="37"/>
      <c r="LM34" s="37"/>
      <c r="LN34" s="37"/>
      <c r="LO34" s="37"/>
      <c r="LP34" s="37"/>
      <c r="LQ34" s="37"/>
      <c r="LR34" s="37"/>
      <c r="LS34" s="37"/>
      <c r="LT34" s="37"/>
      <c r="LU34" s="37"/>
      <c r="LV34" s="37"/>
      <c r="LW34" s="37"/>
      <c r="LX34" s="37"/>
      <c r="LY34" s="37"/>
      <c r="LZ34" s="37"/>
      <c r="MA34" s="37"/>
      <c r="MB34" s="37"/>
      <c r="MC34" s="37"/>
      <c r="MD34" s="37"/>
      <c r="ME34" s="37"/>
      <c r="MF34" s="37"/>
      <c r="MG34" s="37"/>
      <c r="MH34" s="37"/>
      <c r="MI34" s="37"/>
      <c r="MJ34" s="37"/>
      <c r="MK34" s="37"/>
      <c r="ML34" s="37"/>
      <c r="MM34" s="37"/>
      <c r="MN34" s="37"/>
      <c r="MO34" s="37"/>
      <c r="MP34" s="37"/>
      <c r="MQ34" s="37"/>
      <c r="MR34" s="37"/>
      <c r="MS34" s="37"/>
      <c r="MT34" s="37"/>
      <c r="MU34" s="37"/>
      <c r="MV34" s="37"/>
      <c r="MW34" s="37"/>
      <c r="MX34" s="37"/>
      <c r="MY34" s="37"/>
      <c r="MZ34" s="37"/>
      <c r="NA34" s="37"/>
      <c r="NB34" s="37"/>
      <c r="NC34" s="37"/>
      <c r="ND34" s="37"/>
      <c r="NE34" s="37"/>
      <c r="NF34" s="37"/>
      <c r="NG34" s="37"/>
      <c r="NH34" s="37"/>
      <c r="NI34" s="37"/>
      <c r="NJ34" s="37"/>
      <c r="NK34" s="37"/>
      <c r="NL34" s="37"/>
      <c r="NM34" s="37"/>
      <c r="NN34" s="37"/>
      <c r="NO34" s="37"/>
      <c r="NP34" s="37"/>
      <c r="NQ34" s="37"/>
      <c r="NR34" s="37"/>
      <c r="NS34" s="37"/>
      <c r="NT34" s="37"/>
      <c r="NU34" s="37"/>
      <c r="NV34" s="37"/>
      <c r="NW34" s="37"/>
      <c r="NX34" s="37"/>
      <c r="NY34" s="37"/>
      <c r="NZ34" s="37"/>
      <c r="OA34" s="37"/>
      <c r="OB34" s="37"/>
      <c r="OC34" s="37"/>
      <c r="OD34" s="37"/>
      <c r="OE34" s="37"/>
      <c r="OF34" s="37"/>
      <c r="OG34" s="37"/>
      <c r="OH34" s="37"/>
      <c r="OI34" s="37"/>
      <c r="OJ34" s="37"/>
      <c r="OK34" s="37"/>
      <c r="OL34" s="37"/>
      <c r="OM34" s="37"/>
      <c r="ON34" s="37"/>
      <c r="OO34" s="37"/>
      <c r="OP34" s="37"/>
      <c r="OQ34" s="37"/>
      <c r="OR34" s="37"/>
      <c r="OS34" s="37"/>
      <c r="OT34" s="37"/>
      <c r="OU34" s="37"/>
      <c r="OV34" s="37"/>
      <c r="OW34" s="37"/>
      <c r="OX34" s="37"/>
      <c r="OY34" s="37"/>
      <c r="OZ34" s="37"/>
      <c r="PA34" s="37"/>
      <c r="PB34" s="37"/>
      <c r="PC34" s="37"/>
      <c r="PD34" s="37"/>
      <c r="PE34" s="37"/>
      <c r="PF34" s="37"/>
      <c r="PG34" s="37"/>
      <c r="PH34" s="37"/>
      <c r="PI34" s="37"/>
      <c r="PJ34" s="37"/>
      <c r="PK34" s="37"/>
      <c r="PL34" s="37"/>
      <c r="PM34" s="37"/>
      <c r="PN34" s="37"/>
      <c r="PO34" s="37"/>
      <c r="PP34" s="37"/>
      <c r="PQ34" s="37"/>
      <c r="PR34" s="37"/>
      <c r="PS34" s="37"/>
      <c r="PT34" s="37"/>
      <c r="PU34" s="37"/>
      <c r="PV34" s="37"/>
      <c r="PW34" s="37"/>
      <c r="PX34" s="37"/>
      <c r="PY34" s="37"/>
      <c r="PZ34" s="37"/>
      <c r="QA34" s="37"/>
      <c r="QB34" s="37"/>
      <c r="QC34" s="37"/>
      <c r="QD34" s="37"/>
      <c r="QE34" s="37"/>
      <c r="QF34" s="37"/>
      <c r="QG34" s="37"/>
      <c r="QH34" s="37"/>
      <c r="QI34" s="37"/>
      <c r="QJ34" s="37"/>
      <c r="QK34" s="37"/>
      <c r="QL34" s="37"/>
      <c r="QM34" s="37"/>
      <c r="QN34" s="37"/>
      <c r="QO34" s="37"/>
      <c r="QP34" s="37"/>
      <c r="QQ34" s="37"/>
      <c r="QR34" s="37"/>
      <c r="QS34" s="37"/>
      <c r="QT34" s="37"/>
      <c r="QU34" s="37"/>
      <c r="QV34" s="37"/>
      <c r="QW34" s="37"/>
      <c r="QX34" s="37"/>
      <c r="QY34" s="37"/>
      <c r="QZ34" s="37"/>
      <c r="RA34" s="37"/>
      <c r="RB34" s="37"/>
      <c r="RC34" s="37"/>
      <c r="RD34" s="37"/>
      <c r="RE34" s="37"/>
      <c r="RF34" s="37"/>
      <c r="RG34" s="37"/>
      <c r="RH34" s="37"/>
      <c r="RI34" s="37"/>
      <c r="RJ34" s="37"/>
      <c r="RK34" s="37"/>
      <c r="RL34" s="37"/>
      <c r="RM34" s="37"/>
      <c r="RN34" s="37"/>
      <c r="RO34" s="37"/>
      <c r="RP34" s="37"/>
      <c r="RQ34" s="37"/>
      <c r="RR34" s="37"/>
      <c r="RS34" s="37"/>
      <c r="RT34" s="37"/>
      <c r="RU34" s="37"/>
      <c r="RV34" s="37"/>
      <c r="RW34" s="37"/>
      <c r="RX34" s="37"/>
      <c r="RY34" s="37"/>
      <c r="RZ34" s="37"/>
      <c r="SA34" s="37"/>
      <c r="SB34" s="37"/>
      <c r="SC34" s="37"/>
      <c r="SD34" s="37"/>
      <c r="SE34" s="37"/>
      <c r="SF34" s="37"/>
      <c r="SG34" s="37"/>
      <c r="SH34" s="37"/>
      <c r="SI34" s="37"/>
      <c r="SJ34" s="37"/>
      <c r="SK34" s="37"/>
      <c r="SL34" s="37"/>
      <c r="SM34" s="37"/>
      <c r="SN34" s="37"/>
      <c r="SO34" s="37"/>
      <c r="SP34" s="37"/>
      <c r="SQ34" s="37"/>
      <c r="SR34" s="37"/>
      <c r="SS34" s="37"/>
      <c r="ST34" s="37"/>
      <c r="SU34" s="37"/>
      <c r="SV34" s="37"/>
      <c r="SW34" s="37"/>
      <c r="SX34" s="37"/>
      <c r="SY34" s="37"/>
      <c r="SZ34" s="37"/>
      <c r="TA34" s="37"/>
      <c r="TB34" s="37"/>
      <c r="TC34" s="37"/>
      <c r="TD34" s="37"/>
      <c r="TE34" s="37"/>
      <c r="TF34" s="37"/>
      <c r="TG34" s="37"/>
      <c r="TH34" s="37"/>
      <c r="TI34" s="37"/>
      <c r="TJ34" s="37"/>
      <c r="TK34" s="37"/>
      <c r="TL34" s="37"/>
      <c r="TM34" s="37"/>
      <c r="TN34" s="37"/>
      <c r="TO34" s="37"/>
      <c r="TP34" s="37"/>
      <c r="TQ34" s="37"/>
      <c r="TR34" s="37"/>
      <c r="TS34" s="37"/>
      <c r="TT34" s="37"/>
      <c r="TU34" s="37"/>
      <c r="TV34" s="37"/>
      <c r="TW34" s="37"/>
      <c r="TX34" s="37"/>
      <c r="TY34" s="37"/>
      <c r="TZ34" s="37"/>
      <c r="UA34" s="37"/>
      <c r="UB34" s="37"/>
      <c r="UC34" s="37"/>
      <c r="UD34" s="37"/>
      <c r="UE34" s="37"/>
      <c r="UF34" s="37"/>
      <c r="UG34" s="37"/>
      <c r="UH34" s="37"/>
      <c r="UI34" s="37"/>
      <c r="UJ34" s="37"/>
      <c r="UK34" s="37"/>
      <c r="UL34" s="37"/>
      <c r="UM34" s="37"/>
      <c r="UN34" s="37"/>
      <c r="UO34" s="37"/>
      <c r="UP34" s="37"/>
      <c r="UQ34" s="37"/>
      <c r="UR34" s="37"/>
      <c r="US34" s="37"/>
      <c r="UT34" s="37"/>
      <c r="UU34" s="37"/>
      <c r="UV34" s="37"/>
      <c r="UW34" s="37"/>
      <c r="UX34" s="37"/>
      <c r="UY34" s="37"/>
      <c r="UZ34" s="37"/>
      <c r="VA34" s="37"/>
      <c r="VB34" s="37"/>
      <c r="VC34" s="37"/>
      <c r="VD34" s="37"/>
      <c r="VE34" s="37"/>
      <c r="VF34" s="37"/>
      <c r="VG34" s="37"/>
      <c r="VH34" s="37"/>
      <c r="VI34" s="37"/>
      <c r="VJ34" s="37"/>
      <c r="VK34" s="37"/>
      <c r="VL34" s="37"/>
      <c r="VM34" s="37"/>
      <c r="VN34" s="37"/>
      <c r="VO34" s="37"/>
      <c r="VP34" s="37"/>
      <c r="VQ34" s="37"/>
      <c r="VR34" s="37"/>
      <c r="VS34" s="37"/>
      <c r="VT34" s="37"/>
      <c r="VU34" s="37"/>
      <c r="VV34" s="37"/>
      <c r="VW34" s="37"/>
      <c r="VX34" s="37"/>
      <c r="VY34" s="37"/>
      <c r="VZ34" s="37"/>
      <c r="WA34" s="37"/>
      <c r="WB34" s="37"/>
      <c r="WC34" s="37"/>
      <c r="WD34" s="37"/>
      <c r="WE34" s="37"/>
      <c r="WF34" s="37"/>
      <c r="WG34" s="37"/>
      <c r="WH34" s="37"/>
      <c r="WI34" s="37"/>
      <c r="WJ34" s="37"/>
      <c r="WK34" s="37"/>
      <c r="WL34" s="37"/>
      <c r="WM34" s="37"/>
      <c r="WN34" s="37"/>
      <c r="WO34" s="37"/>
      <c r="WP34" s="37"/>
      <c r="WQ34" s="37"/>
      <c r="WR34" s="37"/>
      <c r="WS34" s="37"/>
      <c r="WT34" s="37"/>
      <c r="WU34" s="37"/>
      <c r="WV34" s="37"/>
      <c r="WW34" s="37"/>
      <c r="WX34" s="37"/>
      <c r="WY34" s="37"/>
      <c r="WZ34" s="37"/>
      <c r="XA34" s="37"/>
      <c r="XB34" s="37"/>
      <c r="XC34" s="37"/>
      <c r="XD34" s="37"/>
      <c r="XE34" s="37"/>
      <c r="XF34" s="37"/>
      <c r="XG34" s="37"/>
      <c r="XH34" s="37"/>
      <c r="XI34" s="37"/>
      <c r="XJ34" s="37"/>
      <c r="XK34" s="37"/>
      <c r="XL34" s="37"/>
      <c r="XM34" s="37"/>
      <c r="XN34" s="37"/>
      <c r="XO34" s="37"/>
      <c r="XP34" s="37"/>
      <c r="XQ34" s="37"/>
      <c r="XR34" s="37"/>
      <c r="XS34" s="37"/>
      <c r="XT34" s="37"/>
      <c r="XU34" s="37"/>
      <c r="XV34" s="37"/>
      <c r="XW34" s="37"/>
      <c r="XX34" s="37"/>
      <c r="XY34" s="37"/>
      <c r="XZ34" s="37"/>
      <c r="YA34" s="37"/>
      <c r="YB34" s="37"/>
      <c r="YC34" s="37"/>
      <c r="YD34" s="37"/>
      <c r="YE34" s="37"/>
      <c r="YF34" s="37"/>
      <c r="YG34" s="37"/>
      <c r="YH34" s="37"/>
      <c r="YI34" s="37"/>
      <c r="YJ34" s="37"/>
      <c r="YK34" s="37"/>
      <c r="YL34" s="37"/>
      <c r="YM34" s="37"/>
      <c r="YN34" s="37"/>
      <c r="YO34" s="37"/>
      <c r="YP34" s="37"/>
      <c r="YQ34" s="37"/>
      <c r="YR34" s="37"/>
      <c r="YS34" s="37"/>
      <c r="YT34" s="37"/>
      <c r="YU34" s="37"/>
      <c r="YV34" s="37"/>
      <c r="YW34" s="37"/>
      <c r="YX34" s="37"/>
      <c r="YY34" s="37"/>
      <c r="YZ34" s="37"/>
      <c r="ZA34" s="37"/>
      <c r="ZB34" s="37"/>
      <c r="ZC34" s="37"/>
      <c r="ZD34" s="37"/>
      <c r="ZE34" s="37"/>
      <c r="ZF34" s="37"/>
      <c r="ZG34" s="37"/>
      <c r="ZH34" s="37"/>
      <c r="ZI34" s="37"/>
      <c r="ZJ34" s="37"/>
      <c r="ZK34" s="37"/>
      <c r="ZL34" s="37"/>
      <c r="ZM34" s="37"/>
      <c r="ZN34" s="37"/>
      <c r="ZO34" s="37"/>
      <c r="ZP34" s="37"/>
      <c r="ZQ34" s="37"/>
      <c r="ZR34" s="37"/>
      <c r="ZS34" s="37"/>
      <c r="ZT34" s="37"/>
      <c r="ZU34" s="37"/>
      <c r="ZV34" s="37"/>
      <c r="ZW34" s="37"/>
      <c r="ZX34" s="37"/>
      <c r="ZY34" s="37"/>
      <c r="ZZ34" s="37"/>
      <c r="AAA34" s="37"/>
      <c r="AAB34" s="37"/>
      <c r="AAC34" s="37"/>
      <c r="AAD34" s="37"/>
      <c r="AAE34" s="37"/>
      <c r="AAF34" s="37"/>
      <c r="AAG34" s="37"/>
      <c r="AAH34" s="37"/>
      <c r="AAI34" s="37"/>
      <c r="AAJ34" s="37"/>
      <c r="AAK34" s="37"/>
      <c r="AAL34" s="37"/>
      <c r="AAM34" s="37"/>
      <c r="AAN34" s="37"/>
      <c r="AAO34" s="37"/>
      <c r="AAP34" s="37"/>
      <c r="AAQ34" s="37"/>
      <c r="AAR34" s="37"/>
      <c r="AAS34" s="37"/>
      <c r="AAT34" s="37"/>
      <c r="AAU34" s="37"/>
      <c r="AAV34" s="37"/>
      <c r="AAW34" s="37"/>
      <c r="AAX34" s="37"/>
      <c r="AAY34" s="37"/>
      <c r="AAZ34" s="37"/>
      <c r="ABA34" s="37"/>
      <c r="ABB34" s="37"/>
      <c r="ABC34" s="37"/>
      <c r="ABD34" s="37"/>
      <c r="ABE34" s="37"/>
      <c r="ABF34" s="37"/>
      <c r="ABG34" s="37"/>
      <c r="ABH34" s="37"/>
      <c r="ABI34" s="37"/>
      <c r="ABJ34" s="37"/>
      <c r="ABK34" s="37"/>
      <c r="ABL34" s="37"/>
      <c r="ABM34" s="37"/>
      <c r="ABN34" s="37"/>
      <c r="ABO34" s="37"/>
      <c r="ABP34" s="37"/>
      <c r="ABQ34" s="37"/>
      <c r="ABR34" s="37"/>
      <c r="ABS34" s="37"/>
      <c r="ABT34" s="37"/>
      <c r="ABU34" s="37"/>
      <c r="ABV34" s="37"/>
      <c r="ABW34" s="37"/>
      <c r="ABX34" s="37"/>
      <c r="ABY34" s="37"/>
      <c r="ABZ34" s="37"/>
      <c r="ACA34" s="37"/>
      <c r="ACB34" s="37"/>
      <c r="ACC34" s="37"/>
      <c r="ACD34" s="37"/>
      <c r="ACE34" s="37"/>
      <c r="ACF34" s="37"/>
      <c r="ACG34" s="37"/>
      <c r="ACH34" s="37"/>
      <c r="ACI34" s="37"/>
      <c r="ACJ34" s="37"/>
      <c r="ACK34" s="37"/>
      <c r="ACL34" s="37"/>
      <c r="ACM34" s="37"/>
      <c r="ACN34" s="37"/>
      <c r="ACO34" s="37"/>
      <c r="ACP34" s="37"/>
      <c r="ACQ34" s="37"/>
      <c r="ACR34" s="37"/>
      <c r="ACS34" s="37"/>
      <c r="ACT34" s="37"/>
      <c r="ACU34" s="37"/>
      <c r="ACV34" s="37"/>
      <c r="ACW34" s="37"/>
      <c r="ACX34" s="37"/>
      <c r="ACY34" s="37"/>
      <c r="ACZ34" s="37"/>
      <c r="ADA34" s="37"/>
      <c r="ADB34" s="37"/>
      <c r="ADC34" s="37"/>
      <c r="ADD34" s="37"/>
      <c r="ADE34" s="37"/>
      <c r="ADF34" s="37"/>
      <c r="ADG34" s="37"/>
      <c r="ADH34" s="37"/>
      <c r="ADI34" s="37"/>
      <c r="ADJ34" s="37"/>
      <c r="ADK34" s="37"/>
      <c r="ADL34" s="37"/>
      <c r="ADM34" s="37"/>
      <c r="ADN34" s="37"/>
      <c r="ADO34" s="37"/>
      <c r="ADP34" s="37"/>
      <c r="ADQ34" s="37"/>
      <c r="ADR34" s="37"/>
      <c r="ADS34" s="37"/>
      <c r="ADT34" s="37"/>
      <c r="ADU34" s="37"/>
      <c r="ADV34" s="37"/>
      <c r="ADW34" s="37"/>
      <c r="ADX34" s="37"/>
      <c r="ADY34" s="37"/>
      <c r="ADZ34" s="37"/>
      <c r="AEA34" s="37"/>
      <c r="AEB34" s="37"/>
      <c r="AEC34" s="37"/>
      <c r="AED34" s="37"/>
      <c r="AEE34" s="37"/>
      <c r="AEF34" s="37"/>
      <c r="AEG34" s="37"/>
      <c r="AEH34" s="37"/>
      <c r="AEI34" s="37"/>
      <c r="AEJ34" s="37"/>
      <c r="AEK34" s="37"/>
      <c r="AEL34" s="37"/>
      <c r="AEM34" s="37"/>
      <c r="AEN34" s="37"/>
      <c r="AEO34" s="37"/>
      <c r="AEP34" s="37"/>
      <c r="AEQ34" s="37"/>
      <c r="AER34" s="37"/>
      <c r="AES34" s="37"/>
      <c r="AET34" s="37"/>
      <c r="AEU34" s="37"/>
      <c r="AEV34" s="37"/>
      <c r="AEW34" s="37"/>
      <c r="AEX34" s="37"/>
      <c r="AEY34" s="37"/>
      <c r="AEZ34" s="37"/>
      <c r="AFA34" s="37"/>
      <c r="AFB34" s="37"/>
      <c r="AFC34" s="37"/>
      <c r="AFD34" s="37"/>
      <c r="AFE34" s="37"/>
      <c r="AFF34" s="37"/>
      <c r="AFG34" s="37"/>
      <c r="AFH34" s="37"/>
      <c r="AFI34" s="37"/>
      <c r="AFJ34" s="37"/>
      <c r="AFK34" s="37"/>
      <c r="AFL34" s="37"/>
      <c r="AFM34" s="37"/>
      <c r="AFN34" s="37"/>
      <c r="AFO34" s="37"/>
      <c r="AFP34" s="37"/>
      <c r="AFQ34" s="37"/>
      <c r="AFR34" s="37"/>
      <c r="AFS34" s="37"/>
      <c r="AFT34" s="37"/>
      <c r="AFU34" s="37"/>
      <c r="AFV34" s="37"/>
      <c r="AFW34" s="37"/>
      <c r="AFX34" s="37"/>
      <c r="AFY34" s="37"/>
      <c r="AFZ34" s="37"/>
      <c r="AGA34" s="37"/>
      <c r="AGB34" s="37"/>
      <c r="AGC34" s="37"/>
      <c r="AGD34" s="37"/>
      <c r="AGE34" s="37"/>
      <c r="AGF34" s="37"/>
      <c r="AGG34" s="37"/>
      <c r="AGH34" s="37"/>
      <c r="AGI34" s="37"/>
      <c r="AGJ34" s="37"/>
      <c r="AGK34" s="37"/>
      <c r="AGL34" s="37"/>
      <c r="AGM34" s="37"/>
      <c r="AGN34" s="37"/>
      <c r="AGO34" s="37"/>
      <c r="AGP34" s="37"/>
      <c r="AGQ34" s="37"/>
      <c r="AGR34" s="37"/>
      <c r="AGS34" s="37"/>
      <c r="AGT34" s="37"/>
      <c r="AGU34" s="37"/>
      <c r="AGV34" s="37"/>
      <c r="AGW34" s="37"/>
      <c r="AGX34" s="37"/>
      <c r="AGY34" s="37"/>
      <c r="AGZ34" s="37"/>
      <c r="AHA34" s="37"/>
      <c r="AHB34" s="37"/>
      <c r="AHC34" s="37"/>
      <c r="AHD34" s="37"/>
      <c r="AHE34" s="37"/>
      <c r="AHF34" s="37"/>
      <c r="AHG34" s="37"/>
      <c r="AHH34" s="37"/>
      <c r="AHI34" s="37"/>
      <c r="AHJ34" s="37"/>
      <c r="AHK34" s="37"/>
      <c r="AHL34" s="37"/>
      <c r="AHM34" s="37"/>
      <c r="AHN34" s="37"/>
      <c r="AHO34" s="37"/>
      <c r="AHP34" s="37"/>
      <c r="AHQ34" s="37"/>
      <c r="AHR34" s="37"/>
      <c r="AHS34" s="37"/>
      <c r="AHT34" s="37"/>
      <c r="AHU34" s="37"/>
      <c r="AHV34" s="37"/>
      <c r="AHW34" s="37"/>
      <c r="AHX34" s="37"/>
      <c r="AHY34" s="37"/>
      <c r="AHZ34" s="37"/>
      <c r="AIA34" s="37"/>
      <c r="AIB34" s="37"/>
      <c r="AIC34" s="37"/>
      <c r="AID34" s="37"/>
      <c r="AIE34" s="37"/>
      <c r="AIF34" s="37"/>
      <c r="AIG34" s="37"/>
      <c r="AIH34" s="37"/>
      <c r="AII34" s="37"/>
      <c r="AIJ34" s="37"/>
      <c r="AIK34" s="37"/>
      <c r="AIL34" s="37"/>
      <c r="AIM34" s="37"/>
      <c r="AIN34" s="37"/>
      <c r="AIO34" s="37"/>
      <c r="AIP34" s="37"/>
      <c r="AIQ34" s="37"/>
      <c r="AIR34" s="37"/>
      <c r="AIS34" s="37"/>
      <c r="AIT34" s="37"/>
      <c r="AIU34" s="37"/>
      <c r="AIV34" s="37"/>
      <c r="AIW34" s="37"/>
      <c r="AIX34" s="37"/>
      <c r="AIY34" s="37"/>
      <c r="AIZ34" s="37"/>
      <c r="AJA34" s="37"/>
      <c r="AJB34" s="37"/>
      <c r="AJC34" s="37"/>
      <c r="AJD34" s="37"/>
      <c r="AJE34" s="37"/>
      <c r="AJF34" s="37"/>
      <c r="AJG34" s="37"/>
      <c r="AJH34" s="37"/>
      <c r="AJI34" s="37"/>
      <c r="AJJ34" s="37"/>
      <c r="AJK34" s="37"/>
      <c r="AJL34" s="37"/>
      <c r="AJM34" s="37"/>
      <c r="AJN34" s="37"/>
      <c r="AJO34" s="37"/>
      <c r="AJP34" s="37"/>
      <c r="AJQ34" s="37"/>
      <c r="AJR34" s="37"/>
      <c r="AJS34" s="37"/>
      <c r="AJT34" s="37"/>
      <c r="AJU34" s="37"/>
      <c r="AJV34" s="37"/>
      <c r="AJW34" s="37"/>
      <c r="AJX34" s="37"/>
      <c r="AJY34" s="37"/>
      <c r="AJZ34" s="37"/>
      <c r="AKA34" s="37"/>
      <c r="AKB34" s="37"/>
      <c r="AKC34" s="37"/>
      <c r="AKD34" s="37"/>
      <c r="AKE34" s="37"/>
      <c r="AKF34" s="37"/>
      <c r="AKG34" s="37"/>
      <c r="AKH34" s="37"/>
      <c r="AKI34" s="37"/>
      <c r="AKJ34" s="37"/>
      <c r="AKK34" s="37"/>
      <c r="AKL34" s="37"/>
      <c r="AKM34" s="37"/>
      <c r="AKN34" s="37"/>
      <c r="AKO34" s="37"/>
      <c r="AKP34" s="37"/>
      <c r="AKQ34" s="37"/>
      <c r="AKR34" s="37"/>
      <c r="AKS34" s="37"/>
      <c r="AKT34" s="37"/>
      <c r="AKU34" s="37"/>
      <c r="AKV34" s="37"/>
      <c r="AKW34" s="37"/>
      <c r="AKX34" s="37"/>
      <c r="AKY34" s="37"/>
      <c r="AKZ34" s="37"/>
      <c r="ALA34" s="37"/>
      <c r="ALB34" s="37"/>
      <c r="ALC34" s="37"/>
      <c r="ALD34" s="37"/>
      <c r="ALE34" s="37"/>
      <c r="ALF34" s="37"/>
      <c r="ALG34" s="37"/>
      <c r="ALH34" s="37"/>
      <c r="ALI34" s="37"/>
      <c r="ALJ34" s="37"/>
      <c r="ALK34" s="37"/>
      <c r="ALL34" s="37"/>
      <c r="ALM34" s="37"/>
      <c r="ALN34" s="37"/>
      <c r="ALO34" s="37"/>
      <c r="ALP34" s="37"/>
      <c r="ALQ34" s="37"/>
      <c r="ALR34" s="37"/>
      <c r="ALS34" s="37"/>
      <c r="ALT34" s="37"/>
      <c r="ALU34" s="37"/>
      <c r="ALV34" s="37"/>
      <c r="ALW34" s="37"/>
      <c r="ALX34" s="37"/>
      <c r="ALY34" s="37"/>
      <c r="ALZ34" s="37"/>
      <c r="AMA34" s="37"/>
      <c r="AMB34" s="37"/>
      <c r="AMC34" s="37"/>
      <c r="AMD34" s="37"/>
      <c r="AME34" s="37"/>
      <c r="AMF34" s="37"/>
      <c r="AMG34" s="37"/>
      <c r="AMH34" s="37"/>
      <c r="AMI34" s="37"/>
      <c r="AMJ34" s="37"/>
      <c r="AMK34" s="37"/>
      <c r="AML34" s="37"/>
      <c r="AMM34" s="37"/>
      <c r="AMN34" s="37"/>
      <c r="AMO34" s="37"/>
      <c r="AMP34" s="37"/>
      <c r="AMQ34" s="37"/>
      <c r="AMR34" s="37"/>
      <c r="AMS34" s="37"/>
      <c r="AMT34" s="37"/>
      <c r="AMU34" s="37"/>
      <c r="AMV34" s="37"/>
      <c r="AMW34" s="37"/>
      <c r="AMX34" s="37"/>
      <c r="AMY34" s="37"/>
      <c r="AMZ34" s="37"/>
      <c r="ANA34" s="37"/>
      <c r="ANB34" s="37"/>
      <c r="ANC34" s="37"/>
      <c r="AND34" s="37"/>
      <c r="ANE34" s="37"/>
      <c r="ANF34" s="37"/>
      <c r="ANG34" s="37"/>
      <c r="ANH34" s="37"/>
      <c r="ANI34" s="37"/>
      <c r="ANJ34" s="37"/>
      <c r="ANK34" s="37"/>
      <c r="ANL34" s="37"/>
      <c r="ANM34" s="37"/>
      <c r="ANN34" s="37"/>
      <c r="ANO34" s="37"/>
      <c r="ANP34" s="37"/>
      <c r="ANQ34" s="37"/>
      <c r="ANR34" s="37"/>
      <c r="ANS34" s="37"/>
      <c r="ANT34" s="37"/>
      <c r="ANU34" s="37"/>
      <c r="ANV34" s="37"/>
      <c r="ANW34" s="37"/>
      <c r="ANX34" s="37"/>
      <c r="ANY34" s="37"/>
      <c r="ANZ34" s="37"/>
      <c r="AOA34" s="37"/>
      <c r="AOB34" s="37"/>
      <c r="AOC34" s="37"/>
      <c r="AOD34" s="37"/>
      <c r="AOE34" s="37"/>
      <c r="AOF34" s="37"/>
      <c r="AOG34" s="37"/>
      <c r="AOH34" s="37"/>
      <c r="AOI34" s="37"/>
      <c r="AOJ34" s="37"/>
      <c r="AOK34" s="37"/>
      <c r="AOL34" s="37"/>
      <c r="AOM34" s="37"/>
      <c r="AON34" s="37"/>
      <c r="AOO34" s="37"/>
      <c r="AOP34" s="37"/>
      <c r="AOQ34" s="37"/>
      <c r="AOR34" s="37"/>
      <c r="AOS34" s="37"/>
      <c r="AOT34" s="37"/>
      <c r="AOU34" s="37"/>
      <c r="AOV34" s="37"/>
      <c r="AOW34" s="37"/>
      <c r="AOX34" s="37"/>
      <c r="AOY34" s="37"/>
      <c r="AOZ34" s="37"/>
      <c r="APA34" s="37"/>
      <c r="APB34" s="37"/>
      <c r="APC34" s="37"/>
      <c r="APD34" s="37"/>
      <c r="APE34" s="37"/>
      <c r="APF34" s="37"/>
      <c r="APG34" s="37"/>
      <c r="APH34" s="37"/>
      <c r="API34" s="37"/>
      <c r="APJ34" s="37"/>
      <c r="APK34" s="37"/>
      <c r="APL34" s="37"/>
      <c r="APM34" s="37"/>
      <c r="APN34" s="37"/>
      <c r="APO34" s="37"/>
      <c r="APP34" s="37"/>
      <c r="APQ34" s="37"/>
      <c r="APR34" s="37"/>
      <c r="APS34" s="37"/>
      <c r="APT34" s="37"/>
      <c r="APU34" s="37"/>
      <c r="APV34" s="37"/>
      <c r="APW34" s="37"/>
      <c r="APX34" s="37"/>
      <c r="APY34" s="37"/>
      <c r="APZ34" s="37"/>
      <c r="AQA34" s="37"/>
      <c r="AQB34" s="37"/>
      <c r="AQC34" s="37"/>
      <c r="AQD34" s="37"/>
      <c r="AQE34" s="37"/>
      <c r="AQF34" s="37"/>
      <c r="AQG34" s="37"/>
      <c r="AQH34" s="37"/>
      <c r="AQI34" s="37"/>
      <c r="AQJ34" s="37"/>
      <c r="AQK34" s="37"/>
      <c r="AQL34" s="37"/>
      <c r="AQM34" s="37"/>
      <c r="AQN34" s="37"/>
      <c r="AQO34" s="37"/>
      <c r="AQP34" s="37"/>
      <c r="AQQ34" s="37"/>
      <c r="AQR34" s="37"/>
      <c r="AQS34" s="37"/>
      <c r="AQT34" s="37"/>
      <c r="AQU34" s="37"/>
      <c r="AQV34" s="37"/>
      <c r="AQW34" s="37"/>
      <c r="AQX34" s="37"/>
      <c r="AQY34" s="37"/>
      <c r="AQZ34" s="37"/>
      <c r="ARA34" s="37"/>
      <c r="ARB34" s="37"/>
      <c r="ARC34" s="37"/>
      <c r="ARD34" s="37"/>
      <c r="ARE34" s="37"/>
      <c r="ARF34" s="37"/>
      <c r="ARG34" s="37"/>
      <c r="ARH34" s="37"/>
      <c r="ARI34" s="37"/>
      <c r="ARJ34" s="37"/>
      <c r="ARK34" s="37"/>
      <c r="ARL34" s="37"/>
      <c r="ARM34" s="37"/>
      <c r="ARN34" s="37"/>
      <c r="ARO34" s="37"/>
      <c r="ARP34" s="37"/>
      <c r="ARQ34" s="37"/>
      <c r="ARR34" s="37"/>
      <c r="ARS34" s="37"/>
      <c r="ART34" s="37"/>
      <c r="ARU34" s="37"/>
      <c r="ARV34" s="37"/>
      <c r="ARW34" s="37"/>
      <c r="ARX34" s="37"/>
      <c r="ARY34" s="37"/>
      <c r="ARZ34" s="37"/>
      <c r="ASA34" s="37"/>
      <c r="ASB34" s="37"/>
      <c r="ASC34" s="37"/>
      <c r="ASD34" s="37"/>
      <c r="ASE34" s="37"/>
      <c r="ASF34" s="37"/>
      <c r="ASG34" s="37"/>
      <c r="ASH34" s="37"/>
      <c r="ASI34" s="37"/>
      <c r="ASJ34" s="37"/>
      <c r="ASK34" s="37"/>
      <c r="ASL34" s="37"/>
      <c r="ASM34" s="37"/>
      <c r="ASN34" s="37"/>
      <c r="ASO34" s="37"/>
      <c r="ASP34" s="37"/>
      <c r="ASQ34" s="37"/>
      <c r="ASR34" s="37"/>
      <c r="ASS34" s="37"/>
      <c r="AST34" s="37"/>
      <c r="ASU34" s="37"/>
      <c r="ASV34" s="37"/>
      <c r="ASW34" s="37"/>
      <c r="ASX34" s="37"/>
      <c r="ASY34" s="37"/>
      <c r="ASZ34" s="37"/>
      <c r="ATA34" s="37"/>
      <c r="ATB34" s="37"/>
      <c r="ATC34" s="37"/>
      <c r="ATD34" s="37"/>
      <c r="ATE34" s="37"/>
      <c r="ATF34" s="37"/>
      <c r="ATG34" s="37"/>
      <c r="ATH34" s="37"/>
      <c r="ATI34" s="37"/>
      <c r="ATJ34" s="37"/>
      <c r="ATK34" s="37"/>
      <c r="ATL34" s="37"/>
      <c r="ATM34" s="37"/>
      <c r="ATN34" s="37"/>
      <c r="ATO34" s="37"/>
      <c r="ATP34" s="37"/>
      <c r="ATQ34" s="37"/>
      <c r="ATR34" s="37"/>
      <c r="ATS34" s="37"/>
      <c r="ATT34" s="37"/>
      <c r="ATU34" s="37"/>
      <c r="ATV34" s="37"/>
      <c r="ATW34" s="37"/>
      <c r="ATX34" s="37"/>
      <c r="ATY34" s="37"/>
      <c r="ATZ34" s="37"/>
      <c r="AUA34" s="37"/>
      <c r="AUB34" s="37"/>
      <c r="AUC34" s="37"/>
      <c r="AUD34" s="37"/>
      <c r="AUE34" s="37"/>
      <c r="AUF34" s="37"/>
      <c r="AUG34" s="37"/>
      <c r="AUH34" s="37"/>
      <c r="AUI34" s="37"/>
      <c r="AUJ34" s="37"/>
      <c r="AUK34" s="37"/>
      <c r="AUL34" s="37"/>
      <c r="AUM34" s="37"/>
      <c r="AUN34" s="37"/>
      <c r="AUO34" s="37"/>
      <c r="AUP34" s="37"/>
      <c r="AUQ34" s="37"/>
      <c r="AUR34" s="37"/>
      <c r="AUS34" s="37"/>
      <c r="AUT34" s="37"/>
      <c r="AUU34" s="37"/>
      <c r="AUV34" s="37"/>
      <c r="AUW34" s="37"/>
      <c r="AUX34" s="37"/>
      <c r="AUY34" s="37"/>
      <c r="AUZ34" s="37"/>
      <c r="AVA34" s="37"/>
      <c r="AVB34" s="37"/>
      <c r="AVC34" s="37"/>
      <c r="AVD34" s="37"/>
      <c r="AVE34" s="37"/>
      <c r="AVF34" s="37"/>
      <c r="AVG34" s="37"/>
      <c r="AVH34" s="37"/>
      <c r="AVI34" s="37"/>
      <c r="AVJ34" s="37"/>
      <c r="AVK34" s="37"/>
      <c r="AVL34" s="37"/>
      <c r="AVM34" s="37"/>
      <c r="AVN34" s="37"/>
      <c r="AVO34" s="37"/>
      <c r="AVP34" s="37"/>
      <c r="AVQ34" s="37"/>
      <c r="AVR34" s="37"/>
      <c r="AVS34" s="37"/>
      <c r="AVT34" s="37"/>
      <c r="AVU34" s="37"/>
      <c r="AVV34" s="37"/>
      <c r="AVW34" s="37"/>
      <c r="AVX34" s="37"/>
      <c r="AVY34" s="37"/>
      <c r="AVZ34" s="37"/>
      <c r="AWA34" s="37"/>
      <c r="AWB34" s="37"/>
      <c r="AWC34" s="37"/>
      <c r="AWD34" s="37"/>
      <c r="AWE34" s="37"/>
      <c r="AWF34" s="37"/>
      <c r="AWG34" s="37"/>
      <c r="AWH34" s="37"/>
      <c r="AWI34" s="37"/>
      <c r="AWJ34" s="37"/>
      <c r="AWK34" s="37"/>
      <c r="AWL34" s="37"/>
      <c r="AWM34" s="37"/>
      <c r="AWN34" s="37"/>
      <c r="AWO34" s="37"/>
      <c r="AWP34" s="37"/>
      <c r="AWQ34" s="37"/>
      <c r="AWR34" s="37"/>
      <c r="AWS34" s="37"/>
      <c r="AWT34" s="37"/>
      <c r="AWU34" s="37"/>
      <c r="AWV34" s="37"/>
      <c r="AWW34" s="37"/>
      <c r="AWX34" s="37"/>
      <c r="AWY34" s="37"/>
      <c r="AWZ34" s="37"/>
      <c r="AXA34" s="37"/>
      <c r="AXB34" s="37"/>
      <c r="AXC34" s="37"/>
      <c r="AXD34" s="37"/>
      <c r="AXE34" s="37"/>
      <c r="AXF34" s="37"/>
      <c r="AXG34" s="37"/>
      <c r="AXH34" s="37"/>
      <c r="AXI34" s="37"/>
      <c r="AXJ34" s="37"/>
      <c r="AXK34" s="37"/>
      <c r="AXL34" s="37"/>
      <c r="AXM34" s="37"/>
      <c r="AXN34" s="37"/>
      <c r="AXO34" s="37"/>
      <c r="AXP34" s="37"/>
      <c r="AXQ34" s="37"/>
      <c r="AXR34" s="37"/>
      <c r="AXS34" s="37"/>
      <c r="AXT34" s="37"/>
      <c r="AXU34" s="37"/>
      <c r="AXV34" s="37"/>
      <c r="AXW34" s="37"/>
      <c r="AXX34" s="37"/>
      <c r="AXY34" s="37"/>
      <c r="AXZ34" s="37"/>
      <c r="AYA34" s="37"/>
      <c r="AYB34" s="37"/>
      <c r="AYC34" s="37"/>
      <c r="AYD34" s="37"/>
      <c r="AYE34" s="37"/>
      <c r="AYF34" s="37"/>
      <c r="AYG34" s="37"/>
      <c r="AYH34" s="37"/>
      <c r="AYI34" s="37"/>
      <c r="AYJ34" s="37"/>
      <c r="AYK34" s="37"/>
      <c r="AYL34" s="37"/>
      <c r="AYM34" s="37"/>
      <c r="AYN34" s="37"/>
      <c r="AYO34" s="37"/>
      <c r="AYP34" s="37"/>
      <c r="AYQ34" s="37"/>
      <c r="AYR34" s="37"/>
      <c r="AYS34" s="37"/>
      <c r="AYT34" s="37"/>
      <c r="AYU34" s="37"/>
      <c r="AYV34" s="37"/>
      <c r="AYW34" s="37"/>
      <c r="AYX34" s="37"/>
      <c r="AYY34" s="37"/>
      <c r="AYZ34" s="37"/>
      <c r="AZA34" s="37"/>
      <c r="AZB34" s="37"/>
      <c r="AZC34" s="37"/>
      <c r="AZD34" s="37"/>
      <c r="AZE34" s="37"/>
      <c r="AZF34" s="37"/>
      <c r="AZG34" s="37"/>
      <c r="AZH34" s="37"/>
      <c r="AZI34" s="37"/>
      <c r="AZJ34" s="37"/>
      <c r="AZK34" s="37"/>
      <c r="AZL34" s="37"/>
      <c r="AZM34" s="37"/>
      <c r="AZN34" s="37"/>
      <c r="AZO34" s="37"/>
      <c r="AZP34" s="37"/>
      <c r="AZQ34" s="37"/>
      <c r="AZR34" s="37"/>
      <c r="AZS34" s="37"/>
      <c r="AZT34" s="37"/>
      <c r="AZU34" s="37"/>
      <c r="AZV34" s="37"/>
      <c r="AZW34" s="37"/>
      <c r="AZX34" s="37"/>
      <c r="AZY34" s="37"/>
      <c r="AZZ34" s="37"/>
      <c r="BAA34" s="37"/>
      <c r="BAB34" s="37"/>
      <c r="BAC34" s="37"/>
      <c r="BAD34" s="37"/>
      <c r="BAE34" s="37"/>
      <c r="BAF34" s="37"/>
      <c r="BAG34" s="37"/>
      <c r="BAH34" s="37"/>
      <c r="BAI34" s="37"/>
      <c r="BAJ34" s="37"/>
      <c r="BAK34" s="37"/>
      <c r="BAL34" s="37"/>
      <c r="BAM34" s="37"/>
      <c r="BAN34" s="37"/>
      <c r="BAO34" s="37"/>
      <c r="BAP34" s="37"/>
      <c r="BAQ34" s="37"/>
      <c r="BAR34" s="37"/>
      <c r="BAS34" s="37"/>
      <c r="BAT34" s="37"/>
      <c r="BAU34" s="37"/>
      <c r="BAV34" s="37"/>
      <c r="BAW34" s="37"/>
      <c r="BAX34" s="37"/>
      <c r="BAY34" s="37"/>
      <c r="BAZ34" s="37"/>
      <c r="BBA34" s="37"/>
      <c r="BBB34" s="37"/>
      <c r="BBC34" s="37"/>
      <c r="BBD34" s="37"/>
      <c r="BBE34" s="37"/>
      <c r="BBF34" s="37"/>
      <c r="BBG34" s="37"/>
      <c r="BBH34" s="37"/>
      <c r="BBI34" s="37"/>
      <c r="BBJ34" s="37"/>
      <c r="BBK34" s="37"/>
      <c r="BBL34" s="37"/>
      <c r="BBM34" s="37"/>
      <c r="BBN34" s="37"/>
      <c r="BBO34" s="37"/>
      <c r="BBP34" s="37"/>
      <c r="BBQ34" s="37"/>
      <c r="BBR34" s="37"/>
      <c r="BBS34" s="37"/>
      <c r="BBT34" s="37"/>
      <c r="BBU34" s="37"/>
      <c r="BBV34" s="37"/>
      <c r="BBW34" s="37"/>
      <c r="BBX34" s="37"/>
      <c r="BBY34" s="37"/>
      <c r="BBZ34" s="37"/>
      <c r="BCA34" s="37"/>
      <c r="BCB34" s="37"/>
      <c r="BCC34" s="37"/>
      <c r="BCD34" s="37"/>
      <c r="BCE34" s="37"/>
      <c r="BCF34" s="37"/>
      <c r="BCG34" s="37"/>
      <c r="BCH34" s="37"/>
      <c r="BCI34" s="37"/>
      <c r="BCJ34" s="37"/>
      <c r="BCK34" s="37"/>
      <c r="BCL34" s="37"/>
      <c r="BCM34" s="37"/>
      <c r="BCN34" s="37"/>
      <c r="BCO34" s="37"/>
      <c r="BCP34" s="37"/>
      <c r="BCQ34" s="37"/>
      <c r="BCR34" s="37"/>
      <c r="BCS34" s="37"/>
      <c r="BCT34" s="37"/>
      <c r="BCU34" s="37"/>
      <c r="BCV34" s="37"/>
      <c r="BCW34" s="37"/>
      <c r="BCX34" s="37"/>
      <c r="BCY34" s="37"/>
      <c r="BCZ34" s="37"/>
      <c r="BDA34" s="37"/>
      <c r="BDB34" s="37"/>
      <c r="BDC34" s="37"/>
      <c r="BDD34" s="37"/>
      <c r="BDE34" s="37"/>
      <c r="BDF34" s="37"/>
      <c r="BDG34" s="37"/>
      <c r="BDH34" s="37"/>
      <c r="BDI34" s="37"/>
      <c r="BDJ34" s="37"/>
      <c r="BDK34" s="37"/>
      <c r="BDL34" s="37"/>
      <c r="BDM34" s="37"/>
      <c r="BDN34" s="37"/>
      <c r="BDO34" s="37"/>
      <c r="BDP34" s="37"/>
      <c r="BDQ34" s="37"/>
      <c r="BDR34" s="37"/>
      <c r="BDS34" s="37"/>
      <c r="BDT34" s="37"/>
      <c r="BDU34" s="37"/>
      <c r="BDV34" s="37"/>
      <c r="BDW34" s="37"/>
      <c r="BDX34" s="37"/>
      <c r="BDY34" s="37"/>
      <c r="BDZ34" s="37"/>
      <c r="BEA34" s="37"/>
      <c r="BEB34" s="37"/>
      <c r="BEC34" s="37"/>
      <c r="BED34" s="37"/>
      <c r="BEE34" s="37"/>
      <c r="BEF34" s="37"/>
      <c r="BEG34" s="37"/>
      <c r="BEH34" s="37"/>
      <c r="BEI34" s="37"/>
      <c r="BEJ34" s="37"/>
      <c r="BEK34" s="37"/>
      <c r="BEL34" s="37"/>
      <c r="BEM34" s="37"/>
      <c r="BEN34" s="37"/>
      <c r="BEO34" s="37"/>
      <c r="BEP34" s="37"/>
      <c r="BEQ34" s="37"/>
      <c r="BER34" s="37"/>
      <c r="BES34" s="37"/>
      <c r="BET34" s="37"/>
      <c r="BEU34" s="37"/>
      <c r="BEV34" s="37"/>
      <c r="BEW34" s="37"/>
      <c r="BEX34" s="37"/>
      <c r="BEY34" s="37"/>
      <c r="BEZ34" s="37"/>
      <c r="BFA34" s="37"/>
      <c r="BFB34" s="37"/>
      <c r="BFC34" s="37"/>
      <c r="BFD34" s="37"/>
      <c r="BFE34" s="37"/>
      <c r="BFF34" s="37"/>
      <c r="BFG34" s="37"/>
      <c r="BFH34" s="37"/>
      <c r="BFI34" s="37"/>
      <c r="BFJ34" s="37"/>
      <c r="BFK34" s="37"/>
      <c r="BFL34" s="37"/>
      <c r="BFM34" s="37"/>
      <c r="BFN34" s="37"/>
      <c r="BFO34" s="37"/>
      <c r="BFP34" s="37"/>
      <c r="BFQ34" s="37"/>
      <c r="BFR34" s="37"/>
      <c r="BFS34" s="37"/>
      <c r="BFT34" s="37"/>
      <c r="BFU34" s="37"/>
      <c r="BFV34" s="37"/>
      <c r="BFW34" s="37"/>
      <c r="BFX34" s="37"/>
      <c r="BFY34" s="37"/>
      <c r="BFZ34" s="37"/>
      <c r="BGA34" s="37"/>
      <c r="BGB34" s="37"/>
      <c r="BGC34" s="37"/>
      <c r="BGD34" s="37"/>
      <c r="BGE34" s="37"/>
      <c r="BGF34" s="37"/>
      <c r="BGG34" s="37"/>
      <c r="BGH34" s="37"/>
      <c r="BGI34" s="37"/>
      <c r="BGJ34" s="37"/>
      <c r="BGK34" s="37"/>
      <c r="BGL34" s="37"/>
      <c r="BGM34" s="37"/>
      <c r="BGN34" s="37"/>
      <c r="BGO34" s="37"/>
      <c r="BGP34" s="37"/>
      <c r="BGQ34" s="37"/>
      <c r="BGR34" s="37"/>
      <c r="BGS34" s="37"/>
      <c r="BGT34" s="37"/>
      <c r="BGU34" s="37"/>
      <c r="BGV34" s="37"/>
      <c r="BGW34" s="37"/>
      <c r="BGX34" s="37"/>
      <c r="BGY34" s="37"/>
      <c r="BGZ34" s="37"/>
      <c r="BHA34" s="37"/>
      <c r="BHB34" s="37"/>
      <c r="BHC34" s="37"/>
      <c r="BHD34" s="37"/>
      <c r="BHE34" s="37"/>
      <c r="BHF34" s="37"/>
      <c r="BHG34" s="37"/>
      <c r="BHH34" s="37"/>
      <c r="BHI34" s="37"/>
      <c r="BHJ34" s="37"/>
      <c r="BHK34" s="37"/>
      <c r="BHL34" s="37"/>
      <c r="BHM34" s="37"/>
      <c r="BHN34" s="37"/>
      <c r="BHO34" s="37"/>
      <c r="BHP34" s="37"/>
      <c r="BHQ34" s="37"/>
      <c r="BHR34" s="37"/>
      <c r="BHS34" s="37"/>
      <c r="BHT34" s="37"/>
      <c r="BHU34" s="37"/>
      <c r="BHV34" s="37"/>
      <c r="BHW34" s="37"/>
      <c r="BHX34" s="37"/>
      <c r="BHY34" s="37"/>
      <c r="BHZ34" s="37"/>
      <c r="BIA34" s="37"/>
      <c r="BIB34" s="37"/>
      <c r="BIC34" s="37"/>
      <c r="BID34" s="37"/>
      <c r="BIE34" s="37"/>
      <c r="BIF34" s="37"/>
      <c r="BIG34" s="37"/>
      <c r="BIH34" s="37"/>
      <c r="BII34" s="37"/>
      <c r="BIJ34" s="37"/>
      <c r="BIK34" s="37"/>
      <c r="BIL34" s="37"/>
      <c r="BIM34" s="37"/>
      <c r="BIN34" s="37"/>
      <c r="BIO34" s="37"/>
      <c r="BIP34" s="37"/>
      <c r="BIQ34" s="37"/>
      <c r="BIR34" s="37"/>
      <c r="BIS34" s="37"/>
      <c r="BIT34" s="37"/>
      <c r="BIU34" s="37"/>
      <c r="BIV34" s="37"/>
      <c r="BIW34" s="37"/>
      <c r="BIX34" s="37"/>
      <c r="BIY34" s="37"/>
      <c r="BIZ34" s="37"/>
      <c r="BJA34" s="37"/>
      <c r="BJB34" s="37"/>
      <c r="BJC34" s="37"/>
      <c r="BJD34" s="37"/>
      <c r="BJE34" s="37"/>
      <c r="BJF34" s="37"/>
      <c r="BJG34" s="37"/>
      <c r="BJH34" s="37"/>
      <c r="BJI34" s="37"/>
      <c r="BJJ34" s="37"/>
      <c r="BJK34" s="37"/>
      <c r="BJL34" s="37"/>
      <c r="BJM34" s="37"/>
      <c r="BJN34" s="37"/>
      <c r="BJO34" s="37"/>
      <c r="BJP34" s="37"/>
      <c r="BJQ34" s="37"/>
      <c r="BJR34" s="37"/>
      <c r="BJS34" s="37"/>
      <c r="BJT34" s="37"/>
      <c r="BJU34" s="37"/>
      <c r="BJV34" s="37"/>
      <c r="BJW34" s="37"/>
      <c r="BJX34" s="37"/>
      <c r="BJY34" s="37"/>
      <c r="BJZ34" s="37"/>
      <c r="BKA34" s="37"/>
      <c r="BKB34" s="37"/>
      <c r="BKC34" s="37"/>
      <c r="BKD34" s="37"/>
      <c r="BKE34" s="37"/>
      <c r="BKF34" s="37"/>
      <c r="BKG34" s="37"/>
      <c r="BKH34" s="37"/>
      <c r="BKI34" s="37"/>
      <c r="BKJ34" s="37"/>
      <c r="BKK34" s="37"/>
      <c r="BKL34" s="37"/>
      <c r="BKM34" s="37"/>
      <c r="BKN34" s="37"/>
      <c r="BKO34" s="37"/>
      <c r="BKP34" s="37"/>
      <c r="BKQ34" s="37"/>
      <c r="BKR34" s="37"/>
      <c r="BKS34" s="37"/>
      <c r="BKT34" s="37"/>
      <c r="BKU34" s="37"/>
      <c r="BKV34" s="37"/>
      <c r="BKW34" s="37"/>
      <c r="BKX34" s="37"/>
      <c r="BKY34" s="37"/>
      <c r="BKZ34" s="37"/>
      <c r="BLA34" s="37"/>
      <c r="BLB34" s="37"/>
      <c r="BLC34" s="37"/>
      <c r="BLD34" s="37"/>
      <c r="BLE34" s="37"/>
      <c r="BLF34" s="37"/>
      <c r="BLG34" s="37"/>
      <c r="BLH34" s="37"/>
      <c r="BLI34" s="37"/>
      <c r="BLJ34" s="37"/>
      <c r="BLK34" s="37"/>
      <c r="BLL34" s="37"/>
      <c r="BLM34" s="37"/>
      <c r="BLN34" s="37"/>
      <c r="BLO34" s="37"/>
      <c r="BLP34" s="37"/>
      <c r="BLQ34" s="37"/>
      <c r="BLR34" s="37"/>
      <c r="BLS34" s="37"/>
      <c r="BLT34" s="37"/>
      <c r="BLU34" s="37"/>
      <c r="BLV34" s="37"/>
      <c r="BLW34" s="37"/>
      <c r="BLX34" s="37"/>
      <c r="BLY34" s="37"/>
      <c r="BLZ34" s="37"/>
      <c r="BMA34" s="37"/>
      <c r="BMB34" s="37"/>
      <c r="BMC34" s="37"/>
      <c r="BMD34" s="37"/>
      <c r="BME34" s="37"/>
      <c r="BMF34" s="37"/>
      <c r="BMG34" s="37"/>
      <c r="BMH34" s="37"/>
      <c r="BMI34" s="37"/>
      <c r="BMJ34" s="37"/>
      <c r="BMK34" s="37"/>
      <c r="BML34" s="37"/>
      <c r="BMM34" s="37"/>
      <c r="BMN34" s="37"/>
      <c r="BMO34" s="37"/>
      <c r="BMP34" s="37"/>
      <c r="BMQ34" s="37"/>
      <c r="BMR34" s="37"/>
      <c r="BMS34" s="37"/>
      <c r="BMT34" s="37"/>
      <c r="BMU34" s="37"/>
      <c r="BMV34" s="37"/>
      <c r="BMW34" s="37"/>
      <c r="BMX34" s="37"/>
      <c r="BMY34" s="37"/>
      <c r="BMZ34" s="37"/>
      <c r="BNA34" s="37"/>
      <c r="BNB34" s="37"/>
      <c r="BNC34" s="37"/>
      <c r="BND34" s="37"/>
      <c r="BNE34" s="37"/>
      <c r="BNF34" s="37"/>
      <c r="BNG34" s="37"/>
      <c r="BNH34" s="37"/>
      <c r="BNI34" s="37"/>
      <c r="BNJ34" s="37"/>
      <c r="BNK34" s="37"/>
      <c r="BNL34" s="37"/>
      <c r="BNM34" s="37"/>
      <c r="BNN34" s="37"/>
      <c r="BNO34" s="37"/>
      <c r="BNP34" s="37"/>
      <c r="BNQ34" s="37"/>
      <c r="BNR34" s="37"/>
      <c r="BNS34" s="37"/>
      <c r="BNT34" s="37"/>
      <c r="BNU34" s="37"/>
      <c r="BNV34" s="37"/>
      <c r="BNW34" s="37"/>
      <c r="BNX34" s="37"/>
      <c r="BNY34" s="37"/>
      <c r="BNZ34" s="37"/>
      <c r="BOA34" s="37"/>
      <c r="BOB34" s="37"/>
      <c r="BOC34" s="37"/>
      <c r="BOD34" s="37"/>
      <c r="BOE34" s="37"/>
      <c r="BOF34" s="37"/>
      <c r="BOG34" s="37"/>
      <c r="BOH34" s="37"/>
      <c r="BOI34" s="37"/>
      <c r="BOJ34" s="37"/>
      <c r="BOK34" s="37"/>
      <c r="BOL34" s="37"/>
      <c r="BOM34" s="37"/>
      <c r="BON34" s="37"/>
      <c r="BOO34" s="37"/>
      <c r="BOP34" s="37"/>
      <c r="BOQ34" s="37"/>
      <c r="BOR34" s="37"/>
      <c r="BOS34" s="37"/>
      <c r="BOT34" s="37"/>
      <c r="BOU34" s="37"/>
      <c r="BOV34" s="37"/>
      <c r="BOW34" s="37"/>
      <c r="BOX34" s="37"/>
      <c r="BOY34" s="37"/>
      <c r="BOZ34" s="37"/>
      <c r="BPA34" s="37"/>
      <c r="BPB34" s="37"/>
      <c r="BPC34" s="37"/>
      <c r="BPD34" s="37"/>
      <c r="BPE34" s="37"/>
      <c r="BPF34" s="37"/>
      <c r="BPG34" s="37"/>
      <c r="BPH34" s="37"/>
      <c r="BPI34" s="37"/>
      <c r="BPJ34" s="37"/>
      <c r="BPK34" s="37"/>
      <c r="BPL34" s="37"/>
      <c r="BPM34" s="37"/>
      <c r="BPN34" s="37"/>
      <c r="BPO34" s="37"/>
      <c r="BPP34" s="37"/>
      <c r="BPQ34" s="37"/>
      <c r="BPR34" s="37"/>
      <c r="BPS34" s="37"/>
      <c r="BPT34" s="37"/>
      <c r="BPU34" s="37"/>
      <c r="BPV34" s="37"/>
      <c r="BPW34" s="37"/>
      <c r="BPX34" s="37"/>
      <c r="BPY34" s="37"/>
      <c r="BPZ34" s="37"/>
      <c r="BQA34" s="37"/>
      <c r="BQB34" s="37"/>
      <c r="BQC34" s="37"/>
      <c r="BQD34" s="37"/>
      <c r="BQE34" s="37"/>
      <c r="BQF34" s="37"/>
      <c r="BQG34" s="37"/>
      <c r="BQH34" s="37"/>
      <c r="BQI34" s="37"/>
      <c r="BQJ34" s="37"/>
      <c r="BQK34" s="37"/>
      <c r="BQL34" s="37"/>
      <c r="BQM34" s="37"/>
      <c r="BQN34" s="37"/>
      <c r="BQO34" s="37"/>
      <c r="BQP34" s="37"/>
      <c r="BQQ34" s="37"/>
      <c r="BQR34" s="37"/>
      <c r="BQS34" s="37"/>
      <c r="BQT34" s="37"/>
      <c r="BQU34" s="37"/>
      <c r="BQV34" s="37"/>
      <c r="BQW34" s="37"/>
      <c r="BQX34" s="37"/>
      <c r="BQY34" s="37"/>
      <c r="BQZ34" s="37"/>
      <c r="BRA34" s="37"/>
      <c r="BRB34" s="37"/>
      <c r="BRC34" s="37"/>
      <c r="BRD34" s="37"/>
      <c r="BRE34" s="37"/>
      <c r="BRF34" s="37"/>
      <c r="BRG34" s="37"/>
      <c r="BRH34" s="37"/>
      <c r="BRI34" s="37"/>
      <c r="BRJ34" s="37"/>
      <c r="BRK34" s="37"/>
      <c r="BRL34" s="37"/>
      <c r="BRM34" s="37"/>
      <c r="BRN34" s="37"/>
      <c r="BRO34" s="37"/>
      <c r="BRP34" s="37"/>
      <c r="BRQ34" s="37"/>
      <c r="BRR34" s="37"/>
      <c r="BRS34" s="37"/>
      <c r="BRT34" s="37"/>
      <c r="BRU34" s="37"/>
      <c r="BRV34" s="37"/>
      <c r="BRW34" s="37"/>
      <c r="BRX34" s="37"/>
      <c r="BRY34" s="37"/>
      <c r="BRZ34" s="37"/>
      <c r="BSA34" s="37"/>
      <c r="BSB34" s="37"/>
      <c r="BSC34" s="37"/>
      <c r="BSD34" s="37"/>
      <c r="BSE34" s="37"/>
      <c r="BSF34" s="37"/>
      <c r="BSG34" s="37"/>
      <c r="BSH34" s="37"/>
      <c r="BSI34" s="37"/>
      <c r="BSJ34" s="37"/>
      <c r="BSK34" s="37"/>
      <c r="BSL34" s="37"/>
      <c r="BSM34" s="37"/>
      <c r="BSN34" s="37"/>
      <c r="BSO34" s="37"/>
      <c r="BSP34" s="37"/>
      <c r="BSQ34" s="37"/>
      <c r="BSR34" s="37"/>
      <c r="BSS34" s="37"/>
      <c r="BST34" s="37"/>
      <c r="BSU34" s="37"/>
      <c r="BSV34" s="37"/>
      <c r="BSW34" s="37"/>
      <c r="BSX34" s="37"/>
      <c r="BSY34" s="37"/>
      <c r="BSZ34" s="37"/>
      <c r="BTA34" s="37"/>
      <c r="BTB34" s="37"/>
      <c r="BTC34" s="37"/>
      <c r="BTD34" s="37"/>
      <c r="BTE34" s="37"/>
      <c r="BTF34" s="37"/>
      <c r="BTG34" s="37"/>
      <c r="BTH34" s="37"/>
      <c r="BTI34" s="37"/>
      <c r="BTJ34" s="37"/>
      <c r="BTK34" s="37"/>
      <c r="BTL34" s="37"/>
      <c r="BTM34" s="37"/>
      <c r="BTN34" s="37"/>
      <c r="BTO34" s="37"/>
      <c r="BTP34" s="37"/>
      <c r="BTQ34" s="37"/>
      <c r="BTR34" s="37"/>
      <c r="BTS34" s="37"/>
      <c r="BTT34" s="37"/>
      <c r="BTU34" s="37"/>
      <c r="BTV34" s="37"/>
      <c r="BTW34" s="37"/>
      <c r="BTX34" s="37"/>
      <c r="BTY34" s="37"/>
      <c r="BTZ34" s="37"/>
      <c r="BUA34" s="37"/>
      <c r="BUB34" s="37"/>
      <c r="BUC34" s="37"/>
      <c r="BUD34" s="37"/>
      <c r="BUE34" s="37"/>
      <c r="BUF34" s="37"/>
      <c r="BUG34" s="37"/>
      <c r="BUH34" s="37"/>
      <c r="BUI34" s="37"/>
      <c r="BUJ34" s="37"/>
      <c r="BUK34" s="37"/>
      <c r="BUL34" s="37"/>
      <c r="BUM34" s="37"/>
      <c r="BUN34" s="37"/>
      <c r="BUO34" s="37"/>
      <c r="BUP34" s="37"/>
      <c r="BUQ34" s="37"/>
      <c r="BUR34" s="37"/>
      <c r="BUS34" s="37"/>
      <c r="BUT34" s="37"/>
      <c r="BUU34" s="37"/>
      <c r="BUV34" s="37"/>
      <c r="BUW34" s="37"/>
      <c r="BUX34" s="37"/>
      <c r="BUY34" s="37"/>
      <c r="BUZ34" s="37"/>
      <c r="BVA34" s="37"/>
      <c r="BVB34" s="37"/>
      <c r="BVC34" s="37"/>
      <c r="BVD34" s="37"/>
      <c r="BVE34" s="37"/>
      <c r="BVF34" s="37"/>
      <c r="BVG34" s="37"/>
      <c r="BVH34" s="37"/>
      <c r="BVI34" s="37"/>
      <c r="BVJ34" s="37"/>
      <c r="BVK34" s="37"/>
      <c r="BVL34" s="37"/>
      <c r="BVM34" s="37"/>
      <c r="BVN34" s="37"/>
      <c r="BVO34" s="37"/>
      <c r="BVP34" s="37"/>
      <c r="BVQ34" s="37"/>
      <c r="BVR34" s="37"/>
      <c r="BVS34" s="37"/>
      <c r="BVT34" s="37"/>
      <c r="BVU34" s="37"/>
      <c r="BVV34" s="37"/>
      <c r="BVW34" s="37"/>
      <c r="BVX34" s="37"/>
      <c r="BVY34" s="37"/>
      <c r="BVZ34" s="37"/>
      <c r="BWA34" s="37"/>
      <c r="BWB34" s="37"/>
      <c r="BWC34" s="37"/>
      <c r="BWD34" s="37"/>
      <c r="BWE34" s="37"/>
      <c r="BWF34" s="37"/>
      <c r="BWG34" s="37"/>
      <c r="BWH34" s="37"/>
      <c r="BWI34" s="37"/>
      <c r="BWJ34" s="37"/>
      <c r="BWK34" s="37"/>
      <c r="BWL34" s="37"/>
      <c r="BWM34" s="37"/>
      <c r="BWN34" s="37"/>
      <c r="BWO34" s="37"/>
      <c r="BWP34" s="37"/>
      <c r="BWQ34" s="37"/>
      <c r="BWR34" s="37"/>
      <c r="BWS34" s="37"/>
      <c r="BWT34" s="37"/>
      <c r="BWU34" s="37"/>
      <c r="BWV34" s="37"/>
      <c r="BWW34" s="37"/>
      <c r="BWX34" s="37"/>
      <c r="BWY34" s="37"/>
      <c r="BWZ34" s="37"/>
      <c r="BXA34" s="37"/>
      <c r="BXB34" s="37"/>
      <c r="BXC34" s="37"/>
      <c r="BXD34" s="37"/>
      <c r="BXE34" s="37"/>
      <c r="BXF34" s="37"/>
      <c r="BXG34" s="37"/>
      <c r="BXH34" s="37"/>
      <c r="BXI34" s="37"/>
      <c r="BXJ34" s="37"/>
      <c r="BXK34" s="37"/>
      <c r="BXL34" s="37"/>
      <c r="BXM34" s="37"/>
      <c r="BXN34" s="37"/>
      <c r="BXO34" s="37"/>
      <c r="BXP34" s="37"/>
      <c r="BXQ34" s="37"/>
      <c r="BXR34" s="37"/>
      <c r="BXS34" s="37"/>
      <c r="BXT34" s="37"/>
      <c r="BXU34" s="37"/>
      <c r="BXV34" s="37"/>
      <c r="BXW34" s="37"/>
      <c r="BXX34" s="37"/>
      <c r="BXY34" s="37"/>
      <c r="BXZ34" s="37"/>
      <c r="BYA34" s="37"/>
      <c r="BYB34" s="37"/>
      <c r="BYC34" s="37"/>
      <c r="BYD34" s="37"/>
      <c r="BYE34" s="37"/>
      <c r="BYF34" s="37"/>
      <c r="BYG34" s="37"/>
      <c r="BYH34" s="37"/>
      <c r="BYI34" s="37"/>
      <c r="BYJ34" s="37"/>
      <c r="BYK34" s="37"/>
      <c r="BYL34" s="37"/>
      <c r="BYM34" s="37"/>
      <c r="BYN34" s="37"/>
      <c r="BYO34" s="37"/>
      <c r="BYP34" s="37"/>
      <c r="BYQ34" s="37"/>
      <c r="BYR34" s="37"/>
      <c r="BYS34" s="37"/>
      <c r="BYT34" s="37"/>
      <c r="BYU34" s="37"/>
      <c r="BYV34" s="37"/>
      <c r="BYW34" s="37"/>
      <c r="BYX34" s="37"/>
      <c r="BYY34" s="37"/>
      <c r="BYZ34" s="37"/>
      <c r="BZA34" s="37"/>
      <c r="BZB34" s="37"/>
      <c r="BZC34" s="37"/>
      <c r="BZD34" s="37"/>
      <c r="BZE34" s="37"/>
      <c r="BZF34" s="37"/>
      <c r="BZG34" s="37"/>
      <c r="BZH34" s="37"/>
      <c r="BZI34" s="37"/>
      <c r="BZJ34" s="37"/>
      <c r="BZK34" s="37"/>
      <c r="BZL34" s="37"/>
      <c r="BZM34" s="37"/>
      <c r="BZN34" s="37"/>
      <c r="BZO34" s="37"/>
      <c r="BZP34" s="37"/>
      <c r="BZQ34" s="37"/>
      <c r="BZR34" s="37"/>
      <c r="BZS34" s="37"/>
      <c r="BZT34" s="37"/>
      <c r="BZU34" s="37"/>
      <c r="BZV34" s="37"/>
      <c r="BZW34" s="37"/>
      <c r="BZX34" s="37"/>
      <c r="BZY34" s="37"/>
      <c r="BZZ34" s="37"/>
      <c r="CAA34" s="37"/>
      <c r="CAB34" s="37"/>
      <c r="CAC34" s="37"/>
      <c r="CAD34" s="37"/>
      <c r="CAE34" s="37"/>
      <c r="CAF34" s="37"/>
      <c r="CAG34" s="37"/>
      <c r="CAH34" s="37"/>
      <c r="CAI34" s="37"/>
      <c r="CAJ34" s="37"/>
      <c r="CAK34" s="37"/>
      <c r="CAL34" s="37"/>
      <c r="CAM34" s="37"/>
      <c r="CAN34" s="37"/>
      <c r="CAO34" s="37"/>
      <c r="CAP34" s="37"/>
      <c r="CAQ34" s="37"/>
      <c r="CAR34" s="37"/>
      <c r="CAS34" s="37"/>
      <c r="CAT34" s="37"/>
      <c r="CAU34" s="37"/>
      <c r="CAV34" s="37"/>
      <c r="CAW34" s="37"/>
      <c r="CAX34" s="37"/>
      <c r="CAY34" s="37"/>
      <c r="CAZ34" s="37"/>
      <c r="CBA34" s="37"/>
      <c r="CBB34" s="37"/>
      <c r="CBC34" s="37"/>
      <c r="CBD34" s="37"/>
      <c r="CBE34" s="37"/>
      <c r="CBF34" s="37"/>
      <c r="CBG34" s="37"/>
      <c r="CBH34" s="37"/>
      <c r="CBI34" s="37"/>
      <c r="CBJ34" s="37"/>
      <c r="CBK34" s="37"/>
      <c r="CBL34" s="37"/>
      <c r="CBM34" s="37"/>
      <c r="CBN34" s="37"/>
      <c r="CBO34" s="37"/>
      <c r="CBP34" s="37"/>
      <c r="CBQ34" s="37"/>
      <c r="CBR34" s="37"/>
      <c r="CBS34" s="37"/>
      <c r="CBT34" s="37"/>
      <c r="CBU34" s="37"/>
      <c r="CBV34" s="37"/>
      <c r="CBW34" s="37"/>
      <c r="CBX34" s="37"/>
      <c r="CBY34" s="37"/>
      <c r="CBZ34" s="37"/>
      <c r="CCA34" s="37"/>
      <c r="CCB34" s="37"/>
      <c r="CCC34" s="37"/>
      <c r="CCD34" s="37"/>
      <c r="CCE34" s="37"/>
      <c r="CCF34" s="37"/>
      <c r="CCG34" s="37"/>
      <c r="CCH34" s="37"/>
      <c r="CCI34" s="37"/>
      <c r="CCJ34" s="37"/>
      <c r="CCK34" s="37"/>
      <c r="CCL34" s="37"/>
      <c r="CCM34" s="37"/>
      <c r="CCN34" s="37"/>
      <c r="CCO34" s="37"/>
      <c r="CCP34" s="37"/>
      <c r="CCQ34" s="37"/>
      <c r="CCR34" s="37"/>
      <c r="CCS34" s="37"/>
      <c r="CCT34" s="37"/>
      <c r="CCU34" s="37"/>
      <c r="CCV34" s="37"/>
      <c r="CCW34" s="37"/>
      <c r="CCX34" s="37"/>
      <c r="CCY34" s="37"/>
      <c r="CCZ34" s="37"/>
      <c r="CDA34" s="37"/>
      <c r="CDB34" s="37"/>
      <c r="CDC34" s="37"/>
      <c r="CDD34" s="37"/>
      <c r="CDE34" s="37"/>
      <c r="CDF34" s="37"/>
      <c r="CDG34" s="37"/>
      <c r="CDH34" s="37"/>
      <c r="CDI34" s="37"/>
      <c r="CDJ34" s="37"/>
      <c r="CDK34" s="37"/>
      <c r="CDL34" s="37"/>
      <c r="CDM34" s="37"/>
      <c r="CDN34" s="37"/>
      <c r="CDO34" s="37"/>
      <c r="CDP34" s="37"/>
      <c r="CDQ34" s="37"/>
      <c r="CDR34" s="37"/>
      <c r="CDS34" s="37"/>
      <c r="CDT34" s="37"/>
      <c r="CDU34" s="37"/>
      <c r="CDV34" s="37"/>
      <c r="CDW34" s="37"/>
      <c r="CDX34" s="37"/>
      <c r="CDY34" s="37"/>
      <c r="CDZ34" s="37"/>
      <c r="CEA34" s="37"/>
      <c r="CEB34" s="37"/>
      <c r="CEC34" s="37"/>
      <c r="CED34" s="37"/>
      <c r="CEE34" s="37"/>
      <c r="CEF34" s="37"/>
      <c r="CEG34" s="37"/>
      <c r="CEH34" s="37"/>
      <c r="CEI34" s="37"/>
      <c r="CEJ34" s="37"/>
      <c r="CEK34" s="37"/>
      <c r="CEL34" s="37"/>
      <c r="CEM34" s="37"/>
      <c r="CEN34" s="37"/>
      <c r="CEO34" s="37"/>
      <c r="CEP34" s="37"/>
      <c r="CEQ34" s="37"/>
      <c r="CER34" s="37"/>
      <c r="CES34" s="37"/>
      <c r="CET34" s="37"/>
      <c r="CEU34" s="37"/>
      <c r="CEV34" s="37"/>
      <c r="CEW34" s="37"/>
      <c r="CEX34" s="37"/>
      <c r="CEY34" s="37"/>
      <c r="CEZ34" s="37"/>
      <c r="CFA34" s="37"/>
      <c r="CFB34" s="37"/>
      <c r="CFC34" s="37"/>
      <c r="CFD34" s="37"/>
      <c r="CFE34" s="37"/>
      <c r="CFF34" s="37"/>
      <c r="CFG34" s="37"/>
      <c r="CFH34" s="37"/>
      <c r="CFI34" s="37"/>
      <c r="CFJ34" s="37"/>
      <c r="CFK34" s="37"/>
      <c r="CFL34" s="37"/>
      <c r="CFM34" s="37"/>
      <c r="CFN34" s="37"/>
      <c r="CFO34" s="37"/>
      <c r="CFP34" s="37"/>
      <c r="CFQ34" s="37"/>
      <c r="CFR34" s="37"/>
      <c r="CFS34" s="37"/>
      <c r="CFT34" s="37"/>
      <c r="CFU34" s="37"/>
      <c r="CFV34" s="37"/>
      <c r="CFW34" s="37"/>
      <c r="CFX34" s="37"/>
      <c r="CFY34" s="37"/>
      <c r="CFZ34" s="37"/>
      <c r="CGA34" s="37"/>
      <c r="CGB34" s="37"/>
      <c r="CGC34" s="37"/>
      <c r="CGD34" s="37"/>
      <c r="CGE34" s="37"/>
      <c r="CGF34" s="37"/>
      <c r="CGG34" s="37"/>
      <c r="CGH34" s="37"/>
      <c r="CGI34" s="37"/>
      <c r="CGJ34" s="37"/>
      <c r="CGK34" s="37"/>
      <c r="CGL34" s="37"/>
      <c r="CGM34" s="37"/>
      <c r="CGN34" s="37"/>
      <c r="CGO34" s="37"/>
      <c r="CGP34" s="37"/>
      <c r="CGQ34" s="37"/>
      <c r="CGR34" s="37"/>
      <c r="CGS34" s="37"/>
      <c r="CGT34" s="37"/>
      <c r="CGU34" s="37"/>
      <c r="CGV34" s="37"/>
      <c r="CGW34" s="37"/>
      <c r="CGX34" s="37"/>
      <c r="CGY34" s="37"/>
      <c r="CGZ34" s="37"/>
      <c r="CHA34" s="37"/>
      <c r="CHB34" s="37"/>
      <c r="CHC34" s="37"/>
      <c r="CHD34" s="37"/>
      <c r="CHE34" s="37"/>
      <c r="CHF34" s="37"/>
      <c r="CHG34" s="37"/>
      <c r="CHH34" s="37"/>
      <c r="CHI34" s="37"/>
      <c r="CHJ34" s="37"/>
      <c r="CHK34" s="37"/>
      <c r="CHL34" s="37"/>
      <c r="CHM34" s="37"/>
      <c r="CHN34" s="37"/>
      <c r="CHO34" s="37"/>
      <c r="CHP34" s="37"/>
      <c r="CHQ34" s="37"/>
      <c r="CHR34" s="37"/>
      <c r="CHS34" s="37"/>
      <c r="CHT34" s="37"/>
      <c r="CHU34" s="37"/>
      <c r="CHV34" s="37"/>
      <c r="CHW34" s="37"/>
      <c r="CHX34" s="37"/>
      <c r="CHY34" s="37"/>
      <c r="CHZ34" s="37"/>
      <c r="CIA34" s="37"/>
      <c r="CIB34" s="37"/>
      <c r="CIC34" s="37"/>
      <c r="CID34" s="37"/>
      <c r="CIE34" s="37"/>
      <c r="CIF34" s="37"/>
      <c r="CIG34" s="37"/>
      <c r="CIH34" s="37"/>
      <c r="CII34" s="37"/>
      <c r="CIJ34" s="37"/>
      <c r="CIK34" s="37"/>
      <c r="CIL34" s="37"/>
      <c r="CIM34" s="37"/>
      <c r="CIN34" s="37"/>
      <c r="CIO34" s="37"/>
      <c r="CIP34" s="37"/>
      <c r="CIQ34" s="37"/>
      <c r="CIR34" s="37"/>
      <c r="CIS34" s="37"/>
      <c r="CIT34" s="37"/>
      <c r="CIU34" s="37"/>
      <c r="CIV34" s="37"/>
      <c r="CIW34" s="37"/>
      <c r="CIX34" s="37"/>
      <c r="CIY34" s="37"/>
      <c r="CIZ34" s="37"/>
      <c r="CJA34" s="37"/>
      <c r="CJB34" s="37"/>
      <c r="CJC34" s="37"/>
      <c r="CJD34" s="37"/>
      <c r="CJE34" s="37"/>
      <c r="CJF34" s="37"/>
      <c r="CJG34" s="37"/>
      <c r="CJH34" s="37"/>
      <c r="CJI34" s="37"/>
      <c r="CJJ34" s="37"/>
      <c r="CJK34" s="37"/>
      <c r="CJL34" s="37"/>
      <c r="CJM34" s="37"/>
      <c r="CJN34" s="37"/>
      <c r="CJO34" s="37"/>
      <c r="CJP34" s="37"/>
      <c r="CJQ34" s="37"/>
      <c r="CJR34" s="37"/>
      <c r="CJS34" s="37"/>
      <c r="CJT34" s="37"/>
      <c r="CJU34" s="37"/>
      <c r="CJV34" s="37"/>
      <c r="CJW34" s="37"/>
      <c r="CJX34" s="37"/>
      <c r="CJY34" s="37"/>
      <c r="CJZ34" s="37"/>
      <c r="CKA34" s="37"/>
      <c r="CKB34" s="37"/>
      <c r="CKC34" s="37"/>
      <c r="CKD34" s="37"/>
      <c r="CKE34" s="37"/>
      <c r="CKF34" s="37"/>
      <c r="CKG34" s="37"/>
      <c r="CKH34" s="37"/>
      <c r="CKI34" s="37"/>
      <c r="CKJ34" s="37"/>
      <c r="CKK34" s="37"/>
      <c r="CKL34" s="37"/>
      <c r="CKM34" s="37"/>
      <c r="CKN34" s="37"/>
      <c r="CKO34" s="37"/>
      <c r="CKP34" s="37"/>
      <c r="CKQ34" s="37"/>
      <c r="CKR34" s="37"/>
      <c r="CKS34" s="37"/>
      <c r="CKT34" s="37"/>
      <c r="CKU34" s="37"/>
      <c r="CKV34" s="37"/>
      <c r="CKW34" s="37"/>
      <c r="CKX34" s="37"/>
      <c r="CKY34" s="37"/>
      <c r="CKZ34" s="37"/>
      <c r="CLA34" s="37"/>
      <c r="CLB34" s="37"/>
      <c r="CLC34" s="37"/>
      <c r="CLD34" s="37"/>
      <c r="CLE34" s="37"/>
      <c r="CLF34" s="37"/>
      <c r="CLG34" s="37"/>
      <c r="CLH34" s="37"/>
      <c r="CLI34" s="37"/>
      <c r="CLJ34" s="37"/>
      <c r="CLK34" s="37"/>
      <c r="CLL34" s="37"/>
      <c r="CLM34" s="37"/>
      <c r="CLN34" s="37"/>
      <c r="CLO34" s="37"/>
      <c r="CLP34" s="37"/>
      <c r="CLQ34" s="37"/>
      <c r="CLR34" s="37"/>
      <c r="CLS34" s="37"/>
      <c r="CLT34" s="37"/>
      <c r="CLU34" s="37"/>
      <c r="CLV34" s="37"/>
      <c r="CLW34" s="37"/>
      <c r="CLX34" s="37"/>
      <c r="CLY34" s="37"/>
      <c r="CLZ34" s="37"/>
      <c r="CMA34" s="37"/>
      <c r="CMB34" s="37"/>
      <c r="CMC34" s="37"/>
      <c r="CMD34" s="37"/>
      <c r="CME34" s="37"/>
      <c r="CMF34" s="37"/>
      <c r="CMG34" s="37"/>
      <c r="CMH34" s="37"/>
      <c r="CMI34" s="37"/>
      <c r="CMJ34" s="37"/>
      <c r="CMK34" s="37"/>
      <c r="CML34" s="37"/>
      <c r="CMM34" s="37"/>
      <c r="CMN34" s="37"/>
      <c r="CMO34" s="37"/>
      <c r="CMP34" s="37"/>
      <c r="CMQ34" s="37"/>
      <c r="CMR34" s="37"/>
      <c r="CMS34" s="37"/>
      <c r="CMT34" s="37"/>
      <c r="CMU34" s="37"/>
      <c r="CMV34" s="37"/>
      <c r="CMW34" s="37"/>
      <c r="CMX34" s="37"/>
      <c r="CMY34" s="37"/>
      <c r="CMZ34" s="37"/>
      <c r="CNA34" s="37"/>
      <c r="CNB34" s="37"/>
      <c r="CNC34" s="37"/>
      <c r="CND34" s="37"/>
      <c r="CNE34" s="37"/>
      <c r="CNF34" s="37"/>
      <c r="CNG34" s="37"/>
      <c r="CNH34" s="37"/>
      <c r="CNI34" s="37"/>
      <c r="CNJ34" s="37"/>
      <c r="CNK34" s="37"/>
      <c r="CNL34" s="37"/>
      <c r="CNM34" s="37"/>
      <c r="CNN34" s="37"/>
      <c r="CNO34" s="37"/>
      <c r="CNP34" s="37"/>
      <c r="CNQ34" s="37"/>
      <c r="CNR34" s="37"/>
      <c r="CNS34" s="37"/>
      <c r="CNT34" s="37"/>
      <c r="CNU34" s="37"/>
      <c r="CNV34" s="37"/>
      <c r="CNW34" s="37"/>
      <c r="CNX34" s="37"/>
      <c r="CNY34" s="37"/>
      <c r="CNZ34" s="37"/>
      <c r="COA34" s="37"/>
      <c r="COB34" s="37"/>
      <c r="COC34" s="37"/>
      <c r="COD34" s="37"/>
      <c r="COE34" s="37"/>
      <c r="COF34" s="37"/>
      <c r="COG34" s="37"/>
      <c r="COH34" s="37"/>
      <c r="COI34" s="37"/>
      <c r="COJ34" s="37"/>
      <c r="COK34" s="37"/>
      <c r="COL34" s="37"/>
      <c r="COM34" s="37"/>
      <c r="CON34" s="37"/>
      <c r="COO34" s="37"/>
      <c r="COP34" s="37"/>
      <c r="COQ34" s="37"/>
      <c r="COR34" s="37"/>
      <c r="COS34" s="37"/>
      <c r="COT34" s="37"/>
      <c r="COU34" s="37"/>
      <c r="COV34" s="37"/>
      <c r="COW34" s="37"/>
      <c r="COX34" s="37"/>
      <c r="COY34" s="37"/>
      <c r="COZ34" s="37"/>
      <c r="CPA34" s="37"/>
      <c r="CPB34" s="37"/>
      <c r="CPC34" s="37"/>
      <c r="CPD34" s="37"/>
      <c r="CPE34" s="37"/>
      <c r="CPF34" s="37"/>
      <c r="CPG34" s="37"/>
      <c r="CPH34" s="37"/>
      <c r="CPI34" s="37"/>
      <c r="CPJ34" s="37"/>
      <c r="CPK34" s="37"/>
      <c r="CPL34" s="37"/>
      <c r="CPM34" s="37"/>
      <c r="CPN34" s="37"/>
      <c r="CPO34" s="37"/>
      <c r="CPP34" s="37"/>
      <c r="CPQ34" s="37"/>
      <c r="CPR34" s="37"/>
      <c r="CPS34" s="37"/>
      <c r="CPT34" s="37"/>
      <c r="CPU34" s="37"/>
      <c r="CPV34" s="37"/>
      <c r="CPW34" s="37"/>
      <c r="CPX34" s="37"/>
      <c r="CPY34" s="37"/>
      <c r="CPZ34" s="37"/>
      <c r="CQA34" s="37"/>
      <c r="CQB34" s="37"/>
      <c r="CQC34" s="37"/>
      <c r="CQD34" s="37"/>
      <c r="CQE34" s="37"/>
      <c r="CQF34" s="37"/>
      <c r="CQG34" s="37"/>
      <c r="CQH34" s="37"/>
      <c r="CQI34" s="37"/>
      <c r="CQJ34" s="37"/>
      <c r="CQK34" s="37"/>
      <c r="CQL34" s="37"/>
      <c r="CQM34" s="37"/>
      <c r="CQN34" s="37"/>
      <c r="CQO34" s="37"/>
      <c r="CQP34" s="37"/>
      <c r="CQQ34" s="37"/>
      <c r="CQR34" s="37"/>
      <c r="CQS34" s="37"/>
      <c r="CQT34" s="37"/>
      <c r="CQU34" s="37"/>
      <c r="CQV34" s="37"/>
      <c r="CQW34" s="37"/>
      <c r="CQX34" s="37"/>
      <c r="CQY34" s="37"/>
      <c r="CQZ34" s="37"/>
      <c r="CRA34" s="37"/>
      <c r="CRB34" s="37"/>
      <c r="CRC34" s="37"/>
      <c r="CRD34" s="37"/>
      <c r="CRE34" s="37"/>
      <c r="CRF34" s="37"/>
      <c r="CRG34" s="37"/>
      <c r="CRH34" s="37"/>
      <c r="CRI34" s="37"/>
      <c r="CRJ34" s="37"/>
      <c r="CRK34" s="37"/>
      <c r="CRL34" s="37"/>
      <c r="CRM34" s="37"/>
      <c r="CRN34" s="37"/>
      <c r="CRO34" s="37"/>
      <c r="CRP34" s="37"/>
      <c r="CRQ34" s="37"/>
      <c r="CRR34" s="37"/>
      <c r="CRS34" s="37"/>
      <c r="CRT34" s="37"/>
      <c r="CRU34" s="37"/>
      <c r="CRV34" s="37"/>
      <c r="CRW34" s="37"/>
      <c r="CRX34" s="37"/>
      <c r="CRY34" s="37"/>
      <c r="CRZ34" s="37"/>
      <c r="CSA34" s="37"/>
      <c r="CSB34" s="37"/>
      <c r="CSC34" s="37"/>
      <c r="CSD34" s="37"/>
      <c r="CSE34" s="37"/>
      <c r="CSF34" s="37"/>
      <c r="CSG34" s="37"/>
      <c r="CSH34" s="37"/>
      <c r="CSI34" s="37"/>
      <c r="CSJ34" s="37"/>
      <c r="CSK34" s="37"/>
      <c r="CSL34" s="37"/>
      <c r="CSM34" s="37"/>
      <c r="CSN34" s="37"/>
      <c r="CSO34" s="37"/>
      <c r="CSP34" s="37"/>
      <c r="CSQ34" s="37"/>
      <c r="CSR34" s="37"/>
      <c r="CSS34" s="37"/>
      <c r="CST34" s="37"/>
      <c r="CSU34" s="37"/>
      <c r="CSV34" s="37"/>
      <c r="CSW34" s="37"/>
      <c r="CSX34" s="37"/>
      <c r="CSY34" s="37"/>
      <c r="CSZ34" s="37"/>
      <c r="CTA34" s="37"/>
      <c r="CTB34" s="37"/>
      <c r="CTC34" s="37"/>
      <c r="CTD34" s="37"/>
      <c r="CTE34" s="37"/>
      <c r="CTF34" s="37"/>
      <c r="CTG34" s="37"/>
      <c r="CTH34" s="37"/>
      <c r="CTI34" s="37"/>
      <c r="CTJ34" s="37"/>
      <c r="CTK34" s="37"/>
      <c r="CTL34" s="37"/>
      <c r="CTM34" s="37"/>
      <c r="CTN34" s="37"/>
      <c r="CTO34" s="37"/>
      <c r="CTP34" s="37"/>
      <c r="CTQ34" s="37"/>
      <c r="CTR34" s="37"/>
      <c r="CTS34" s="37"/>
      <c r="CTT34" s="37"/>
      <c r="CTU34" s="37"/>
      <c r="CTV34" s="37"/>
      <c r="CTW34" s="37"/>
      <c r="CTX34" s="37"/>
      <c r="CTY34" s="37"/>
      <c r="CTZ34" s="37"/>
      <c r="CUA34" s="37"/>
      <c r="CUB34" s="37"/>
      <c r="CUC34" s="37"/>
      <c r="CUD34" s="37"/>
      <c r="CUE34" s="37"/>
      <c r="CUF34" s="37"/>
      <c r="CUG34" s="37"/>
      <c r="CUH34" s="37"/>
      <c r="CUI34" s="37"/>
      <c r="CUJ34" s="37"/>
      <c r="CUK34" s="37"/>
      <c r="CUL34" s="37"/>
      <c r="CUM34" s="37"/>
      <c r="CUN34" s="37"/>
      <c r="CUO34" s="37"/>
      <c r="CUP34" s="37"/>
      <c r="CUQ34" s="37"/>
      <c r="CUR34" s="37"/>
      <c r="CUS34" s="37"/>
      <c r="CUT34" s="37"/>
      <c r="CUU34" s="37"/>
      <c r="CUV34" s="37"/>
      <c r="CUW34" s="37"/>
      <c r="CUX34" s="37"/>
      <c r="CUY34" s="37"/>
      <c r="CUZ34" s="37"/>
      <c r="CVA34" s="37"/>
      <c r="CVB34" s="37"/>
      <c r="CVC34" s="37"/>
      <c r="CVD34" s="37"/>
      <c r="CVE34" s="37"/>
      <c r="CVF34" s="37"/>
      <c r="CVG34" s="37"/>
      <c r="CVH34" s="37"/>
      <c r="CVI34" s="37"/>
      <c r="CVJ34" s="37"/>
      <c r="CVK34" s="37"/>
      <c r="CVL34" s="37"/>
      <c r="CVM34" s="37"/>
      <c r="CVN34" s="37"/>
      <c r="CVO34" s="37"/>
      <c r="CVP34" s="37"/>
      <c r="CVQ34" s="37"/>
      <c r="CVR34" s="37"/>
      <c r="CVS34" s="37"/>
      <c r="CVT34" s="37"/>
      <c r="CVU34" s="37"/>
      <c r="CVV34" s="37"/>
      <c r="CVW34" s="37"/>
      <c r="CVX34" s="37"/>
      <c r="CVY34" s="37"/>
      <c r="CVZ34" s="37"/>
      <c r="CWA34" s="37"/>
      <c r="CWB34" s="37"/>
      <c r="CWC34" s="37"/>
      <c r="CWD34" s="37"/>
      <c r="CWE34" s="37"/>
      <c r="CWF34" s="37"/>
      <c r="CWG34" s="37"/>
      <c r="CWH34" s="37"/>
      <c r="CWI34" s="37"/>
      <c r="CWJ34" s="37"/>
      <c r="CWK34" s="37"/>
      <c r="CWL34" s="37"/>
      <c r="CWM34" s="37"/>
      <c r="CWN34" s="37"/>
      <c r="CWO34" s="37"/>
      <c r="CWP34" s="37"/>
      <c r="CWQ34" s="37"/>
      <c r="CWR34" s="37"/>
      <c r="CWS34" s="37"/>
      <c r="CWT34" s="37"/>
      <c r="CWU34" s="37"/>
      <c r="CWV34" s="37"/>
      <c r="CWW34" s="37"/>
      <c r="CWX34" s="37"/>
      <c r="CWY34" s="37"/>
      <c r="CWZ34" s="37"/>
      <c r="CXA34" s="37"/>
      <c r="CXB34" s="37"/>
      <c r="CXC34" s="37"/>
      <c r="CXD34" s="37"/>
      <c r="CXE34" s="37"/>
      <c r="CXF34" s="37"/>
      <c r="CXG34" s="37"/>
      <c r="CXH34" s="37"/>
      <c r="CXI34" s="37"/>
      <c r="CXJ34" s="37"/>
      <c r="CXK34" s="37"/>
      <c r="CXL34" s="37"/>
      <c r="CXM34" s="37"/>
      <c r="CXN34" s="37"/>
      <c r="CXO34" s="37"/>
      <c r="CXP34" s="37"/>
      <c r="CXQ34" s="37"/>
      <c r="CXR34" s="37"/>
      <c r="CXS34" s="37"/>
      <c r="CXT34" s="37"/>
      <c r="CXU34" s="37"/>
      <c r="CXV34" s="37"/>
      <c r="CXW34" s="37"/>
      <c r="CXX34" s="37"/>
      <c r="CXY34" s="37"/>
      <c r="CXZ34" s="37"/>
      <c r="CYA34" s="37"/>
      <c r="CYB34" s="37"/>
      <c r="CYC34" s="37"/>
      <c r="CYD34" s="37"/>
      <c r="CYE34" s="37"/>
      <c r="CYF34" s="37"/>
      <c r="CYG34" s="37"/>
      <c r="CYH34" s="37"/>
      <c r="CYI34" s="37"/>
      <c r="CYJ34" s="37"/>
      <c r="CYK34" s="37"/>
      <c r="CYL34" s="37"/>
      <c r="CYM34" s="37"/>
      <c r="CYN34" s="37"/>
      <c r="CYO34" s="37"/>
      <c r="CYP34" s="37"/>
      <c r="CYQ34" s="37"/>
      <c r="CYR34" s="37"/>
      <c r="CYS34" s="37"/>
      <c r="CYT34" s="37"/>
      <c r="CYU34" s="37"/>
      <c r="CYV34" s="37"/>
      <c r="CYW34" s="37"/>
      <c r="CYX34" s="37"/>
      <c r="CYY34" s="37"/>
      <c r="CYZ34" s="37"/>
      <c r="CZA34" s="37"/>
      <c r="CZB34" s="37"/>
      <c r="CZC34" s="37"/>
      <c r="CZD34" s="37"/>
      <c r="CZE34" s="37"/>
      <c r="CZF34" s="37"/>
      <c r="CZG34" s="37"/>
      <c r="CZH34" s="37"/>
      <c r="CZI34" s="37"/>
      <c r="CZJ34" s="37"/>
      <c r="CZK34" s="37"/>
      <c r="CZL34" s="37"/>
      <c r="CZM34" s="37"/>
      <c r="CZN34" s="37"/>
      <c r="CZO34" s="37"/>
      <c r="CZP34" s="37"/>
      <c r="CZQ34" s="37"/>
      <c r="CZR34" s="37"/>
      <c r="CZS34" s="37"/>
      <c r="CZT34" s="37"/>
      <c r="CZU34" s="37"/>
      <c r="CZV34" s="37"/>
      <c r="CZW34" s="37"/>
      <c r="CZX34" s="37"/>
      <c r="CZY34" s="37"/>
      <c r="CZZ34" s="37"/>
      <c r="DAA34" s="37"/>
      <c r="DAB34" s="37"/>
      <c r="DAC34" s="37"/>
      <c r="DAD34" s="37"/>
      <c r="DAE34" s="37"/>
      <c r="DAF34" s="37"/>
      <c r="DAG34" s="37"/>
      <c r="DAH34" s="37"/>
      <c r="DAI34" s="37"/>
      <c r="DAJ34" s="37"/>
      <c r="DAK34" s="37"/>
      <c r="DAL34" s="37"/>
      <c r="DAM34" s="37"/>
      <c r="DAN34" s="37"/>
      <c r="DAO34" s="37"/>
      <c r="DAP34" s="37"/>
      <c r="DAQ34" s="37"/>
      <c r="DAR34" s="37"/>
      <c r="DAS34" s="37"/>
      <c r="DAT34" s="37"/>
      <c r="DAU34" s="37"/>
      <c r="DAV34" s="37"/>
      <c r="DAW34" s="37"/>
      <c r="DAX34" s="37"/>
      <c r="DAY34" s="37"/>
      <c r="DAZ34" s="37"/>
      <c r="DBA34" s="37"/>
      <c r="DBB34" s="37"/>
      <c r="DBC34" s="37"/>
      <c r="DBD34" s="37"/>
      <c r="DBE34" s="37"/>
      <c r="DBF34" s="37"/>
      <c r="DBG34" s="37"/>
      <c r="DBH34" s="37"/>
      <c r="DBI34" s="37"/>
      <c r="DBJ34" s="37"/>
      <c r="DBK34" s="37"/>
      <c r="DBL34" s="37"/>
      <c r="DBM34" s="37"/>
      <c r="DBN34" s="37"/>
      <c r="DBO34" s="37"/>
      <c r="DBP34" s="37"/>
      <c r="DBQ34" s="37"/>
      <c r="DBR34" s="37"/>
      <c r="DBS34" s="37"/>
      <c r="DBT34" s="37"/>
      <c r="DBU34" s="37"/>
      <c r="DBV34" s="37"/>
      <c r="DBW34" s="37"/>
      <c r="DBX34" s="37"/>
      <c r="DBY34" s="37"/>
      <c r="DBZ34" s="37"/>
      <c r="DCA34" s="37"/>
      <c r="DCB34" s="37"/>
      <c r="DCC34" s="37"/>
      <c r="DCD34" s="37"/>
      <c r="DCE34" s="37"/>
      <c r="DCF34" s="37"/>
      <c r="DCG34" s="37"/>
      <c r="DCH34" s="37"/>
      <c r="DCI34" s="37"/>
      <c r="DCJ34" s="37"/>
      <c r="DCK34" s="37"/>
      <c r="DCL34" s="37"/>
      <c r="DCM34" s="37"/>
      <c r="DCN34" s="37"/>
      <c r="DCO34" s="37"/>
      <c r="DCP34" s="37"/>
      <c r="DCQ34" s="37"/>
      <c r="DCR34" s="37"/>
      <c r="DCS34" s="37"/>
      <c r="DCT34" s="37"/>
      <c r="DCU34" s="37"/>
      <c r="DCV34" s="37"/>
      <c r="DCW34" s="37"/>
      <c r="DCX34" s="37"/>
      <c r="DCY34" s="37"/>
      <c r="DCZ34" s="37"/>
      <c r="DDA34" s="37"/>
      <c r="DDB34" s="37"/>
      <c r="DDC34" s="37"/>
      <c r="DDD34" s="37"/>
      <c r="DDE34" s="37"/>
      <c r="DDF34" s="37"/>
      <c r="DDG34" s="37"/>
      <c r="DDH34" s="37"/>
      <c r="DDI34" s="37"/>
      <c r="DDJ34" s="37"/>
      <c r="DDK34" s="37"/>
      <c r="DDL34" s="37"/>
      <c r="DDM34" s="37"/>
      <c r="DDN34" s="37"/>
      <c r="DDO34" s="37"/>
      <c r="DDP34" s="37"/>
      <c r="DDQ34" s="37"/>
      <c r="DDR34" s="37"/>
      <c r="DDS34" s="37"/>
      <c r="DDT34" s="37"/>
      <c r="DDU34" s="37"/>
      <c r="DDV34" s="37"/>
      <c r="DDW34" s="37"/>
      <c r="DDX34" s="37"/>
      <c r="DDY34" s="37"/>
      <c r="DDZ34" s="37"/>
      <c r="DEA34" s="37"/>
      <c r="DEB34" s="37"/>
      <c r="DEC34" s="37"/>
      <c r="DED34" s="37"/>
      <c r="DEE34" s="37"/>
      <c r="DEF34" s="37"/>
      <c r="DEG34" s="37"/>
      <c r="DEH34" s="37"/>
      <c r="DEI34" s="37"/>
      <c r="DEJ34" s="37"/>
      <c r="DEK34" s="37"/>
      <c r="DEL34" s="37"/>
      <c r="DEM34" s="37"/>
      <c r="DEN34" s="37"/>
      <c r="DEO34" s="37"/>
      <c r="DEP34" s="37"/>
      <c r="DEQ34" s="37"/>
      <c r="DER34" s="37"/>
      <c r="DES34" s="37"/>
      <c r="DET34" s="37"/>
      <c r="DEU34" s="37"/>
      <c r="DEV34" s="37"/>
      <c r="DEW34" s="37"/>
      <c r="DEX34" s="37"/>
      <c r="DEY34" s="37"/>
      <c r="DEZ34" s="37"/>
      <c r="DFA34" s="37"/>
      <c r="DFB34" s="37"/>
      <c r="DFC34" s="37"/>
      <c r="DFD34" s="37"/>
      <c r="DFE34" s="37"/>
      <c r="DFF34" s="37"/>
      <c r="DFG34" s="37"/>
      <c r="DFH34" s="37"/>
      <c r="DFI34" s="37"/>
      <c r="DFJ34" s="37"/>
      <c r="DFK34" s="37"/>
      <c r="DFL34" s="37"/>
      <c r="DFM34" s="37"/>
      <c r="DFN34" s="37"/>
      <c r="DFO34" s="37"/>
      <c r="DFP34" s="37"/>
      <c r="DFQ34" s="37"/>
      <c r="DFR34" s="37"/>
      <c r="DFS34" s="37"/>
      <c r="DFT34" s="37"/>
      <c r="DFU34" s="37"/>
      <c r="DFV34" s="37"/>
      <c r="DFW34" s="37"/>
      <c r="DFX34" s="37"/>
      <c r="DFY34" s="37"/>
      <c r="DFZ34" s="37"/>
      <c r="DGA34" s="37"/>
      <c r="DGB34" s="37"/>
      <c r="DGC34" s="37"/>
      <c r="DGD34" s="37"/>
      <c r="DGE34" s="37"/>
      <c r="DGF34" s="37"/>
      <c r="DGG34" s="37"/>
      <c r="DGH34" s="37"/>
      <c r="DGI34" s="37"/>
      <c r="DGJ34" s="37"/>
      <c r="DGK34" s="37"/>
      <c r="DGL34" s="37"/>
      <c r="DGM34" s="37"/>
      <c r="DGN34" s="37"/>
      <c r="DGO34" s="37"/>
      <c r="DGP34" s="37"/>
      <c r="DGQ34" s="37"/>
      <c r="DGR34" s="37"/>
      <c r="DGS34" s="37"/>
      <c r="DGT34" s="37"/>
      <c r="DGU34" s="37"/>
      <c r="DGV34" s="37"/>
      <c r="DGW34" s="37"/>
      <c r="DGX34" s="37"/>
      <c r="DGY34" s="37"/>
      <c r="DGZ34" s="37"/>
      <c r="DHA34" s="37"/>
      <c r="DHB34" s="37"/>
      <c r="DHC34" s="37"/>
      <c r="DHD34" s="37"/>
      <c r="DHE34" s="37"/>
      <c r="DHF34" s="37"/>
      <c r="DHG34" s="37"/>
      <c r="DHH34" s="37"/>
      <c r="DHI34" s="37"/>
      <c r="DHJ34" s="37"/>
      <c r="DHK34" s="37"/>
      <c r="DHL34" s="37"/>
      <c r="DHM34" s="37"/>
      <c r="DHN34" s="37"/>
      <c r="DHO34" s="37"/>
      <c r="DHP34" s="37"/>
      <c r="DHQ34" s="37"/>
      <c r="DHR34" s="37"/>
      <c r="DHS34" s="37"/>
      <c r="DHT34" s="37"/>
      <c r="DHU34" s="37"/>
      <c r="DHV34" s="37"/>
      <c r="DHW34" s="37"/>
      <c r="DHX34" s="37"/>
      <c r="DHY34" s="37"/>
      <c r="DHZ34" s="37"/>
      <c r="DIA34" s="37"/>
      <c r="DIB34" s="37"/>
      <c r="DIC34" s="37"/>
      <c r="DID34" s="37"/>
      <c r="DIE34" s="37"/>
      <c r="DIF34" s="37"/>
      <c r="DIG34" s="37"/>
      <c r="DIH34" s="37"/>
      <c r="DII34" s="37"/>
      <c r="DIJ34" s="37"/>
      <c r="DIK34" s="37"/>
      <c r="DIL34" s="37"/>
      <c r="DIM34" s="37"/>
      <c r="DIN34" s="37"/>
      <c r="DIO34" s="37"/>
      <c r="DIP34" s="37"/>
      <c r="DIQ34" s="37"/>
      <c r="DIR34" s="37"/>
      <c r="DIS34" s="37"/>
      <c r="DIT34" s="37"/>
      <c r="DIU34" s="37"/>
      <c r="DIV34" s="37"/>
      <c r="DIW34" s="37"/>
      <c r="DIX34" s="37"/>
      <c r="DIY34" s="37"/>
      <c r="DIZ34" s="37"/>
      <c r="DJA34" s="37"/>
      <c r="DJB34" s="37"/>
      <c r="DJC34" s="37"/>
      <c r="DJD34" s="37"/>
      <c r="DJE34" s="37"/>
      <c r="DJF34" s="37"/>
      <c r="DJG34" s="37"/>
      <c r="DJH34" s="37"/>
      <c r="DJI34" s="37"/>
      <c r="DJJ34" s="37"/>
      <c r="DJK34" s="37"/>
      <c r="DJL34" s="37"/>
      <c r="DJM34" s="37"/>
      <c r="DJN34" s="37"/>
      <c r="DJO34" s="37"/>
      <c r="DJP34" s="37"/>
      <c r="DJQ34" s="37"/>
      <c r="DJR34" s="37"/>
      <c r="DJS34" s="37"/>
      <c r="DJT34" s="37"/>
      <c r="DJU34" s="37"/>
      <c r="DJV34" s="37"/>
      <c r="DJW34" s="37"/>
      <c r="DJX34" s="37"/>
      <c r="DJY34" s="37"/>
      <c r="DJZ34" s="37"/>
      <c r="DKA34" s="37"/>
      <c r="DKB34" s="37"/>
      <c r="DKC34" s="37"/>
      <c r="DKD34" s="37"/>
      <c r="DKE34" s="37"/>
      <c r="DKF34" s="37"/>
      <c r="DKG34" s="37"/>
      <c r="DKH34" s="37"/>
      <c r="DKI34" s="37"/>
      <c r="DKJ34" s="37"/>
      <c r="DKK34" s="37"/>
      <c r="DKL34" s="37"/>
      <c r="DKM34" s="37"/>
      <c r="DKN34" s="37"/>
      <c r="DKO34" s="37"/>
      <c r="DKP34" s="37"/>
      <c r="DKQ34" s="37"/>
      <c r="DKR34" s="37"/>
      <c r="DKS34" s="37"/>
      <c r="DKT34" s="37"/>
      <c r="DKU34" s="37"/>
      <c r="DKV34" s="37"/>
      <c r="DKW34" s="37"/>
      <c r="DKX34" s="37"/>
      <c r="DKY34" s="37"/>
      <c r="DKZ34" s="37"/>
      <c r="DLA34" s="37"/>
      <c r="DLB34" s="37"/>
      <c r="DLC34" s="37"/>
      <c r="DLD34" s="37"/>
      <c r="DLE34" s="37"/>
      <c r="DLF34" s="37"/>
      <c r="DLG34" s="37"/>
      <c r="DLH34" s="37"/>
      <c r="DLI34" s="37"/>
      <c r="DLJ34" s="37"/>
      <c r="DLK34" s="37"/>
      <c r="DLL34" s="37"/>
      <c r="DLM34" s="37"/>
      <c r="DLN34" s="37"/>
      <c r="DLO34" s="37"/>
      <c r="DLP34" s="37"/>
      <c r="DLQ34" s="37"/>
      <c r="DLR34" s="37"/>
      <c r="DLS34" s="37"/>
      <c r="DLT34" s="37"/>
      <c r="DLU34" s="37"/>
      <c r="DLV34" s="37"/>
      <c r="DLW34" s="37"/>
      <c r="DLX34" s="37"/>
      <c r="DLY34" s="37"/>
      <c r="DLZ34" s="37"/>
      <c r="DMA34" s="37"/>
      <c r="DMB34" s="37"/>
      <c r="DMC34" s="37"/>
      <c r="DMD34" s="37"/>
      <c r="DME34" s="37"/>
      <c r="DMF34" s="37"/>
      <c r="DMG34" s="37"/>
      <c r="DMH34" s="37"/>
      <c r="DMI34" s="37"/>
      <c r="DMJ34" s="37"/>
      <c r="DMK34" s="37"/>
      <c r="DML34" s="37"/>
      <c r="DMM34" s="37"/>
      <c r="DMN34" s="37"/>
      <c r="DMO34" s="37"/>
      <c r="DMP34" s="37"/>
      <c r="DMQ34" s="37"/>
      <c r="DMR34" s="37"/>
      <c r="DMS34" s="37"/>
      <c r="DMT34" s="37"/>
      <c r="DMU34" s="37"/>
      <c r="DMV34" s="37"/>
      <c r="DMW34" s="37"/>
      <c r="DMX34" s="37"/>
      <c r="DMY34" s="37"/>
      <c r="DMZ34" s="37"/>
      <c r="DNA34" s="37"/>
      <c r="DNB34" s="37"/>
      <c r="DNC34" s="37"/>
      <c r="DND34" s="37"/>
      <c r="DNE34" s="37"/>
      <c r="DNF34" s="37"/>
      <c r="DNG34" s="37"/>
      <c r="DNH34" s="37"/>
      <c r="DNI34" s="37"/>
      <c r="DNJ34" s="37"/>
      <c r="DNK34" s="37"/>
      <c r="DNL34" s="37"/>
      <c r="DNM34" s="37"/>
      <c r="DNN34" s="37"/>
      <c r="DNO34" s="37"/>
      <c r="DNP34" s="37"/>
      <c r="DNQ34" s="37"/>
      <c r="DNR34" s="37"/>
      <c r="DNS34" s="37"/>
      <c r="DNT34" s="37"/>
      <c r="DNU34" s="37"/>
      <c r="DNV34" s="37"/>
      <c r="DNW34" s="37"/>
      <c r="DNX34" s="37"/>
      <c r="DNY34" s="37"/>
      <c r="DNZ34" s="37"/>
      <c r="DOA34" s="37"/>
      <c r="DOB34" s="37"/>
      <c r="DOC34" s="37"/>
      <c r="DOD34" s="37"/>
      <c r="DOE34" s="37"/>
      <c r="DOF34" s="37"/>
      <c r="DOG34" s="37"/>
      <c r="DOH34" s="37"/>
      <c r="DOI34" s="37"/>
      <c r="DOJ34" s="37"/>
      <c r="DOK34" s="37"/>
      <c r="DOL34" s="37"/>
      <c r="DOM34" s="37"/>
      <c r="DON34" s="37"/>
      <c r="DOO34" s="37"/>
      <c r="DOP34" s="37"/>
      <c r="DOQ34" s="37"/>
      <c r="DOR34" s="37"/>
      <c r="DOS34" s="37"/>
      <c r="DOT34" s="37"/>
      <c r="DOU34" s="37"/>
      <c r="DOV34" s="37"/>
      <c r="DOW34" s="37"/>
      <c r="DOX34" s="37"/>
      <c r="DOY34" s="37"/>
      <c r="DOZ34" s="37"/>
      <c r="DPA34" s="37"/>
      <c r="DPB34" s="37"/>
      <c r="DPC34" s="37"/>
      <c r="DPD34" s="37"/>
      <c r="DPE34" s="37"/>
      <c r="DPF34" s="37"/>
      <c r="DPG34" s="37"/>
      <c r="DPH34" s="37"/>
      <c r="DPI34" s="37"/>
      <c r="DPJ34" s="37"/>
      <c r="DPK34" s="37"/>
      <c r="DPL34" s="37"/>
      <c r="DPM34" s="37"/>
      <c r="DPN34" s="37"/>
      <c r="DPO34" s="37"/>
      <c r="DPP34" s="37"/>
      <c r="DPQ34" s="37"/>
      <c r="DPR34" s="37"/>
      <c r="DPS34" s="37"/>
      <c r="DPT34" s="37"/>
      <c r="DPU34" s="37"/>
      <c r="DPV34" s="37"/>
      <c r="DPW34" s="37"/>
      <c r="DPX34" s="37"/>
      <c r="DPY34" s="37"/>
      <c r="DPZ34" s="37"/>
      <c r="DQA34" s="37"/>
      <c r="DQB34" s="37"/>
      <c r="DQC34" s="37"/>
      <c r="DQD34" s="37"/>
      <c r="DQE34" s="37"/>
      <c r="DQF34" s="37"/>
      <c r="DQG34" s="37"/>
      <c r="DQH34" s="37"/>
      <c r="DQI34" s="37"/>
      <c r="DQJ34" s="37"/>
      <c r="DQK34" s="37"/>
      <c r="DQL34" s="37"/>
      <c r="DQM34" s="37"/>
      <c r="DQN34" s="37"/>
      <c r="DQO34" s="37"/>
      <c r="DQP34" s="37"/>
      <c r="DQQ34" s="37"/>
      <c r="DQR34" s="37"/>
      <c r="DQS34" s="37"/>
      <c r="DQT34" s="37"/>
      <c r="DQU34" s="37"/>
      <c r="DQV34" s="37"/>
      <c r="DQW34" s="37"/>
      <c r="DQX34" s="37"/>
      <c r="DQY34" s="37"/>
      <c r="DQZ34" s="37"/>
      <c r="DRA34" s="37"/>
      <c r="DRB34" s="37"/>
      <c r="DRC34" s="37"/>
      <c r="DRD34" s="37"/>
      <c r="DRE34" s="37"/>
      <c r="DRF34" s="37"/>
      <c r="DRG34" s="37"/>
      <c r="DRH34" s="37"/>
      <c r="DRI34" s="37"/>
      <c r="DRJ34" s="37"/>
      <c r="DRK34" s="37"/>
      <c r="DRL34" s="37"/>
      <c r="DRM34" s="37"/>
      <c r="DRN34" s="37"/>
      <c r="DRO34" s="37"/>
      <c r="DRP34" s="37"/>
      <c r="DRQ34" s="37"/>
      <c r="DRR34" s="37"/>
      <c r="DRS34" s="37"/>
      <c r="DRT34" s="37"/>
      <c r="DRU34" s="37"/>
      <c r="DRV34" s="37"/>
      <c r="DRW34" s="37"/>
      <c r="DRX34" s="37"/>
      <c r="DRY34" s="37"/>
      <c r="DRZ34" s="37"/>
      <c r="DSA34" s="37"/>
      <c r="DSB34" s="37"/>
      <c r="DSC34" s="37"/>
      <c r="DSD34" s="37"/>
      <c r="DSE34" s="37"/>
      <c r="DSF34" s="37"/>
      <c r="DSG34" s="37"/>
      <c r="DSH34" s="37"/>
      <c r="DSI34" s="37"/>
      <c r="DSJ34" s="37"/>
      <c r="DSK34" s="37"/>
      <c r="DSL34" s="37"/>
      <c r="DSM34" s="37"/>
      <c r="DSN34" s="37"/>
      <c r="DSO34" s="37"/>
      <c r="DSP34" s="37"/>
      <c r="DSQ34" s="37"/>
      <c r="DSR34" s="37"/>
      <c r="DSS34" s="37"/>
      <c r="DST34" s="37"/>
      <c r="DSU34" s="37"/>
      <c r="DSV34" s="37"/>
      <c r="DSW34" s="37"/>
      <c r="DSX34" s="37"/>
      <c r="DSY34" s="37"/>
      <c r="DSZ34" s="37"/>
      <c r="DTA34" s="37"/>
      <c r="DTB34" s="37"/>
      <c r="DTC34" s="37"/>
      <c r="DTD34" s="37"/>
      <c r="DTE34" s="37"/>
      <c r="DTF34" s="37"/>
      <c r="DTG34" s="37"/>
      <c r="DTH34" s="37"/>
      <c r="DTI34" s="37"/>
      <c r="DTJ34" s="37"/>
      <c r="DTK34" s="37"/>
      <c r="DTL34" s="37"/>
      <c r="DTM34" s="37"/>
      <c r="DTN34" s="37"/>
      <c r="DTO34" s="37"/>
      <c r="DTP34" s="37"/>
      <c r="DTQ34" s="37"/>
      <c r="DTR34" s="37"/>
      <c r="DTS34" s="37"/>
      <c r="DTT34" s="37"/>
      <c r="DTU34" s="37"/>
      <c r="DTV34" s="37"/>
      <c r="DTW34" s="37"/>
      <c r="DTX34" s="37"/>
      <c r="DTY34" s="37"/>
      <c r="DTZ34" s="37"/>
      <c r="DUA34" s="37"/>
      <c r="DUB34" s="37"/>
      <c r="DUC34" s="37"/>
      <c r="DUD34" s="37"/>
      <c r="DUE34" s="37"/>
      <c r="DUF34" s="37"/>
      <c r="DUG34" s="37"/>
      <c r="DUH34" s="37"/>
      <c r="DUI34" s="37"/>
      <c r="DUJ34" s="37"/>
      <c r="DUK34" s="37"/>
      <c r="DUL34" s="37"/>
      <c r="DUM34" s="37"/>
      <c r="DUN34" s="37"/>
      <c r="DUO34" s="37"/>
      <c r="DUP34" s="37"/>
      <c r="DUQ34" s="37"/>
      <c r="DUR34" s="37"/>
      <c r="DUS34" s="37"/>
      <c r="DUT34" s="37"/>
      <c r="DUU34" s="37"/>
      <c r="DUV34" s="37"/>
      <c r="DUW34" s="37"/>
      <c r="DUX34" s="37"/>
      <c r="DUY34" s="37"/>
      <c r="DUZ34" s="37"/>
      <c r="DVA34" s="37"/>
      <c r="DVB34" s="37"/>
      <c r="DVC34" s="37"/>
      <c r="DVD34" s="37"/>
      <c r="DVE34" s="37"/>
      <c r="DVF34" s="37"/>
      <c r="DVG34" s="37"/>
      <c r="DVH34" s="37"/>
      <c r="DVI34" s="37"/>
      <c r="DVJ34" s="37"/>
      <c r="DVK34" s="37"/>
      <c r="DVL34" s="37"/>
      <c r="DVM34" s="37"/>
      <c r="DVN34" s="37"/>
      <c r="DVO34" s="37"/>
      <c r="DVP34" s="37"/>
      <c r="DVQ34" s="37"/>
      <c r="DVR34" s="37"/>
      <c r="DVS34" s="37"/>
      <c r="DVT34" s="37"/>
      <c r="DVU34" s="37"/>
      <c r="DVV34" s="37"/>
      <c r="DVW34" s="37"/>
      <c r="DVX34" s="37"/>
      <c r="DVY34" s="37"/>
      <c r="DVZ34" s="37"/>
      <c r="DWA34" s="37"/>
      <c r="DWB34" s="37"/>
      <c r="DWC34" s="37"/>
      <c r="DWD34" s="37"/>
      <c r="DWE34" s="37"/>
      <c r="DWF34" s="37"/>
      <c r="DWG34" s="37"/>
      <c r="DWH34" s="37"/>
      <c r="DWI34" s="37"/>
      <c r="DWJ34" s="37"/>
      <c r="DWK34" s="37"/>
      <c r="DWL34" s="37"/>
      <c r="DWM34" s="37"/>
      <c r="DWN34" s="37"/>
      <c r="DWO34" s="37"/>
      <c r="DWP34" s="37"/>
      <c r="DWQ34" s="37"/>
      <c r="DWR34" s="37"/>
      <c r="DWS34" s="37"/>
      <c r="DWT34" s="37"/>
      <c r="DWU34" s="37"/>
      <c r="DWV34" s="37"/>
      <c r="DWW34" s="37"/>
      <c r="DWX34" s="37"/>
      <c r="DWY34" s="37"/>
      <c r="DWZ34" s="37"/>
      <c r="DXA34" s="37"/>
      <c r="DXB34" s="37"/>
      <c r="DXC34" s="37"/>
      <c r="DXD34" s="37"/>
      <c r="DXE34" s="37"/>
      <c r="DXF34" s="37"/>
      <c r="DXG34" s="37"/>
      <c r="DXH34" s="37"/>
      <c r="DXI34" s="37"/>
      <c r="DXJ34" s="37"/>
      <c r="DXK34" s="37"/>
      <c r="DXL34" s="37"/>
      <c r="DXM34" s="37"/>
      <c r="DXN34" s="37"/>
      <c r="DXO34" s="37"/>
      <c r="DXP34" s="37"/>
      <c r="DXQ34" s="37"/>
      <c r="DXR34" s="37"/>
      <c r="DXS34" s="37"/>
      <c r="DXT34" s="37"/>
      <c r="DXU34" s="37"/>
      <c r="DXV34" s="37"/>
      <c r="DXW34" s="37"/>
      <c r="DXX34" s="37"/>
      <c r="DXY34" s="37"/>
      <c r="DXZ34" s="37"/>
      <c r="DYA34" s="37"/>
      <c r="DYB34" s="37"/>
      <c r="DYC34" s="37"/>
      <c r="DYD34" s="37"/>
      <c r="DYE34" s="37"/>
      <c r="DYF34" s="37"/>
      <c r="DYG34" s="37"/>
      <c r="DYH34" s="37"/>
      <c r="DYI34" s="37"/>
      <c r="DYJ34" s="37"/>
      <c r="DYK34" s="37"/>
      <c r="DYL34" s="37"/>
      <c r="DYM34" s="37"/>
      <c r="DYN34" s="37"/>
      <c r="DYO34" s="37"/>
      <c r="DYP34" s="37"/>
      <c r="DYQ34" s="37"/>
      <c r="DYR34" s="37"/>
      <c r="DYS34" s="37"/>
      <c r="DYT34" s="37"/>
      <c r="DYU34" s="37"/>
      <c r="DYV34" s="37"/>
      <c r="DYW34" s="37"/>
      <c r="DYX34" s="37"/>
      <c r="DYY34" s="37"/>
      <c r="DYZ34" s="37"/>
      <c r="DZA34" s="37"/>
      <c r="DZB34" s="37"/>
      <c r="DZC34" s="37"/>
      <c r="DZD34" s="37"/>
      <c r="DZE34" s="37"/>
      <c r="DZF34" s="37"/>
      <c r="DZG34" s="37"/>
      <c r="DZH34" s="37"/>
      <c r="DZI34" s="37"/>
      <c r="DZJ34" s="37"/>
      <c r="DZK34" s="37"/>
      <c r="DZL34" s="37"/>
      <c r="DZM34" s="37"/>
      <c r="DZN34" s="37"/>
      <c r="DZO34" s="37"/>
      <c r="DZP34" s="37"/>
      <c r="DZQ34" s="37"/>
      <c r="DZR34" s="37"/>
      <c r="DZS34" s="37"/>
      <c r="DZT34" s="37"/>
      <c r="DZU34" s="37"/>
      <c r="DZV34" s="37"/>
      <c r="DZW34" s="37"/>
      <c r="DZX34" s="37"/>
      <c r="DZY34" s="37"/>
      <c r="DZZ34" s="37"/>
      <c r="EAA34" s="37"/>
      <c r="EAB34" s="37"/>
      <c r="EAC34" s="37"/>
      <c r="EAD34" s="37"/>
      <c r="EAE34" s="37"/>
      <c r="EAF34" s="37"/>
      <c r="EAG34" s="37"/>
      <c r="EAH34" s="37"/>
      <c r="EAI34" s="37"/>
      <c r="EAJ34" s="37"/>
      <c r="EAK34" s="37"/>
      <c r="EAL34" s="37"/>
      <c r="EAM34" s="37"/>
      <c r="EAN34" s="37"/>
      <c r="EAO34" s="37"/>
      <c r="EAP34" s="37"/>
      <c r="EAQ34" s="37"/>
      <c r="EAR34" s="37"/>
      <c r="EAS34" s="37"/>
      <c r="EAT34" s="37"/>
      <c r="EAU34" s="37"/>
      <c r="EAV34" s="37"/>
      <c r="EAW34" s="37"/>
      <c r="EAX34" s="37"/>
      <c r="EAY34" s="37"/>
      <c r="EAZ34" s="37"/>
      <c r="EBA34" s="37"/>
      <c r="EBB34" s="37"/>
      <c r="EBC34" s="37"/>
      <c r="EBD34" s="37"/>
      <c r="EBE34" s="37"/>
      <c r="EBF34" s="37"/>
      <c r="EBG34" s="37"/>
      <c r="EBH34" s="37"/>
      <c r="EBI34" s="37"/>
      <c r="EBJ34" s="37"/>
      <c r="EBK34" s="37"/>
      <c r="EBL34" s="37"/>
      <c r="EBM34" s="37"/>
      <c r="EBN34" s="37"/>
      <c r="EBO34" s="37"/>
      <c r="EBP34" s="37"/>
      <c r="EBQ34" s="37"/>
      <c r="EBR34" s="37"/>
      <c r="EBS34" s="37"/>
      <c r="EBT34" s="37"/>
      <c r="EBU34" s="37"/>
      <c r="EBV34" s="37"/>
      <c r="EBW34" s="37"/>
      <c r="EBX34" s="37"/>
      <c r="EBY34" s="37"/>
      <c r="EBZ34" s="37"/>
      <c r="ECA34" s="37"/>
      <c r="ECB34" s="37"/>
      <c r="ECC34" s="37"/>
      <c r="ECD34" s="37"/>
      <c r="ECE34" s="37"/>
      <c r="ECF34" s="37"/>
      <c r="ECG34" s="37"/>
      <c r="ECH34" s="37"/>
      <c r="ECI34" s="37"/>
      <c r="ECJ34" s="37"/>
      <c r="ECK34" s="37"/>
      <c r="ECL34" s="37"/>
      <c r="ECM34" s="37"/>
      <c r="ECN34" s="37"/>
      <c r="ECO34" s="37"/>
      <c r="ECP34" s="37"/>
      <c r="ECQ34" s="37"/>
      <c r="ECR34" s="37"/>
      <c r="ECS34" s="37"/>
      <c r="ECT34" s="37"/>
      <c r="ECU34" s="37"/>
      <c r="ECV34" s="37"/>
      <c r="ECW34" s="37"/>
      <c r="ECX34" s="37"/>
      <c r="ECY34" s="37"/>
      <c r="ECZ34" s="37"/>
      <c r="EDA34" s="37"/>
      <c r="EDB34" s="37"/>
      <c r="EDC34" s="37"/>
      <c r="EDD34" s="37"/>
      <c r="EDE34" s="37"/>
      <c r="EDF34" s="37"/>
      <c r="EDG34" s="37"/>
      <c r="EDH34" s="37"/>
      <c r="EDI34" s="37"/>
      <c r="EDJ34" s="37"/>
      <c r="EDK34" s="37"/>
      <c r="EDL34" s="37"/>
      <c r="EDM34" s="37"/>
      <c r="EDN34" s="37"/>
      <c r="EDO34" s="37"/>
      <c r="EDP34" s="37"/>
      <c r="EDQ34" s="37"/>
      <c r="EDR34" s="37"/>
      <c r="EDS34" s="37"/>
      <c r="EDT34" s="37"/>
      <c r="EDU34" s="37"/>
      <c r="EDV34" s="37"/>
      <c r="EDW34" s="37"/>
      <c r="EDX34" s="37"/>
      <c r="EDY34" s="37"/>
      <c r="EDZ34" s="37"/>
      <c r="EEA34" s="37"/>
      <c r="EEB34" s="37"/>
      <c r="EEC34" s="37"/>
      <c r="EED34" s="37"/>
      <c r="EEE34" s="37"/>
      <c r="EEF34" s="37"/>
      <c r="EEG34" s="37"/>
      <c r="EEH34" s="37"/>
      <c r="EEI34" s="37"/>
      <c r="EEJ34" s="37"/>
      <c r="EEK34" s="37"/>
      <c r="EEL34" s="37"/>
      <c r="EEM34" s="37"/>
      <c r="EEN34" s="37"/>
      <c r="EEO34" s="37"/>
      <c r="EEP34" s="37"/>
      <c r="EEQ34" s="37"/>
      <c r="EER34" s="37"/>
      <c r="EES34" s="37"/>
      <c r="EET34" s="37"/>
      <c r="EEU34" s="37"/>
      <c r="EEV34" s="37"/>
      <c r="EEW34" s="37"/>
      <c r="EEX34" s="37"/>
      <c r="EEY34" s="37"/>
      <c r="EEZ34" s="37"/>
      <c r="EFA34" s="37"/>
      <c r="EFB34" s="37"/>
      <c r="EFC34" s="37"/>
      <c r="EFD34" s="37"/>
      <c r="EFE34" s="37"/>
      <c r="EFF34" s="37"/>
      <c r="EFG34" s="37"/>
      <c r="EFH34" s="37"/>
      <c r="EFI34" s="37"/>
      <c r="EFJ34" s="37"/>
      <c r="EFK34" s="37"/>
      <c r="EFL34" s="37"/>
      <c r="EFM34" s="37"/>
      <c r="EFN34" s="37"/>
      <c r="EFO34" s="37"/>
      <c r="EFP34" s="37"/>
      <c r="EFQ34" s="37"/>
      <c r="EFR34" s="37"/>
      <c r="EFS34" s="37"/>
      <c r="EFT34" s="37"/>
      <c r="EFU34" s="37"/>
      <c r="EFV34" s="37"/>
      <c r="EFW34" s="37"/>
      <c r="EFX34" s="37"/>
      <c r="EFY34" s="37"/>
      <c r="EFZ34" s="37"/>
      <c r="EGA34" s="37"/>
      <c r="EGB34" s="37"/>
      <c r="EGC34" s="37"/>
      <c r="EGD34" s="37"/>
      <c r="EGE34" s="37"/>
      <c r="EGF34" s="37"/>
      <c r="EGG34" s="37"/>
      <c r="EGH34" s="37"/>
      <c r="EGI34" s="37"/>
      <c r="EGJ34" s="37"/>
      <c r="EGK34" s="37"/>
      <c r="EGL34" s="37"/>
      <c r="EGM34" s="37"/>
      <c r="EGN34" s="37"/>
      <c r="EGO34" s="37"/>
      <c r="EGP34" s="37"/>
      <c r="EGQ34" s="37"/>
      <c r="EGR34" s="37"/>
      <c r="EGS34" s="37"/>
      <c r="EGT34" s="37"/>
      <c r="EGU34" s="37"/>
      <c r="EGV34" s="37"/>
      <c r="EGW34" s="37"/>
      <c r="EGX34" s="37"/>
      <c r="EGY34" s="37"/>
      <c r="EGZ34" s="37"/>
      <c r="EHA34" s="37"/>
      <c r="EHB34" s="37"/>
      <c r="EHC34" s="37"/>
      <c r="EHD34" s="37"/>
      <c r="EHE34" s="37"/>
      <c r="EHF34" s="37"/>
      <c r="EHG34" s="37"/>
      <c r="EHH34" s="37"/>
      <c r="EHI34" s="37"/>
      <c r="EHJ34" s="37"/>
      <c r="EHK34" s="37"/>
      <c r="EHL34" s="37"/>
      <c r="EHM34" s="37"/>
      <c r="EHN34" s="37"/>
      <c r="EHO34" s="37"/>
      <c r="EHP34" s="37"/>
      <c r="EHQ34" s="37"/>
      <c r="EHR34" s="37"/>
      <c r="EHS34" s="37"/>
      <c r="EHT34" s="37"/>
      <c r="EHU34" s="37"/>
      <c r="EHV34" s="37"/>
      <c r="EHW34" s="37"/>
      <c r="EHX34" s="37"/>
      <c r="EHY34" s="37"/>
      <c r="EHZ34" s="37"/>
      <c r="EIA34" s="37"/>
      <c r="EIB34" s="37"/>
      <c r="EIC34" s="37"/>
      <c r="EID34" s="37"/>
      <c r="EIE34" s="37"/>
      <c r="EIF34" s="37"/>
      <c r="EIG34" s="37"/>
      <c r="EIH34" s="37"/>
      <c r="EII34" s="37"/>
      <c r="EIJ34" s="37"/>
      <c r="EIK34" s="37"/>
      <c r="EIL34" s="37"/>
      <c r="EIM34" s="37"/>
      <c r="EIN34" s="37"/>
      <c r="EIO34" s="37"/>
      <c r="EIP34" s="37"/>
      <c r="EIQ34" s="37"/>
      <c r="EIR34" s="37"/>
      <c r="EIS34" s="37"/>
      <c r="EIT34" s="37"/>
      <c r="EIU34" s="37"/>
      <c r="EIV34" s="37"/>
      <c r="EIW34" s="37"/>
      <c r="EIX34" s="37"/>
      <c r="EIY34" s="37"/>
      <c r="EIZ34" s="37"/>
      <c r="EJA34" s="37"/>
      <c r="EJB34" s="37"/>
      <c r="EJC34" s="37"/>
      <c r="EJD34" s="37"/>
      <c r="EJE34" s="37"/>
      <c r="EJF34" s="37"/>
      <c r="EJG34" s="37"/>
      <c r="EJH34" s="37"/>
      <c r="EJI34" s="37"/>
      <c r="EJJ34" s="37"/>
      <c r="EJK34" s="37"/>
      <c r="EJL34" s="37"/>
      <c r="EJM34" s="37"/>
      <c r="EJN34" s="37"/>
      <c r="EJO34" s="37"/>
      <c r="EJP34" s="37"/>
      <c r="EJQ34" s="37"/>
      <c r="EJR34" s="37"/>
      <c r="EJS34" s="37"/>
      <c r="EJT34" s="37"/>
      <c r="EJU34" s="37"/>
      <c r="EJV34" s="37"/>
      <c r="EJW34" s="37"/>
      <c r="EJX34" s="37"/>
      <c r="EJY34" s="37"/>
      <c r="EJZ34" s="37"/>
      <c r="EKA34" s="37"/>
      <c r="EKB34" s="37"/>
      <c r="EKC34" s="37"/>
      <c r="EKD34" s="37"/>
      <c r="EKE34" s="37"/>
      <c r="EKF34" s="37"/>
      <c r="EKG34" s="37"/>
      <c r="EKH34" s="37"/>
      <c r="EKI34" s="37"/>
      <c r="EKJ34" s="37"/>
      <c r="EKK34" s="37"/>
      <c r="EKL34" s="37"/>
      <c r="EKM34" s="37"/>
      <c r="EKN34" s="37"/>
      <c r="EKO34" s="37"/>
      <c r="EKP34" s="37"/>
      <c r="EKQ34" s="37"/>
      <c r="EKR34" s="37"/>
      <c r="EKS34" s="37"/>
      <c r="EKT34" s="37"/>
      <c r="EKU34" s="37"/>
      <c r="EKV34" s="37"/>
      <c r="EKW34" s="37"/>
      <c r="EKX34" s="37"/>
      <c r="EKY34" s="37"/>
      <c r="EKZ34" s="37"/>
      <c r="ELA34" s="37"/>
      <c r="ELB34" s="37"/>
      <c r="ELC34" s="37"/>
      <c r="ELD34" s="37"/>
      <c r="ELE34" s="37"/>
      <c r="ELF34" s="37"/>
      <c r="ELG34" s="37"/>
      <c r="ELH34" s="37"/>
      <c r="ELI34" s="37"/>
      <c r="ELJ34" s="37"/>
      <c r="ELK34" s="37"/>
      <c r="ELL34" s="37"/>
      <c r="ELM34" s="37"/>
      <c r="ELN34" s="37"/>
      <c r="ELO34" s="37"/>
      <c r="ELP34" s="37"/>
      <c r="ELQ34" s="37"/>
      <c r="ELR34" s="37"/>
      <c r="ELS34" s="37"/>
      <c r="ELT34" s="37"/>
      <c r="ELU34" s="37"/>
      <c r="ELV34" s="37"/>
      <c r="ELW34" s="37"/>
      <c r="ELX34" s="37"/>
      <c r="ELY34" s="37"/>
      <c r="ELZ34" s="37"/>
      <c r="EMA34" s="37"/>
      <c r="EMB34" s="37"/>
      <c r="EMC34" s="37"/>
      <c r="EMD34" s="37"/>
      <c r="EME34" s="37"/>
      <c r="EMF34" s="37"/>
      <c r="EMG34" s="37"/>
      <c r="EMH34" s="37"/>
      <c r="EMI34" s="37"/>
      <c r="EMJ34" s="37"/>
      <c r="EMK34" s="37"/>
      <c r="EML34" s="37"/>
      <c r="EMM34" s="37"/>
      <c r="EMN34" s="37"/>
      <c r="EMO34" s="37"/>
      <c r="EMP34" s="37"/>
      <c r="EMQ34" s="37"/>
      <c r="EMR34" s="37"/>
      <c r="EMS34" s="37"/>
      <c r="EMT34" s="37"/>
      <c r="EMU34" s="37"/>
      <c r="EMV34" s="37"/>
      <c r="EMW34" s="37"/>
      <c r="EMX34" s="37"/>
      <c r="EMY34" s="37"/>
      <c r="EMZ34" s="37"/>
      <c r="ENA34" s="37"/>
      <c r="ENB34" s="37"/>
      <c r="ENC34" s="37"/>
      <c r="END34" s="37"/>
      <c r="ENE34" s="37"/>
      <c r="ENF34" s="37"/>
      <c r="ENG34" s="37"/>
      <c r="ENH34" s="37"/>
      <c r="ENI34" s="37"/>
      <c r="ENJ34" s="37"/>
      <c r="ENK34" s="37"/>
      <c r="ENL34" s="37"/>
      <c r="ENM34" s="37"/>
      <c r="ENN34" s="37"/>
      <c r="ENO34" s="37"/>
      <c r="ENP34" s="37"/>
      <c r="ENQ34" s="37"/>
      <c r="ENR34" s="37"/>
      <c r="ENS34" s="37"/>
      <c r="ENT34" s="37"/>
      <c r="ENU34" s="37"/>
      <c r="ENV34" s="37"/>
      <c r="ENW34" s="37"/>
      <c r="ENX34" s="37"/>
      <c r="ENY34" s="37"/>
      <c r="ENZ34" s="37"/>
      <c r="EOA34" s="37"/>
      <c r="EOB34" s="37"/>
      <c r="EOC34" s="37"/>
      <c r="EOD34" s="37"/>
      <c r="EOE34" s="37"/>
      <c r="EOF34" s="37"/>
      <c r="EOG34" s="37"/>
      <c r="EOH34" s="37"/>
      <c r="EOI34" s="37"/>
      <c r="EOJ34" s="37"/>
      <c r="EOK34" s="37"/>
      <c r="EOL34" s="37"/>
      <c r="EOM34" s="37"/>
      <c r="EON34" s="37"/>
      <c r="EOO34" s="37"/>
      <c r="EOP34" s="37"/>
      <c r="EOQ34" s="37"/>
      <c r="EOR34" s="37"/>
      <c r="EOS34" s="37"/>
      <c r="EOT34" s="37"/>
      <c r="EOU34" s="37"/>
      <c r="EOV34" s="37"/>
      <c r="EOW34" s="37"/>
      <c r="EOX34" s="37"/>
      <c r="EOY34" s="37"/>
      <c r="EOZ34" s="37"/>
      <c r="EPA34" s="37"/>
      <c r="EPB34" s="37"/>
      <c r="EPC34" s="37"/>
      <c r="EPD34" s="37"/>
      <c r="EPE34" s="37"/>
      <c r="EPF34" s="37"/>
      <c r="EPG34" s="37"/>
      <c r="EPH34" s="37"/>
      <c r="EPI34" s="37"/>
      <c r="EPJ34" s="37"/>
      <c r="EPK34" s="37"/>
      <c r="EPL34" s="37"/>
      <c r="EPM34" s="37"/>
      <c r="EPN34" s="37"/>
      <c r="EPO34" s="37"/>
      <c r="EPP34" s="37"/>
      <c r="EPQ34" s="37"/>
      <c r="EPR34" s="37"/>
      <c r="EPS34" s="37"/>
      <c r="EPT34" s="37"/>
      <c r="EPU34" s="37"/>
      <c r="EPV34" s="37"/>
      <c r="EPW34" s="37"/>
      <c r="EPX34" s="37"/>
      <c r="EPY34" s="37"/>
      <c r="EPZ34" s="37"/>
      <c r="EQA34" s="37"/>
      <c r="EQB34" s="37"/>
      <c r="EQC34" s="37"/>
      <c r="EQD34" s="37"/>
      <c r="EQE34" s="37"/>
      <c r="EQF34" s="37"/>
      <c r="EQG34" s="37"/>
      <c r="EQH34" s="37"/>
      <c r="EQI34" s="37"/>
      <c r="EQJ34" s="37"/>
      <c r="EQK34" s="37"/>
      <c r="EQL34" s="37"/>
      <c r="EQM34" s="37"/>
      <c r="EQN34" s="37"/>
      <c r="EQO34" s="37"/>
      <c r="EQP34" s="37"/>
      <c r="EQQ34" s="37"/>
      <c r="EQR34" s="37"/>
      <c r="EQS34" s="37"/>
      <c r="EQT34" s="37"/>
      <c r="EQU34" s="37"/>
      <c r="EQV34" s="37"/>
      <c r="EQW34" s="37"/>
      <c r="EQX34" s="37"/>
      <c r="EQY34" s="37"/>
      <c r="EQZ34" s="37"/>
      <c r="ERA34" s="37"/>
      <c r="ERB34" s="37"/>
      <c r="ERC34" s="37"/>
      <c r="ERD34" s="37"/>
      <c r="ERE34" s="37"/>
      <c r="ERF34" s="37"/>
      <c r="ERG34" s="37"/>
      <c r="ERH34" s="37"/>
      <c r="ERI34" s="37"/>
      <c r="ERJ34" s="37"/>
      <c r="ERK34" s="37"/>
      <c r="ERL34" s="37"/>
      <c r="ERM34" s="37"/>
      <c r="ERN34" s="37"/>
      <c r="ERO34" s="37"/>
      <c r="ERP34" s="37"/>
      <c r="ERQ34" s="37"/>
      <c r="ERR34" s="37"/>
      <c r="ERS34" s="37"/>
      <c r="ERT34" s="37"/>
      <c r="ERU34" s="37"/>
      <c r="ERV34" s="37"/>
      <c r="ERW34" s="37"/>
      <c r="ERX34" s="37"/>
      <c r="ERY34" s="37"/>
      <c r="ERZ34" s="37"/>
      <c r="ESA34" s="37"/>
      <c r="ESB34" s="37"/>
      <c r="ESC34" s="37"/>
      <c r="ESD34" s="37"/>
      <c r="ESE34" s="37"/>
      <c r="ESF34" s="37"/>
      <c r="ESG34" s="37"/>
      <c r="ESH34" s="37"/>
      <c r="ESI34" s="37"/>
      <c r="ESJ34" s="37"/>
      <c r="ESK34" s="37"/>
      <c r="ESL34" s="37"/>
      <c r="ESM34" s="37"/>
      <c r="ESN34" s="37"/>
      <c r="ESO34" s="37"/>
      <c r="ESP34" s="37"/>
      <c r="ESQ34" s="37"/>
      <c r="ESR34" s="37"/>
      <c r="ESS34" s="37"/>
      <c r="EST34" s="37"/>
      <c r="ESU34" s="37"/>
      <c r="ESV34" s="37"/>
      <c r="ESW34" s="37"/>
      <c r="ESX34" s="37"/>
      <c r="ESY34" s="37"/>
      <c r="ESZ34" s="37"/>
      <c r="ETA34" s="37"/>
      <c r="ETB34" s="37"/>
      <c r="ETC34" s="37"/>
      <c r="ETD34" s="37"/>
      <c r="ETE34" s="37"/>
      <c r="ETF34" s="37"/>
      <c r="ETG34" s="37"/>
      <c r="ETH34" s="37"/>
      <c r="ETI34" s="37"/>
      <c r="ETJ34" s="37"/>
      <c r="ETK34" s="37"/>
      <c r="ETL34" s="37"/>
      <c r="ETM34" s="37"/>
      <c r="ETN34" s="37"/>
      <c r="ETO34" s="37"/>
      <c r="ETP34" s="37"/>
      <c r="ETQ34" s="37"/>
      <c r="ETR34" s="37"/>
      <c r="ETS34" s="37"/>
      <c r="ETT34" s="37"/>
      <c r="ETU34" s="37"/>
      <c r="ETV34" s="37"/>
      <c r="ETW34" s="37"/>
      <c r="ETX34" s="37"/>
      <c r="ETY34" s="37"/>
      <c r="ETZ34" s="37"/>
      <c r="EUA34" s="37"/>
      <c r="EUB34" s="37"/>
      <c r="EUC34" s="37"/>
      <c r="EUD34" s="37"/>
      <c r="EUE34" s="37"/>
      <c r="EUF34" s="37"/>
      <c r="EUG34" s="37"/>
      <c r="EUH34" s="37"/>
      <c r="EUI34" s="37"/>
      <c r="EUJ34" s="37"/>
      <c r="EUK34" s="37"/>
      <c r="EUL34" s="37"/>
      <c r="EUM34" s="37"/>
      <c r="EUN34" s="37"/>
      <c r="EUO34" s="37"/>
      <c r="EUP34" s="37"/>
      <c r="EUQ34" s="37"/>
      <c r="EUR34" s="37"/>
      <c r="EUS34" s="37"/>
      <c r="EUT34" s="37"/>
      <c r="EUU34" s="37"/>
      <c r="EUV34" s="37"/>
      <c r="EUW34" s="37"/>
      <c r="EUX34" s="37"/>
      <c r="EUY34" s="37"/>
      <c r="EUZ34" s="37"/>
      <c r="EVA34" s="37"/>
      <c r="EVB34" s="37"/>
      <c r="EVC34" s="37"/>
      <c r="EVD34" s="37"/>
      <c r="EVE34" s="37"/>
      <c r="EVF34" s="37"/>
      <c r="EVG34" s="37"/>
      <c r="EVH34" s="37"/>
      <c r="EVI34" s="37"/>
      <c r="EVJ34" s="37"/>
      <c r="EVK34" s="37"/>
      <c r="EVL34" s="37"/>
      <c r="EVM34" s="37"/>
      <c r="EVN34" s="37"/>
      <c r="EVO34" s="37"/>
      <c r="EVP34" s="37"/>
      <c r="EVQ34" s="37"/>
      <c r="EVR34" s="37"/>
      <c r="EVS34" s="37"/>
      <c r="EVT34" s="37"/>
      <c r="EVU34" s="37"/>
      <c r="EVV34" s="37"/>
      <c r="EVW34" s="37"/>
      <c r="EVX34" s="37"/>
      <c r="EVY34" s="37"/>
      <c r="EVZ34" s="37"/>
      <c r="EWA34" s="37"/>
      <c r="EWB34" s="37"/>
      <c r="EWC34" s="37"/>
      <c r="EWD34" s="37"/>
      <c r="EWE34" s="37"/>
      <c r="EWF34" s="37"/>
      <c r="EWG34" s="37"/>
      <c r="EWH34" s="37"/>
      <c r="EWI34" s="37"/>
      <c r="EWJ34" s="37"/>
      <c r="EWK34" s="37"/>
      <c r="EWL34" s="37"/>
      <c r="EWM34" s="37"/>
      <c r="EWN34" s="37"/>
      <c r="EWO34" s="37"/>
      <c r="EWP34" s="37"/>
      <c r="EWQ34" s="37"/>
      <c r="EWR34" s="37"/>
      <c r="EWS34" s="37"/>
      <c r="EWT34" s="37"/>
      <c r="EWU34" s="37"/>
      <c r="EWV34" s="37"/>
      <c r="EWW34" s="37"/>
      <c r="EWX34" s="37"/>
      <c r="EWY34" s="37"/>
      <c r="EWZ34" s="37"/>
      <c r="EXA34" s="37"/>
      <c r="EXB34" s="37"/>
      <c r="EXC34" s="37"/>
      <c r="EXD34" s="37"/>
      <c r="EXE34" s="37"/>
      <c r="EXF34" s="37"/>
      <c r="EXG34" s="37"/>
      <c r="EXH34" s="37"/>
      <c r="EXI34" s="37"/>
      <c r="EXJ34" s="37"/>
      <c r="EXK34" s="37"/>
      <c r="EXL34" s="37"/>
      <c r="EXM34" s="37"/>
      <c r="EXN34" s="37"/>
      <c r="EXO34" s="37"/>
      <c r="EXP34" s="37"/>
      <c r="EXQ34" s="37"/>
      <c r="EXR34" s="37"/>
      <c r="EXS34" s="37"/>
      <c r="EXT34" s="37"/>
      <c r="EXU34" s="37"/>
      <c r="EXV34" s="37"/>
      <c r="EXW34" s="37"/>
      <c r="EXX34" s="37"/>
      <c r="EXY34" s="37"/>
      <c r="EXZ34" s="37"/>
      <c r="EYA34" s="37"/>
      <c r="EYB34" s="37"/>
      <c r="EYC34" s="37"/>
      <c r="EYD34" s="37"/>
      <c r="EYE34" s="37"/>
      <c r="EYF34" s="37"/>
      <c r="EYG34" s="37"/>
      <c r="EYH34" s="37"/>
      <c r="EYI34" s="37"/>
      <c r="EYJ34" s="37"/>
      <c r="EYK34" s="37"/>
      <c r="EYL34" s="37"/>
      <c r="EYM34" s="37"/>
      <c r="EYN34" s="37"/>
      <c r="EYO34" s="37"/>
      <c r="EYP34" s="37"/>
      <c r="EYQ34" s="37"/>
      <c r="EYR34" s="37"/>
      <c r="EYS34" s="37"/>
      <c r="EYT34" s="37"/>
      <c r="EYU34" s="37"/>
      <c r="EYV34" s="37"/>
      <c r="EYW34" s="37"/>
      <c r="EYX34" s="37"/>
      <c r="EYY34" s="37"/>
      <c r="EYZ34" s="37"/>
      <c r="EZA34" s="37"/>
      <c r="EZB34" s="37"/>
      <c r="EZC34" s="37"/>
      <c r="EZD34" s="37"/>
      <c r="EZE34" s="37"/>
      <c r="EZF34" s="37"/>
      <c r="EZG34" s="37"/>
      <c r="EZH34" s="37"/>
      <c r="EZI34" s="37"/>
      <c r="EZJ34" s="37"/>
      <c r="EZK34" s="37"/>
      <c r="EZL34" s="37"/>
      <c r="EZM34" s="37"/>
      <c r="EZN34" s="37"/>
      <c r="EZO34" s="37"/>
      <c r="EZP34" s="37"/>
      <c r="EZQ34" s="37"/>
      <c r="EZR34" s="37"/>
      <c r="EZS34" s="37"/>
      <c r="EZT34" s="37"/>
      <c r="EZU34" s="37"/>
      <c r="EZV34" s="37"/>
      <c r="EZW34" s="37"/>
      <c r="EZX34" s="37"/>
      <c r="EZY34" s="37"/>
      <c r="EZZ34" s="37"/>
      <c r="FAA34" s="37"/>
      <c r="FAB34" s="37"/>
      <c r="FAC34" s="37"/>
      <c r="FAD34" s="37"/>
      <c r="FAE34" s="37"/>
      <c r="FAF34" s="37"/>
      <c r="FAG34" s="37"/>
      <c r="FAH34" s="37"/>
      <c r="FAI34" s="37"/>
      <c r="FAJ34" s="37"/>
      <c r="FAK34" s="37"/>
      <c r="FAL34" s="37"/>
      <c r="FAM34" s="37"/>
      <c r="FAN34" s="37"/>
      <c r="FAO34" s="37"/>
      <c r="FAP34" s="37"/>
      <c r="FAQ34" s="37"/>
      <c r="FAR34" s="37"/>
      <c r="FAS34" s="37"/>
      <c r="FAT34" s="37"/>
      <c r="FAU34" s="37"/>
      <c r="FAV34" s="37"/>
      <c r="FAW34" s="37"/>
      <c r="FAX34" s="37"/>
      <c r="FAY34" s="37"/>
      <c r="FAZ34" s="37"/>
      <c r="FBA34" s="37"/>
      <c r="FBB34" s="37"/>
      <c r="FBC34" s="37"/>
      <c r="FBD34" s="37"/>
      <c r="FBE34" s="37"/>
      <c r="FBF34" s="37"/>
      <c r="FBG34" s="37"/>
      <c r="FBH34" s="37"/>
      <c r="FBI34" s="37"/>
      <c r="FBJ34" s="37"/>
      <c r="FBK34" s="37"/>
      <c r="FBL34" s="37"/>
      <c r="FBM34" s="37"/>
      <c r="FBN34" s="37"/>
      <c r="FBO34" s="37"/>
      <c r="FBP34" s="37"/>
      <c r="FBQ34" s="37"/>
      <c r="FBR34" s="37"/>
      <c r="FBS34" s="37"/>
      <c r="FBT34" s="37"/>
      <c r="FBU34" s="37"/>
      <c r="FBV34" s="37"/>
      <c r="FBW34" s="37"/>
      <c r="FBX34" s="37"/>
      <c r="FBY34" s="37"/>
      <c r="FBZ34" s="37"/>
      <c r="FCA34" s="37"/>
      <c r="FCB34" s="37"/>
      <c r="FCC34" s="37"/>
      <c r="FCD34" s="37"/>
      <c r="FCE34" s="37"/>
      <c r="FCF34" s="37"/>
      <c r="FCG34" s="37"/>
      <c r="FCH34" s="37"/>
      <c r="FCI34" s="37"/>
      <c r="FCJ34" s="37"/>
      <c r="FCK34" s="37"/>
      <c r="FCL34" s="37"/>
      <c r="FCM34" s="37"/>
      <c r="FCN34" s="37"/>
      <c r="FCO34" s="37"/>
      <c r="FCP34" s="37"/>
      <c r="FCQ34" s="37"/>
      <c r="FCR34" s="37"/>
      <c r="FCS34" s="37"/>
      <c r="FCT34" s="37"/>
      <c r="FCU34" s="37"/>
      <c r="FCV34" s="37"/>
      <c r="FCW34" s="37"/>
      <c r="FCX34" s="37"/>
      <c r="FCY34" s="37"/>
      <c r="FCZ34" s="37"/>
      <c r="FDA34" s="37"/>
      <c r="FDB34" s="37"/>
      <c r="FDC34" s="37"/>
      <c r="FDD34" s="37"/>
      <c r="FDE34" s="37"/>
      <c r="FDF34" s="37"/>
      <c r="FDG34" s="37"/>
      <c r="FDH34" s="37"/>
      <c r="FDI34" s="37"/>
      <c r="FDJ34" s="37"/>
      <c r="FDK34" s="37"/>
      <c r="FDL34" s="37"/>
      <c r="FDM34" s="37"/>
      <c r="FDN34" s="37"/>
      <c r="FDO34" s="37"/>
      <c r="FDP34" s="37"/>
      <c r="FDQ34" s="37"/>
      <c r="FDR34" s="37"/>
      <c r="FDS34" s="37"/>
      <c r="FDT34" s="37"/>
      <c r="FDU34" s="37"/>
      <c r="FDV34" s="37"/>
      <c r="FDW34" s="37"/>
      <c r="FDX34" s="37"/>
      <c r="FDY34" s="37"/>
      <c r="FDZ34" s="37"/>
      <c r="FEA34" s="37"/>
      <c r="FEB34" s="37"/>
      <c r="FEC34" s="37"/>
      <c r="FED34" s="37"/>
      <c r="FEE34" s="37"/>
      <c r="FEF34" s="37"/>
      <c r="FEG34" s="37"/>
      <c r="FEH34" s="37"/>
      <c r="FEI34" s="37"/>
      <c r="FEJ34" s="37"/>
      <c r="FEK34" s="37"/>
      <c r="FEL34" s="37"/>
      <c r="FEM34" s="37"/>
      <c r="FEN34" s="37"/>
      <c r="FEO34" s="37"/>
      <c r="FEP34" s="37"/>
      <c r="FEQ34" s="37"/>
      <c r="FER34" s="37"/>
      <c r="FES34" s="37"/>
      <c r="FET34" s="37"/>
      <c r="FEU34" s="37"/>
      <c r="FEV34" s="37"/>
      <c r="FEW34" s="37"/>
      <c r="FEX34" s="37"/>
      <c r="FEY34" s="37"/>
      <c r="FEZ34" s="37"/>
      <c r="FFA34" s="37"/>
      <c r="FFB34" s="37"/>
      <c r="FFC34" s="37"/>
      <c r="FFD34" s="37"/>
      <c r="FFE34" s="37"/>
      <c r="FFF34" s="37"/>
      <c r="FFG34" s="37"/>
      <c r="FFH34" s="37"/>
      <c r="FFI34" s="37"/>
      <c r="FFJ34" s="37"/>
      <c r="FFK34" s="37"/>
      <c r="FFL34" s="37"/>
      <c r="FFM34" s="37"/>
      <c r="FFN34" s="37"/>
      <c r="FFO34" s="37"/>
      <c r="FFP34" s="37"/>
      <c r="FFQ34" s="37"/>
      <c r="FFR34" s="37"/>
      <c r="FFS34" s="37"/>
      <c r="FFT34" s="37"/>
      <c r="FFU34" s="37"/>
      <c r="FFV34" s="37"/>
      <c r="FFW34" s="37"/>
      <c r="FFX34" s="37"/>
      <c r="FFY34" s="37"/>
      <c r="FFZ34" s="37"/>
      <c r="FGA34" s="37"/>
      <c r="FGB34" s="37"/>
      <c r="FGC34" s="37"/>
      <c r="FGD34" s="37"/>
      <c r="FGE34" s="37"/>
      <c r="FGF34" s="37"/>
      <c r="FGG34" s="37"/>
      <c r="FGH34" s="37"/>
      <c r="FGI34" s="37"/>
      <c r="FGJ34" s="37"/>
      <c r="FGK34" s="37"/>
      <c r="FGL34" s="37"/>
      <c r="FGM34" s="37"/>
      <c r="FGN34" s="37"/>
      <c r="FGO34" s="37"/>
      <c r="FGP34" s="37"/>
      <c r="FGQ34" s="37"/>
      <c r="FGR34" s="37"/>
      <c r="FGS34" s="37"/>
      <c r="FGT34" s="37"/>
      <c r="FGU34" s="37"/>
      <c r="FGV34" s="37"/>
      <c r="FGW34" s="37"/>
      <c r="FGX34" s="37"/>
      <c r="FGY34" s="37"/>
      <c r="FGZ34" s="37"/>
      <c r="FHA34" s="37"/>
      <c r="FHB34" s="37"/>
      <c r="FHC34" s="37"/>
      <c r="FHD34" s="37"/>
      <c r="FHE34" s="37"/>
      <c r="FHF34" s="37"/>
      <c r="FHG34" s="37"/>
      <c r="FHH34" s="37"/>
      <c r="FHI34" s="37"/>
      <c r="FHJ34" s="37"/>
      <c r="FHK34" s="37"/>
      <c r="FHL34" s="37"/>
      <c r="FHM34" s="37"/>
      <c r="FHN34" s="37"/>
      <c r="FHO34" s="37"/>
      <c r="FHP34" s="37"/>
      <c r="FHQ34" s="37"/>
      <c r="FHR34" s="37"/>
      <c r="FHS34" s="37"/>
      <c r="FHT34" s="37"/>
      <c r="FHU34" s="37"/>
      <c r="FHV34" s="37"/>
      <c r="FHW34" s="37"/>
      <c r="FHX34" s="37"/>
      <c r="FHY34" s="37"/>
      <c r="FHZ34" s="37"/>
      <c r="FIA34" s="37"/>
      <c r="FIB34" s="37"/>
      <c r="FIC34" s="37"/>
      <c r="FID34" s="37"/>
      <c r="FIE34" s="37"/>
      <c r="FIF34" s="37"/>
      <c r="FIG34" s="37"/>
      <c r="FIH34" s="37"/>
      <c r="FII34" s="37"/>
      <c r="FIJ34" s="37"/>
      <c r="FIK34" s="37"/>
      <c r="FIL34" s="37"/>
      <c r="FIM34" s="37"/>
      <c r="FIN34" s="37"/>
      <c r="FIO34" s="37"/>
      <c r="FIP34" s="37"/>
      <c r="FIQ34" s="37"/>
      <c r="FIR34" s="37"/>
      <c r="FIS34" s="37"/>
      <c r="FIT34" s="37"/>
      <c r="FIU34" s="37"/>
      <c r="FIV34" s="37"/>
      <c r="FIW34" s="37"/>
      <c r="FIX34" s="37"/>
      <c r="FIY34" s="37"/>
      <c r="FIZ34" s="37"/>
      <c r="FJA34" s="37"/>
      <c r="FJB34" s="37"/>
      <c r="FJC34" s="37"/>
      <c r="FJD34" s="37"/>
      <c r="FJE34" s="37"/>
      <c r="FJF34" s="37"/>
      <c r="FJG34" s="37"/>
      <c r="FJH34" s="37"/>
      <c r="FJI34" s="37"/>
      <c r="FJJ34" s="37"/>
      <c r="FJK34" s="37"/>
      <c r="FJL34" s="37"/>
      <c r="FJM34" s="37"/>
      <c r="FJN34" s="37"/>
      <c r="FJO34" s="37"/>
      <c r="FJP34" s="37"/>
      <c r="FJQ34" s="37"/>
      <c r="FJR34" s="37"/>
      <c r="FJS34" s="37"/>
      <c r="FJT34" s="37"/>
      <c r="FJU34" s="37"/>
      <c r="FJV34" s="37"/>
      <c r="FJW34" s="37"/>
      <c r="FJX34" s="37"/>
      <c r="FJY34" s="37"/>
      <c r="FJZ34" s="37"/>
      <c r="FKA34" s="37"/>
      <c r="FKB34" s="37"/>
      <c r="FKC34" s="37"/>
      <c r="FKD34" s="37"/>
      <c r="FKE34" s="37"/>
      <c r="FKF34" s="37"/>
      <c r="FKG34" s="37"/>
      <c r="FKH34" s="37"/>
      <c r="FKI34" s="37"/>
      <c r="FKJ34" s="37"/>
      <c r="FKK34" s="37"/>
      <c r="FKL34" s="37"/>
      <c r="FKM34" s="37"/>
      <c r="FKN34" s="37"/>
      <c r="FKO34" s="37"/>
      <c r="FKP34" s="37"/>
      <c r="FKQ34" s="37"/>
      <c r="FKR34" s="37"/>
      <c r="FKS34" s="37"/>
      <c r="FKT34" s="37"/>
      <c r="FKU34" s="37"/>
      <c r="FKV34" s="37"/>
      <c r="FKW34" s="37"/>
      <c r="FKX34" s="37"/>
      <c r="FKY34" s="37"/>
      <c r="FKZ34" s="37"/>
      <c r="FLA34" s="37"/>
      <c r="FLB34" s="37"/>
      <c r="FLC34" s="37"/>
      <c r="FLD34" s="37"/>
      <c r="FLE34" s="37"/>
      <c r="FLF34" s="37"/>
      <c r="FLG34" s="37"/>
      <c r="FLH34" s="37"/>
      <c r="FLI34" s="37"/>
      <c r="FLJ34" s="37"/>
      <c r="FLK34" s="37"/>
      <c r="FLL34" s="37"/>
      <c r="FLM34" s="37"/>
      <c r="FLN34" s="37"/>
      <c r="FLO34" s="37"/>
      <c r="FLP34" s="37"/>
      <c r="FLQ34" s="37"/>
      <c r="FLR34" s="37"/>
      <c r="FLS34" s="37"/>
      <c r="FLT34" s="37"/>
      <c r="FLU34" s="37"/>
      <c r="FLV34" s="37"/>
      <c r="FLW34" s="37"/>
      <c r="FLX34" s="37"/>
      <c r="FLY34" s="37"/>
      <c r="FLZ34" s="37"/>
      <c r="FMA34" s="37"/>
      <c r="FMB34" s="37"/>
      <c r="FMC34" s="37"/>
      <c r="FMD34" s="37"/>
      <c r="FME34" s="37"/>
      <c r="FMF34" s="37"/>
      <c r="FMG34" s="37"/>
      <c r="FMH34" s="37"/>
      <c r="FMI34" s="37"/>
      <c r="FMJ34" s="37"/>
      <c r="FMK34" s="37"/>
      <c r="FML34" s="37"/>
      <c r="FMM34" s="37"/>
      <c r="FMN34" s="37"/>
      <c r="FMO34" s="37"/>
      <c r="FMP34" s="37"/>
      <c r="FMQ34" s="37"/>
      <c r="FMR34" s="37"/>
      <c r="FMS34" s="37"/>
      <c r="FMT34" s="37"/>
      <c r="FMU34" s="37"/>
      <c r="FMV34" s="37"/>
      <c r="FMW34" s="37"/>
      <c r="FMX34" s="37"/>
      <c r="FMY34" s="37"/>
      <c r="FMZ34" s="37"/>
      <c r="FNA34" s="37"/>
      <c r="FNB34" s="37"/>
      <c r="FNC34" s="37"/>
      <c r="FND34" s="37"/>
      <c r="FNE34" s="37"/>
      <c r="FNF34" s="37"/>
      <c r="FNG34" s="37"/>
      <c r="FNH34" s="37"/>
      <c r="FNI34" s="37"/>
      <c r="FNJ34" s="37"/>
      <c r="FNK34" s="37"/>
      <c r="FNL34" s="37"/>
      <c r="FNM34" s="37"/>
      <c r="FNN34" s="37"/>
      <c r="FNO34" s="37"/>
      <c r="FNP34" s="37"/>
      <c r="FNQ34" s="37"/>
      <c r="FNR34" s="37"/>
      <c r="FNS34" s="37"/>
      <c r="FNT34" s="37"/>
      <c r="FNU34" s="37"/>
      <c r="FNV34" s="37"/>
      <c r="FNW34" s="37"/>
      <c r="FNX34" s="37"/>
      <c r="FNY34" s="37"/>
      <c r="FNZ34" s="37"/>
      <c r="FOA34" s="37"/>
      <c r="FOB34" s="37"/>
      <c r="FOC34" s="37"/>
      <c r="FOD34" s="37"/>
      <c r="FOE34" s="37"/>
      <c r="FOF34" s="37"/>
      <c r="FOG34" s="37"/>
      <c r="FOH34" s="37"/>
      <c r="FOI34" s="37"/>
      <c r="FOJ34" s="37"/>
      <c r="FOK34" s="37"/>
      <c r="FOL34" s="37"/>
      <c r="FOM34" s="37"/>
      <c r="FON34" s="37"/>
      <c r="FOO34" s="37"/>
      <c r="FOP34" s="37"/>
      <c r="FOQ34" s="37"/>
      <c r="FOR34" s="37"/>
      <c r="FOS34" s="37"/>
      <c r="FOT34" s="37"/>
      <c r="FOU34" s="37"/>
      <c r="FOV34" s="37"/>
      <c r="FOW34" s="37"/>
      <c r="FOX34" s="37"/>
      <c r="FOY34" s="37"/>
      <c r="FOZ34" s="37"/>
      <c r="FPA34" s="37"/>
      <c r="FPB34" s="37"/>
      <c r="FPC34" s="37"/>
      <c r="FPD34" s="37"/>
      <c r="FPE34" s="37"/>
      <c r="FPF34" s="37"/>
      <c r="FPG34" s="37"/>
      <c r="FPH34" s="37"/>
      <c r="FPI34" s="37"/>
      <c r="FPJ34" s="37"/>
      <c r="FPK34" s="37"/>
      <c r="FPL34" s="37"/>
      <c r="FPM34" s="37"/>
      <c r="FPN34" s="37"/>
      <c r="FPO34" s="37"/>
      <c r="FPP34" s="37"/>
      <c r="FPQ34" s="37"/>
      <c r="FPR34" s="37"/>
      <c r="FPS34" s="37"/>
      <c r="FPT34" s="37"/>
      <c r="FPU34" s="37"/>
      <c r="FPV34" s="37"/>
      <c r="FPW34" s="37"/>
      <c r="FPX34" s="37"/>
      <c r="FPY34" s="37"/>
      <c r="FPZ34" s="37"/>
      <c r="FQA34" s="37"/>
      <c r="FQB34" s="37"/>
      <c r="FQC34" s="37"/>
      <c r="FQD34" s="37"/>
      <c r="FQE34" s="37"/>
      <c r="FQF34" s="37"/>
      <c r="FQG34" s="37"/>
      <c r="FQH34" s="37"/>
      <c r="FQI34" s="37"/>
      <c r="FQJ34" s="37"/>
      <c r="FQK34" s="37"/>
      <c r="FQL34" s="37"/>
      <c r="FQM34" s="37"/>
      <c r="FQN34" s="37"/>
      <c r="FQO34" s="37"/>
      <c r="FQP34" s="37"/>
      <c r="FQQ34" s="37"/>
      <c r="FQR34" s="37"/>
      <c r="FQS34" s="37"/>
      <c r="FQT34" s="37"/>
      <c r="FQU34" s="37"/>
      <c r="FQV34" s="37"/>
      <c r="FQW34" s="37"/>
      <c r="FQX34" s="37"/>
      <c r="FQY34" s="37"/>
      <c r="FQZ34" s="37"/>
      <c r="FRA34" s="37"/>
      <c r="FRB34" s="37"/>
      <c r="FRC34" s="37"/>
      <c r="FRD34" s="37"/>
      <c r="FRE34" s="37"/>
      <c r="FRF34" s="37"/>
      <c r="FRG34" s="37"/>
      <c r="FRH34" s="37"/>
      <c r="FRI34" s="37"/>
      <c r="FRJ34" s="37"/>
      <c r="FRK34" s="37"/>
      <c r="FRL34" s="37"/>
      <c r="FRM34" s="37"/>
      <c r="FRN34" s="37"/>
      <c r="FRO34" s="37"/>
      <c r="FRP34" s="37"/>
      <c r="FRQ34" s="37"/>
      <c r="FRR34" s="37"/>
      <c r="FRS34" s="37"/>
      <c r="FRT34" s="37"/>
      <c r="FRU34" s="37"/>
      <c r="FRV34" s="37"/>
      <c r="FRW34" s="37"/>
      <c r="FRX34" s="37"/>
      <c r="FRY34" s="37"/>
      <c r="FRZ34" s="37"/>
      <c r="FSA34" s="37"/>
      <c r="FSB34" s="37"/>
      <c r="FSC34" s="37"/>
      <c r="FSD34" s="37"/>
      <c r="FSE34" s="37"/>
      <c r="FSF34" s="37"/>
      <c r="FSG34" s="37"/>
      <c r="FSH34" s="37"/>
      <c r="FSI34" s="37"/>
      <c r="FSJ34" s="37"/>
      <c r="FSK34" s="37"/>
      <c r="FSL34" s="37"/>
      <c r="FSM34" s="37"/>
      <c r="FSN34" s="37"/>
      <c r="FSO34" s="37"/>
      <c r="FSP34" s="37"/>
      <c r="FSQ34" s="37"/>
      <c r="FSR34" s="37"/>
      <c r="FSS34" s="37"/>
      <c r="FST34" s="37"/>
      <c r="FSU34" s="37"/>
      <c r="FSV34" s="37"/>
      <c r="FSW34" s="37"/>
      <c r="FSX34" s="37"/>
      <c r="FSY34" s="37"/>
      <c r="FSZ34" s="37"/>
      <c r="FTA34" s="37"/>
      <c r="FTB34" s="37"/>
      <c r="FTC34" s="37"/>
      <c r="FTD34" s="37"/>
      <c r="FTE34" s="37"/>
      <c r="FTF34" s="37"/>
      <c r="FTG34" s="37"/>
      <c r="FTH34" s="37"/>
      <c r="FTI34" s="37"/>
      <c r="FTJ34" s="37"/>
      <c r="FTK34" s="37"/>
      <c r="FTL34" s="37"/>
      <c r="FTM34" s="37"/>
      <c r="FTN34" s="37"/>
      <c r="FTO34" s="37"/>
      <c r="FTP34" s="37"/>
      <c r="FTQ34" s="37"/>
      <c r="FTR34" s="37"/>
      <c r="FTS34" s="37"/>
      <c r="FTT34" s="37"/>
      <c r="FTU34" s="37"/>
      <c r="FTV34" s="37"/>
      <c r="FTW34" s="37"/>
      <c r="FTX34" s="37"/>
      <c r="FTY34" s="37"/>
      <c r="FTZ34" s="37"/>
      <c r="FUA34" s="37"/>
      <c r="FUB34" s="37"/>
      <c r="FUC34" s="37"/>
      <c r="FUD34" s="37"/>
      <c r="FUE34" s="37"/>
      <c r="FUF34" s="37"/>
      <c r="FUG34" s="37"/>
      <c r="FUH34" s="37"/>
      <c r="FUI34" s="37"/>
      <c r="FUJ34" s="37"/>
      <c r="FUK34" s="37"/>
      <c r="FUL34" s="37"/>
      <c r="FUM34" s="37"/>
      <c r="FUN34" s="37"/>
      <c r="FUO34" s="37"/>
      <c r="FUP34" s="37"/>
      <c r="FUQ34" s="37"/>
      <c r="FUR34" s="37"/>
      <c r="FUS34" s="37"/>
      <c r="FUT34" s="37"/>
      <c r="FUU34" s="37"/>
      <c r="FUV34" s="37"/>
      <c r="FUW34" s="37"/>
      <c r="FUX34" s="37"/>
      <c r="FUY34" s="37"/>
      <c r="FUZ34" s="37"/>
      <c r="FVA34" s="37"/>
      <c r="FVB34" s="37"/>
      <c r="FVC34" s="37"/>
      <c r="FVD34" s="37"/>
      <c r="FVE34" s="37"/>
      <c r="FVF34" s="37"/>
      <c r="FVG34" s="37"/>
      <c r="FVH34" s="37"/>
      <c r="FVI34" s="37"/>
      <c r="FVJ34" s="37"/>
      <c r="FVK34" s="37"/>
      <c r="FVL34" s="37"/>
      <c r="FVM34" s="37"/>
      <c r="FVN34" s="37"/>
      <c r="FVO34" s="37"/>
      <c r="FVP34" s="37"/>
      <c r="FVQ34" s="37"/>
      <c r="FVR34" s="37"/>
      <c r="FVS34" s="37"/>
      <c r="FVT34" s="37"/>
      <c r="FVU34" s="37"/>
      <c r="FVV34" s="37"/>
      <c r="FVW34" s="37"/>
      <c r="FVX34" s="37"/>
      <c r="FVY34" s="37"/>
      <c r="FVZ34" s="37"/>
      <c r="FWA34" s="37"/>
      <c r="FWB34" s="37"/>
      <c r="FWC34" s="37"/>
      <c r="FWD34" s="37"/>
      <c r="FWE34" s="37"/>
      <c r="FWF34" s="37"/>
      <c r="FWG34" s="37"/>
      <c r="FWH34" s="37"/>
      <c r="FWI34" s="37"/>
      <c r="FWJ34" s="37"/>
      <c r="FWK34" s="37"/>
      <c r="FWL34" s="37"/>
      <c r="FWM34" s="37"/>
      <c r="FWN34" s="37"/>
      <c r="FWO34" s="37"/>
      <c r="FWP34" s="37"/>
      <c r="FWQ34" s="37"/>
      <c r="FWR34" s="37"/>
      <c r="FWS34" s="37"/>
      <c r="FWT34" s="37"/>
      <c r="FWU34" s="37"/>
      <c r="FWV34" s="37"/>
      <c r="FWW34" s="37"/>
      <c r="FWX34" s="37"/>
      <c r="FWY34" s="37"/>
      <c r="FWZ34" s="37"/>
      <c r="FXA34" s="37"/>
      <c r="FXB34" s="37"/>
      <c r="FXC34" s="37"/>
      <c r="FXD34" s="37"/>
      <c r="FXE34" s="37"/>
      <c r="FXF34" s="37"/>
      <c r="FXG34" s="37"/>
      <c r="FXH34" s="37"/>
      <c r="FXI34" s="37"/>
      <c r="FXJ34" s="37"/>
      <c r="FXK34" s="37"/>
      <c r="FXL34" s="37"/>
      <c r="FXM34" s="37"/>
      <c r="FXN34" s="37"/>
      <c r="FXO34" s="37"/>
      <c r="FXP34" s="37"/>
      <c r="FXQ34" s="37"/>
      <c r="FXR34" s="37"/>
      <c r="FXS34" s="37"/>
      <c r="FXT34" s="37"/>
      <c r="FXU34" s="37"/>
      <c r="FXV34" s="37"/>
      <c r="FXW34" s="37"/>
      <c r="FXX34" s="37"/>
      <c r="FXY34" s="37"/>
      <c r="FXZ34" s="37"/>
      <c r="FYA34" s="37"/>
      <c r="FYB34" s="37"/>
      <c r="FYC34" s="37"/>
      <c r="FYD34" s="37"/>
      <c r="FYE34" s="37"/>
      <c r="FYF34" s="37"/>
      <c r="FYG34" s="37"/>
      <c r="FYH34" s="37"/>
      <c r="FYI34" s="37"/>
      <c r="FYJ34" s="37"/>
      <c r="FYK34" s="37"/>
      <c r="FYL34" s="37"/>
      <c r="FYM34" s="37"/>
      <c r="FYN34" s="37"/>
      <c r="FYO34" s="37"/>
      <c r="FYP34" s="37"/>
      <c r="FYQ34" s="37"/>
      <c r="FYR34" s="37"/>
      <c r="FYS34" s="37"/>
      <c r="FYT34" s="37"/>
      <c r="FYU34" s="37"/>
      <c r="FYV34" s="37"/>
      <c r="FYW34" s="37"/>
      <c r="FYX34" s="37"/>
      <c r="FYY34" s="37"/>
      <c r="FYZ34" s="37"/>
      <c r="FZA34" s="37"/>
      <c r="FZB34" s="37"/>
      <c r="FZC34" s="37"/>
      <c r="FZD34" s="37"/>
      <c r="FZE34" s="37"/>
      <c r="FZF34" s="37"/>
      <c r="FZG34" s="37"/>
      <c r="FZH34" s="37"/>
      <c r="FZI34" s="37"/>
      <c r="FZJ34" s="37"/>
      <c r="FZK34" s="37"/>
      <c r="FZL34" s="37"/>
      <c r="FZM34" s="37"/>
      <c r="FZN34" s="37"/>
      <c r="FZO34" s="37"/>
      <c r="FZP34" s="37"/>
      <c r="FZQ34" s="37"/>
      <c r="FZR34" s="37"/>
      <c r="FZS34" s="37"/>
      <c r="FZT34" s="37"/>
      <c r="FZU34" s="37"/>
      <c r="FZV34" s="37"/>
      <c r="FZW34" s="37"/>
      <c r="FZX34" s="37"/>
      <c r="FZY34" s="37"/>
      <c r="FZZ34" s="37"/>
      <c r="GAA34" s="37"/>
      <c r="GAB34" s="37"/>
      <c r="GAC34" s="37"/>
      <c r="GAD34" s="37"/>
      <c r="GAE34" s="37"/>
      <c r="GAF34" s="37"/>
      <c r="GAG34" s="37"/>
      <c r="GAH34" s="37"/>
      <c r="GAI34" s="37"/>
      <c r="GAJ34" s="37"/>
      <c r="GAK34" s="37"/>
      <c r="GAL34" s="37"/>
      <c r="GAM34" s="37"/>
      <c r="GAN34" s="37"/>
      <c r="GAO34" s="37"/>
      <c r="GAP34" s="37"/>
      <c r="GAQ34" s="37"/>
      <c r="GAR34" s="37"/>
      <c r="GAS34" s="37"/>
      <c r="GAT34" s="37"/>
      <c r="GAU34" s="37"/>
      <c r="GAV34" s="37"/>
      <c r="GAW34" s="37"/>
      <c r="GAX34" s="37"/>
      <c r="GAY34" s="37"/>
      <c r="GAZ34" s="37"/>
      <c r="GBA34" s="37"/>
      <c r="GBB34" s="37"/>
      <c r="GBC34" s="37"/>
      <c r="GBD34" s="37"/>
      <c r="GBE34" s="37"/>
      <c r="GBF34" s="37"/>
      <c r="GBG34" s="37"/>
      <c r="GBH34" s="37"/>
      <c r="GBI34" s="37"/>
      <c r="GBJ34" s="37"/>
      <c r="GBK34" s="37"/>
      <c r="GBL34" s="37"/>
      <c r="GBM34" s="37"/>
      <c r="GBN34" s="37"/>
      <c r="GBO34" s="37"/>
      <c r="GBP34" s="37"/>
      <c r="GBQ34" s="37"/>
      <c r="GBR34" s="37"/>
      <c r="GBS34" s="37"/>
      <c r="GBT34" s="37"/>
      <c r="GBU34" s="37"/>
      <c r="GBV34" s="37"/>
      <c r="GBW34" s="37"/>
      <c r="GBX34" s="37"/>
      <c r="GBY34" s="37"/>
      <c r="GBZ34" s="37"/>
      <c r="GCA34" s="37"/>
      <c r="GCB34" s="37"/>
      <c r="GCC34" s="37"/>
      <c r="GCD34" s="37"/>
      <c r="GCE34" s="37"/>
      <c r="GCF34" s="37"/>
      <c r="GCG34" s="37"/>
      <c r="GCH34" s="37"/>
      <c r="GCI34" s="37"/>
      <c r="GCJ34" s="37"/>
      <c r="GCK34" s="37"/>
      <c r="GCL34" s="37"/>
      <c r="GCM34" s="37"/>
      <c r="GCN34" s="37"/>
      <c r="GCO34" s="37"/>
      <c r="GCP34" s="37"/>
      <c r="GCQ34" s="37"/>
      <c r="GCR34" s="37"/>
      <c r="GCS34" s="37"/>
      <c r="GCT34" s="37"/>
      <c r="GCU34" s="37"/>
      <c r="GCV34" s="37"/>
      <c r="GCW34" s="37"/>
      <c r="GCX34" s="37"/>
      <c r="GCY34" s="37"/>
      <c r="GCZ34" s="37"/>
      <c r="GDA34" s="37"/>
      <c r="GDB34" s="37"/>
      <c r="GDC34" s="37"/>
      <c r="GDD34" s="37"/>
      <c r="GDE34" s="37"/>
      <c r="GDF34" s="37"/>
      <c r="GDG34" s="37"/>
      <c r="GDH34" s="37"/>
      <c r="GDI34" s="37"/>
      <c r="GDJ34" s="37"/>
      <c r="GDK34" s="37"/>
      <c r="GDL34" s="37"/>
      <c r="GDM34" s="37"/>
      <c r="GDN34" s="37"/>
      <c r="GDO34" s="37"/>
      <c r="GDP34" s="37"/>
      <c r="GDQ34" s="37"/>
      <c r="GDR34" s="37"/>
      <c r="GDS34" s="37"/>
      <c r="GDT34" s="37"/>
      <c r="GDU34" s="37"/>
      <c r="GDV34" s="37"/>
      <c r="GDW34" s="37"/>
      <c r="GDX34" s="37"/>
      <c r="GDY34" s="37"/>
      <c r="GDZ34" s="37"/>
      <c r="GEA34" s="37"/>
      <c r="GEB34" s="37"/>
      <c r="GEC34" s="37"/>
      <c r="GED34" s="37"/>
      <c r="GEE34" s="37"/>
      <c r="GEF34" s="37"/>
      <c r="GEG34" s="37"/>
      <c r="GEH34" s="37"/>
      <c r="GEI34" s="37"/>
      <c r="GEJ34" s="37"/>
      <c r="GEK34" s="37"/>
      <c r="GEL34" s="37"/>
      <c r="GEM34" s="37"/>
      <c r="GEN34" s="37"/>
      <c r="GEO34" s="37"/>
      <c r="GEP34" s="37"/>
      <c r="GEQ34" s="37"/>
      <c r="GER34" s="37"/>
      <c r="GES34" s="37"/>
      <c r="GET34" s="37"/>
      <c r="GEU34" s="37"/>
      <c r="GEV34" s="37"/>
      <c r="GEW34" s="37"/>
      <c r="GEX34" s="37"/>
      <c r="GEY34" s="37"/>
      <c r="GEZ34" s="37"/>
      <c r="GFA34" s="37"/>
      <c r="GFB34" s="37"/>
      <c r="GFC34" s="37"/>
      <c r="GFD34" s="37"/>
      <c r="GFE34" s="37"/>
      <c r="GFF34" s="37"/>
      <c r="GFG34" s="37"/>
      <c r="GFH34" s="37"/>
      <c r="GFI34" s="37"/>
      <c r="GFJ34" s="37"/>
      <c r="GFK34" s="37"/>
      <c r="GFL34" s="37"/>
      <c r="GFM34" s="37"/>
      <c r="GFN34" s="37"/>
      <c r="GFO34" s="37"/>
      <c r="GFP34" s="37"/>
      <c r="GFQ34" s="37"/>
      <c r="GFR34" s="37"/>
      <c r="GFS34" s="37"/>
      <c r="GFT34" s="37"/>
      <c r="GFU34" s="37"/>
      <c r="GFV34" s="37"/>
      <c r="GFW34" s="37"/>
      <c r="GFX34" s="37"/>
      <c r="GFY34" s="37"/>
      <c r="GFZ34" s="37"/>
      <c r="GGA34" s="37"/>
      <c r="GGB34" s="37"/>
      <c r="GGC34" s="37"/>
      <c r="GGD34" s="37"/>
      <c r="GGE34" s="37"/>
      <c r="GGF34" s="37"/>
      <c r="GGG34" s="37"/>
      <c r="GGH34" s="37"/>
      <c r="GGI34" s="37"/>
      <c r="GGJ34" s="37"/>
      <c r="GGK34" s="37"/>
      <c r="GGL34" s="37"/>
      <c r="GGM34" s="37"/>
      <c r="GGN34" s="37"/>
      <c r="GGO34" s="37"/>
      <c r="GGP34" s="37"/>
      <c r="GGQ34" s="37"/>
      <c r="GGR34" s="37"/>
      <c r="GGS34" s="37"/>
      <c r="GGT34" s="37"/>
      <c r="GGU34" s="37"/>
      <c r="GGV34" s="37"/>
      <c r="GGW34" s="37"/>
      <c r="GGX34" s="37"/>
      <c r="GGY34" s="37"/>
      <c r="GGZ34" s="37"/>
      <c r="GHA34" s="37"/>
      <c r="GHB34" s="37"/>
      <c r="GHC34" s="37"/>
      <c r="GHD34" s="37"/>
      <c r="GHE34" s="37"/>
      <c r="GHF34" s="37"/>
      <c r="GHG34" s="37"/>
      <c r="GHH34" s="37"/>
      <c r="GHI34" s="37"/>
      <c r="GHJ34" s="37"/>
      <c r="GHK34" s="37"/>
      <c r="GHL34" s="37"/>
      <c r="GHM34" s="37"/>
      <c r="GHN34" s="37"/>
      <c r="GHO34" s="37"/>
      <c r="GHP34" s="37"/>
      <c r="GHQ34" s="37"/>
      <c r="GHR34" s="37"/>
      <c r="GHS34" s="37"/>
      <c r="GHT34" s="37"/>
      <c r="GHU34" s="37"/>
      <c r="GHV34" s="37"/>
      <c r="GHW34" s="37"/>
      <c r="GHX34" s="37"/>
      <c r="GHY34" s="37"/>
      <c r="GHZ34" s="37"/>
      <c r="GIA34" s="37"/>
      <c r="GIB34" s="37"/>
      <c r="GIC34" s="37"/>
      <c r="GID34" s="37"/>
      <c r="GIE34" s="37"/>
      <c r="GIF34" s="37"/>
      <c r="GIG34" s="37"/>
      <c r="GIH34" s="37"/>
      <c r="GII34" s="37"/>
      <c r="GIJ34" s="37"/>
      <c r="GIK34" s="37"/>
      <c r="GIL34" s="37"/>
      <c r="GIM34" s="37"/>
      <c r="GIN34" s="37"/>
      <c r="GIO34" s="37"/>
      <c r="GIP34" s="37"/>
      <c r="GIQ34" s="37"/>
      <c r="GIR34" s="37"/>
      <c r="GIS34" s="37"/>
      <c r="GIT34" s="37"/>
      <c r="GIU34" s="37"/>
      <c r="GIV34" s="37"/>
      <c r="GIW34" s="37"/>
      <c r="GIX34" s="37"/>
      <c r="GIY34" s="37"/>
      <c r="GIZ34" s="37"/>
      <c r="GJA34" s="37"/>
      <c r="GJB34" s="37"/>
      <c r="GJC34" s="37"/>
      <c r="GJD34" s="37"/>
      <c r="GJE34" s="37"/>
      <c r="GJF34" s="37"/>
      <c r="GJG34" s="37"/>
      <c r="GJH34" s="37"/>
      <c r="GJI34" s="37"/>
      <c r="GJJ34" s="37"/>
      <c r="GJK34" s="37"/>
      <c r="GJL34" s="37"/>
      <c r="GJM34" s="37"/>
      <c r="GJN34" s="37"/>
      <c r="GJO34" s="37"/>
      <c r="GJP34" s="37"/>
      <c r="GJQ34" s="37"/>
      <c r="GJR34" s="37"/>
      <c r="GJS34" s="37"/>
      <c r="GJT34" s="37"/>
      <c r="GJU34" s="37"/>
      <c r="GJV34" s="37"/>
      <c r="GJW34" s="37"/>
      <c r="GJX34" s="37"/>
      <c r="GJY34" s="37"/>
      <c r="GJZ34" s="37"/>
      <c r="GKA34" s="37"/>
      <c r="GKB34" s="37"/>
      <c r="GKC34" s="37"/>
      <c r="GKD34" s="37"/>
      <c r="GKE34" s="37"/>
      <c r="GKF34" s="37"/>
      <c r="GKG34" s="37"/>
      <c r="GKH34" s="37"/>
      <c r="GKI34" s="37"/>
      <c r="GKJ34" s="37"/>
      <c r="GKK34" s="37"/>
      <c r="GKL34" s="37"/>
      <c r="GKM34" s="37"/>
      <c r="GKN34" s="37"/>
      <c r="GKO34" s="37"/>
      <c r="GKP34" s="37"/>
      <c r="GKQ34" s="37"/>
      <c r="GKR34" s="37"/>
      <c r="GKS34" s="37"/>
      <c r="GKT34" s="37"/>
      <c r="GKU34" s="37"/>
      <c r="GKV34" s="37"/>
      <c r="GKW34" s="37"/>
      <c r="GKX34" s="37"/>
      <c r="GKY34" s="37"/>
      <c r="GKZ34" s="37"/>
      <c r="GLA34" s="37"/>
      <c r="GLB34" s="37"/>
      <c r="GLC34" s="37"/>
      <c r="GLD34" s="37"/>
      <c r="GLE34" s="37"/>
      <c r="GLF34" s="37"/>
      <c r="GLG34" s="37"/>
      <c r="GLH34" s="37"/>
      <c r="GLI34" s="37"/>
      <c r="GLJ34" s="37"/>
      <c r="GLK34" s="37"/>
      <c r="GLL34" s="37"/>
      <c r="GLM34" s="37"/>
      <c r="GLN34" s="37"/>
      <c r="GLO34" s="37"/>
      <c r="GLP34" s="37"/>
      <c r="GLQ34" s="37"/>
      <c r="GLR34" s="37"/>
      <c r="GLS34" s="37"/>
      <c r="GLT34" s="37"/>
      <c r="GLU34" s="37"/>
      <c r="GLV34" s="37"/>
      <c r="GLW34" s="37"/>
      <c r="GLX34" s="37"/>
      <c r="GLY34" s="37"/>
      <c r="GLZ34" s="37"/>
      <c r="GMA34" s="37"/>
      <c r="GMB34" s="37"/>
      <c r="GMC34" s="37"/>
      <c r="GMD34" s="37"/>
      <c r="GME34" s="37"/>
      <c r="GMF34" s="37"/>
      <c r="GMG34" s="37"/>
      <c r="GMH34" s="37"/>
      <c r="GMI34" s="37"/>
      <c r="GMJ34" s="37"/>
      <c r="GMK34" s="37"/>
      <c r="GML34" s="37"/>
      <c r="GMM34" s="37"/>
      <c r="GMN34" s="37"/>
      <c r="GMO34" s="37"/>
      <c r="GMP34" s="37"/>
      <c r="GMQ34" s="37"/>
      <c r="GMR34" s="37"/>
      <c r="GMS34" s="37"/>
      <c r="GMT34" s="37"/>
      <c r="GMU34" s="37"/>
      <c r="GMV34" s="37"/>
      <c r="GMW34" s="37"/>
      <c r="GMX34" s="37"/>
      <c r="GMY34" s="37"/>
      <c r="GMZ34" s="37"/>
      <c r="GNA34" s="37"/>
      <c r="GNB34" s="37"/>
      <c r="GNC34" s="37"/>
      <c r="GND34" s="37"/>
      <c r="GNE34" s="37"/>
      <c r="GNF34" s="37"/>
      <c r="GNG34" s="37"/>
      <c r="GNH34" s="37"/>
      <c r="GNI34" s="37"/>
      <c r="GNJ34" s="37"/>
      <c r="GNK34" s="37"/>
      <c r="GNL34" s="37"/>
      <c r="GNM34" s="37"/>
      <c r="GNN34" s="37"/>
      <c r="GNO34" s="37"/>
      <c r="GNP34" s="37"/>
      <c r="GNQ34" s="37"/>
      <c r="GNR34" s="37"/>
      <c r="GNS34" s="37"/>
      <c r="GNT34" s="37"/>
      <c r="GNU34" s="37"/>
      <c r="GNV34" s="37"/>
      <c r="GNW34" s="37"/>
      <c r="GNX34" s="37"/>
      <c r="GNY34" s="37"/>
      <c r="GNZ34" s="37"/>
      <c r="GOA34" s="37"/>
      <c r="GOB34" s="37"/>
      <c r="GOC34" s="37"/>
      <c r="GOD34" s="37"/>
      <c r="GOE34" s="37"/>
      <c r="GOF34" s="37"/>
      <c r="GOG34" s="37"/>
      <c r="GOH34" s="37"/>
      <c r="GOI34" s="37"/>
      <c r="GOJ34" s="37"/>
      <c r="GOK34" s="37"/>
      <c r="GOL34" s="37"/>
      <c r="GOM34" s="37"/>
      <c r="GON34" s="37"/>
      <c r="GOO34" s="37"/>
      <c r="GOP34" s="37"/>
      <c r="GOQ34" s="37"/>
      <c r="GOR34" s="37"/>
      <c r="GOS34" s="37"/>
      <c r="GOT34" s="37"/>
      <c r="GOU34" s="37"/>
      <c r="GOV34" s="37"/>
      <c r="GOW34" s="37"/>
      <c r="GOX34" s="37"/>
      <c r="GOY34" s="37"/>
      <c r="GOZ34" s="37"/>
      <c r="GPA34" s="37"/>
      <c r="GPB34" s="37"/>
      <c r="GPC34" s="37"/>
      <c r="GPD34" s="37"/>
      <c r="GPE34" s="37"/>
      <c r="GPF34" s="37"/>
      <c r="GPG34" s="37"/>
      <c r="GPH34" s="37"/>
      <c r="GPI34" s="37"/>
      <c r="GPJ34" s="37"/>
      <c r="GPK34" s="37"/>
      <c r="GPL34" s="37"/>
      <c r="GPM34" s="37"/>
      <c r="GPN34" s="37"/>
      <c r="GPO34" s="37"/>
      <c r="GPP34" s="37"/>
      <c r="GPQ34" s="37"/>
      <c r="GPR34" s="37"/>
      <c r="GPS34" s="37"/>
      <c r="GPT34" s="37"/>
      <c r="GPU34" s="37"/>
      <c r="GPV34" s="37"/>
      <c r="GPW34" s="37"/>
      <c r="GPX34" s="37"/>
      <c r="GPY34" s="37"/>
      <c r="GPZ34" s="37"/>
      <c r="GQA34" s="37"/>
      <c r="GQB34" s="37"/>
      <c r="GQC34" s="37"/>
      <c r="GQD34" s="37"/>
      <c r="GQE34" s="37"/>
      <c r="GQF34" s="37"/>
      <c r="GQG34" s="37"/>
      <c r="GQH34" s="37"/>
      <c r="GQI34" s="37"/>
      <c r="GQJ34" s="37"/>
      <c r="GQK34" s="37"/>
      <c r="GQL34" s="37"/>
      <c r="GQM34" s="37"/>
      <c r="GQN34" s="37"/>
      <c r="GQO34" s="37"/>
      <c r="GQP34" s="37"/>
      <c r="GQQ34" s="37"/>
      <c r="GQR34" s="37"/>
      <c r="GQS34" s="37"/>
      <c r="GQT34" s="37"/>
      <c r="GQU34" s="37"/>
      <c r="GQV34" s="37"/>
      <c r="GQW34" s="37"/>
      <c r="GQX34" s="37"/>
      <c r="GQY34" s="37"/>
      <c r="GQZ34" s="37"/>
      <c r="GRA34" s="37"/>
      <c r="GRB34" s="37"/>
      <c r="GRC34" s="37"/>
      <c r="GRD34" s="37"/>
      <c r="GRE34" s="37"/>
      <c r="GRF34" s="37"/>
      <c r="GRG34" s="37"/>
      <c r="GRH34" s="37"/>
      <c r="GRI34" s="37"/>
      <c r="GRJ34" s="37"/>
      <c r="GRK34" s="37"/>
      <c r="GRL34" s="37"/>
      <c r="GRM34" s="37"/>
      <c r="GRN34" s="37"/>
      <c r="GRO34" s="37"/>
      <c r="GRP34" s="37"/>
      <c r="GRQ34" s="37"/>
      <c r="GRR34" s="37"/>
      <c r="GRS34" s="37"/>
      <c r="GRT34" s="37"/>
      <c r="GRU34" s="37"/>
      <c r="GRV34" s="37"/>
      <c r="GRW34" s="37"/>
      <c r="GRX34" s="37"/>
      <c r="GRY34" s="37"/>
      <c r="GRZ34" s="37"/>
      <c r="GSA34" s="37"/>
      <c r="GSB34" s="37"/>
      <c r="GSC34" s="37"/>
      <c r="GSD34" s="37"/>
      <c r="GSE34" s="37"/>
      <c r="GSF34" s="37"/>
      <c r="GSG34" s="37"/>
      <c r="GSH34" s="37"/>
      <c r="GSI34" s="37"/>
      <c r="GSJ34" s="37"/>
      <c r="GSK34" s="37"/>
      <c r="GSL34" s="37"/>
      <c r="GSM34" s="37"/>
      <c r="GSN34" s="37"/>
      <c r="GSO34" s="37"/>
      <c r="GSP34" s="37"/>
      <c r="GSQ34" s="37"/>
      <c r="GSR34" s="37"/>
      <c r="GSS34" s="37"/>
      <c r="GST34" s="37"/>
      <c r="GSU34" s="37"/>
      <c r="GSV34" s="37"/>
      <c r="GSW34" s="37"/>
      <c r="GSX34" s="37"/>
      <c r="GSY34" s="37"/>
      <c r="GSZ34" s="37"/>
      <c r="GTA34" s="37"/>
      <c r="GTB34" s="37"/>
      <c r="GTC34" s="37"/>
      <c r="GTD34" s="37"/>
      <c r="GTE34" s="37"/>
      <c r="GTF34" s="37"/>
      <c r="GTG34" s="37"/>
      <c r="GTH34" s="37"/>
      <c r="GTI34" s="37"/>
      <c r="GTJ34" s="37"/>
      <c r="GTK34" s="37"/>
      <c r="GTL34" s="37"/>
      <c r="GTM34" s="37"/>
      <c r="GTN34" s="37"/>
      <c r="GTO34" s="37"/>
      <c r="GTP34" s="37"/>
      <c r="GTQ34" s="37"/>
      <c r="GTR34" s="37"/>
      <c r="GTS34" s="37"/>
      <c r="GTT34" s="37"/>
      <c r="GTU34" s="37"/>
      <c r="GTV34" s="37"/>
      <c r="GTW34" s="37"/>
      <c r="GTX34" s="37"/>
      <c r="GTY34" s="37"/>
      <c r="GTZ34" s="37"/>
      <c r="GUA34" s="37"/>
      <c r="GUB34" s="37"/>
      <c r="GUC34" s="37"/>
      <c r="GUD34" s="37"/>
      <c r="GUE34" s="37"/>
      <c r="GUF34" s="37"/>
      <c r="GUG34" s="37"/>
      <c r="GUH34" s="37"/>
      <c r="GUI34" s="37"/>
      <c r="GUJ34" s="37"/>
      <c r="GUK34" s="37"/>
      <c r="GUL34" s="37"/>
      <c r="GUM34" s="37"/>
      <c r="GUN34" s="37"/>
      <c r="GUO34" s="37"/>
      <c r="GUP34" s="37"/>
      <c r="GUQ34" s="37"/>
      <c r="GUR34" s="37"/>
      <c r="GUS34" s="37"/>
      <c r="GUT34" s="37"/>
      <c r="GUU34" s="37"/>
      <c r="GUV34" s="37"/>
      <c r="GUW34" s="37"/>
      <c r="GUX34" s="37"/>
      <c r="GUY34" s="37"/>
      <c r="GUZ34" s="37"/>
      <c r="GVA34" s="37"/>
      <c r="GVB34" s="37"/>
      <c r="GVC34" s="37"/>
      <c r="GVD34" s="37"/>
      <c r="GVE34" s="37"/>
      <c r="GVF34" s="37"/>
      <c r="GVG34" s="37"/>
      <c r="GVH34" s="37"/>
      <c r="GVI34" s="37"/>
      <c r="GVJ34" s="37"/>
      <c r="GVK34" s="37"/>
      <c r="GVL34" s="37"/>
      <c r="GVM34" s="37"/>
      <c r="GVN34" s="37"/>
      <c r="GVO34" s="37"/>
      <c r="GVP34" s="37"/>
      <c r="GVQ34" s="37"/>
      <c r="GVR34" s="37"/>
      <c r="GVS34" s="37"/>
      <c r="GVT34" s="37"/>
      <c r="GVU34" s="37"/>
      <c r="GVV34" s="37"/>
      <c r="GVW34" s="37"/>
      <c r="GVX34" s="37"/>
      <c r="GVY34" s="37"/>
      <c r="GVZ34" s="37"/>
      <c r="GWA34" s="37"/>
      <c r="GWB34" s="37"/>
      <c r="GWC34" s="37"/>
      <c r="GWD34" s="37"/>
      <c r="GWE34" s="37"/>
      <c r="GWF34" s="37"/>
      <c r="GWG34" s="37"/>
      <c r="GWH34" s="37"/>
      <c r="GWI34" s="37"/>
      <c r="GWJ34" s="37"/>
      <c r="GWK34" s="37"/>
      <c r="GWL34" s="37"/>
      <c r="GWM34" s="37"/>
      <c r="GWN34" s="37"/>
      <c r="GWO34" s="37"/>
      <c r="GWP34" s="37"/>
      <c r="GWQ34" s="37"/>
      <c r="GWR34" s="37"/>
      <c r="GWS34" s="37"/>
      <c r="GWT34" s="37"/>
      <c r="GWU34" s="37"/>
      <c r="GWV34" s="37"/>
      <c r="GWW34" s="37"/>
      <c r="GWX34" s="37"/>
      <c r="GWY34" s="37"/>
      <c r="GWZ34" s="37"/>
      <c r="GXA34" s="37"/>
      <c r="GXB34" s="37"/>
      <c r="GXC34" s="37"/>
      <c r="GXD34" s="37"/>
      <c r="GXE34" s="37"/>
      <c r="GXF34" s="37"/>
      <c r="GXG34" s="37"/>
      <c r="GXH34" s="37"/>
      <c r="GXI34" s="37"/>
      <c r="GXJ34" s="37"/>
      <c r="GXK34" s="37"/>
      <c r="GXL34" s="37"/>
      <c r="GXM34" s="37"/>
      <c r="GXN34" s="37"/>
      <c r="GXO34" s="37"/>
      <c r="GXP34" s="37"/>
      <c r="GXQ34" s="37"/>
      <c r="GXR34" s="37"/>
      <c r="GXS34" s="37"/>
      <c r="GXT34" s="37"/>
      <c r="GXU34" s="37"/>
      <c r="GXV34" s="37"/>
      <c r="GXW34" s="37"/>
      <c r="GXX34" s="37"/>
      <c r="GXY34" s="37"/>
      <c r="GXZ34" s="37"/>
      <c r="GYA34" s="37"/>
      <c r="GYB34" s="37"/>
      <c r="GYC34" s="37"/>
      <c r="GYD34" s="37"/>
      <c r="GYE34" s="37"/>
      <c r="GYF34" s="37"/>
      <c r="GYG34" s="37"/>
      <c r="GYH34" s="37"/>
      <c r="GYI34" s="37"/>
      <c r="GYJ34" s="37"/>
      <c r="GYK34" s="37"/>
      <c r="GYL34" s="37"/>
      <c r="GYM34" s="37"/>
      <c r="GYN34" s="37"/>
      <c r="GYO34" s="37"/>
      <c r="GYP34" s="37"/>
      <c r="GYQ34" s="37"/>
      <c r="GYR34" s="37"/>
      <c r="GYS34" s="37"/>
      <c r="GYT34" s="37"/>
      <c r="GYU34" s="37"/>
      <c r="GYV34" s="37"/>
      <c r="GYW34" s="37"/>
      <c r="GYX34" s="37"/>
      <c r="GYY34" s="37"/>
      <c r="GYZ34" s="37"/>
      <c r="GZA34" s="37"/>
      <c r="GZB34" s="37"/>
      <c r="GZC34" s="37"/>
      <c r="GZD34" s="37"/>
      <c r="GZE34" s="37"/>
      <c r="GZF34" s="37"/>
      <c r="GZG34" s="37"/>
      <c r="GZH34" s="37"/>
      <c r="GZI34" s="37"/>
      <c r="GZJ34" s="37"/>
      <c r="GZK34" s="37"/>
      <c r="GZL34" s="37"/>
      <c r="GZM34" s="37"/>
      <c r="GZN34" s="37"/>
      <c r="GZO34" s="37"/>
      <c r="GZP34" s="37"/>
      <c r="GZQ34" s="37"/>
      <c r="GZR34" s="37"/>
      <c r="GZS34" s="37"/>
      <c r="GZT34" s="37"/>
      <c r="GZU34" s="37"/>
      <c r="GZV34" s="37"/>
      <c r="GZW34" s="37"/>
      <c r="GZX34" s="37"/>
      <c r="GZY34" s="37"/>
      <c r="GZZ34" s="37"/>
      <c r="HAA34" s="37"/>
      <c r="HAB34" s="37"/>
      <c r="HAC34" s="37"/>
      <c r="HAD34" s="37"/>
      <c r="HAE34" s="37"/>
      <c r="HAF34" s="37"/>
      <c r="HAG34" s="37"/>
      <c r="HAH34" s="37"/>
      <c r="HAI34" s="37"/>
      <c r="HAJ34" s="37"/>
      <c r="HAK34" s="37"/>
      <c r="HAL34" s="37"/>
      <c r="HAM34" s="37"/>
      <c r="HAN34" s="37"/>
      <c r="HAO34" s="37"/>
      <c r="HAP34" s="37"/>
      <c r="HAQ34" s="37"/>
      <c r="HAR34" s="37"/>
      <c r="HAS34" s="37"/>
      <c r="HAT34" s="37"/>
      <c r="HAU34" s="37"/>
      <c r="HAV34" s="37"/>
      <c r="HAW34" s="37"/>
      <c r="HAX34" s="37"/>
      <c r="HAY34" s="37"/>
      <c r="HAZ34" s="37"/>
      <c r="HBA34" s="37"/>
      <c r="HBB34" s="37"/>
      <c r="HBC34" s="37"/>
      <c r="HBD34" s="37"/>
      <c r="HBE34" s="37"/>
      <c r="HBF34" s="37"/>
      <c r="HBG34" s="37"/>
      <c r="HBH34" s="37"/>
      <c r="HBI34" s="37"/>
      <c r="HBJ34" s="37"/>
      <c r="HBK34" s="37"/>
      <c r="HBL34" s="37"/>
      <c r="HBM34" s="37"/>
      <c r="HBN34" s="37"/>
      <c r="HBO34" s="37"/>
      <c r="HBP34" s="37"/>
      <c r="HBQ34" s="37"/>
      <c r="HBR34" s="37"/>
      <c r="HBS34" s="37"/>
      <c r="HBT34" s="37"/>
      <c r="HBU34" s="37"/>
      <c r="HBV34" s="37"/>
      <c r="HBW34" s="37"/>
      <c r="HBX34" s="37"/>
      <c r="HBY34" s="37"/>
      <c r="HBZ34" s="37"/>
      <c r="HCA34" s="37"/>
      <c r="HCB34" s="37"/>
      <c r="HCC34" s="37"/>
      <c r="HCD34" s="37"/>
      <c r="HCE34" s="37"/>
      <c r="HCF34" s="37"/>
      <c r="HCG34" s="37"/>
      <c r="HCH34" s="37"/>
      <c r="HCI34" s="37"/>
      <c r="HCJ34" s="37"/>
      <c r="HCK34" s="37"/>
      <c r="HCL34" s="37"/>
      <c r="HCM34" s="37"/>
      <c r="HCN34" s="37"/>
      <c r="HCO34" s="37"/>
      <c r="HCP34" s="37"/>
      <c r="HCQ34" s="37"/>
      <c r="HCR34" s="37"/>
      <c r="HCS34" s="37"/>
      <c r="HCT34" s="37"/>
      <c r="HCU34" s="37"/>
      <c r="HCV34" s="37"/>
      <c r="HCW34" s="37"/>
      <c r="HCX34" s="37"/>
      <c r="HCY34" s="37"/>
      <c r="HCZ34" s="37"/>
      <c r="HDA34" s="37"/>
      <c r="HDB34" s="37"/>
      <c r="HDC34" s="37"/>
      <c r="HDD34" s="37"/>
      <c r="HDE34" s="37"/>
      <c r="HDF34" s="37"/>
      <c r="HDG34" s="37"/>
      <c r="HDH34" s="37"/>
      <c r="HDI34" s="37"/>
      <c r="HDJ34" s="37"/>
      <c r="HDK34" s="37"/>
      <c r="HDL34" s="37"/>
      <c r="HDM34" s="37"/>
      <c r="HDN34" s="37"/>
      <c r="HDO34" s="37"/>
      <c r="HDP34" s="37"/>
      <c r="HDQ34" s="37"/>
      <c r="HDR34" s="37"/>
      <c r="HDS34" s="37"/>
      <c r="HDT34" s="37"/>
      <c r="HDU34" s="37"/>
      <c r="HDV34" s="37"/>
      <c r="HDW34" s="37"/>
      <c r="HDX34" s="37"/>
      <c r="HDY34" s="37"/>
      <c r="HDZ34" s="37"/>
      <c r="HEA34" s="37"/>
      <c r="HEB34" s="37"/>
      <c r="HEC34" s="37"/>
      <c r="HED34" s="37"/>
      <c r="HEE34" s="37"/>
      <c r="HEF34" s="37"/>
      <c r="HEG34" s="37"/>
      <c r="HEH34" s="37"/>
      <c r="HEI34" s="37"/>
      <c r="HEJ34" s="37"/>
      <c r="HEK34" s="37"/>
      <c r="HEL34" s="37"/>
      <c r="HEM34" s="37"/>
      <c r="HEN34" s="37"/>
      <c r="HEO34" s="37"/>
      <c r="HEP34" s="37"/>
      <c r="HEQ34" s="37"/>
      <c r="HER34" s="37"/>
      <c r="HES34" s="37"/>
      <c r="HET34" s="37"/>
      <c r="HEU34" s="37"/>
      <c r="HEV34" s="37"/>
      <c r="HEW34" s="37"/>
      <c r="HEX34" s="37"/>
      <c r="HEY34" s="37"/>
      <c r="HEZ34" s="37"/>
      <c r="HFA34" s="37"/>
      <c r="HFB34" s="37"/>
      <c r="HFC34" s="37"/>
      <c r="HFD34" s="37"/>
      <c r="HFE34" s="37"/>
      <c r="HFF34" s="37"/>
      <c r="HFG34" s="37"/>
      <c r="HFH34" s="37"/>
      <c r="HFI34" s="37"/>
      <c r="HFJ34" s="37"/>
      <c r="HFK34" s="37"/>
      <c r="HFL34" s="37"/>
      <c r="HFM34" s="37"/>
      <c r="HFN34" s="37"/>
      <c r="HFO34" s="37"/>
      <c r="HFP34" s="37"/>
      <c r="HFQ34" s="37"/>
      <c r="HFR34" s="37"/>
      <c r="HFS34" s="37"/>
      <c r="HFT34" s="37"/>
      <c r="HFU34" s="37"/>
      <c r="HFV34" s="37"/>
      <c r="HFW34" s="37"/>
      <c r="HFX34" s="37"/>
      <c r="HFY34" s="37"/>
      <c r="HFZ34" s="37"/>
      <c r="HGA34" s="37"/>
      <c r="HGB34" s="37"/>
      <c r="HGC34" s="37"/>
      <c r="HGD34" s="37"/>
      <c r="HGE34" s="37"/>
      <c r="HGF34" s="37"/>
      <c r="HGG34" s="37"/>
      <c r="HGH34" s="37"/>
      <c r="HGI34" s="37"/>
      <c r="HGJ34" s="37"/>
      <c r="HGK34" s="37"/>
      <c r="HGL34" s="37"/>
      <c r="HGM34" s="37"/>
      <c r="HGN34" s="37"/>
      <c r="HGO34" s="37"/>
      <c r="HGP34" s="37"/>
      <c r="HGQ34" s="37"/>
      <c r="HGR34" s="37"/>
      <c r="HGS34" s="37"/>
      <c r="HGT34" s="37"/>
      <c r="HGU34" s="37"/>
      <c r="HGV34" s="37"/>
      <c r="HGW34" s="37"/>
      <c r="HGX34" s="37"/>
      <c r="HGY34" s="37"/>
      <c r="HGZ34" s="37"/>
      <c r="HHA34" s="37"/>
      <c r="HHB34" s="37"/>
      <c r="HHC34" s="37"/>
      <c r="HHD34" s="37"/>
      <c r="HHE34" s="37"/>
      <c r="HHF34" s="37"/>
      <c r="HHG34" s="37"/>
      <c r="HHH34" s="37"/>
      <c r="HHI34" s="37"/>
      <c r="HHJ34" s="37"/>
      <c r="HHK34" s="37"/>
      <c r="HHL34" s="37"/>
      <c r="HHM34" s="37"/>
      <c r="HHN34" s="37"/>
      <c r="HHO34" s="37"/>
      <c r="HHP34" s="37"/>
      <c r="HHQ34" s="37"/>
      <c r="HHR34" s="37"/>
      <c r="HHS34" s="37"/>
      <c r="HHT34" s="37"/>
      <c r="HHU34" s="37"/>
      <c r="HHV34" s="37"/>
      <c r="HHW34" s="37"/>
      <c r="HHX34" s="37"/>
      <c r="HHY34" s="37"/>
      <c r="HHZ34" s="37"/>
      <c r="HIA34" s="37"/>
      <c r="HIB34" s="37"/>
      <c r="HIC34" s="37"/>
      <c r="HID34" s="37"/>
      <c r="HIE34" s="37"/>
      <c r="HIF34" s="37"/>
      <c r="HIG34" s="37"/>
      <c r="HIH34" s="37"/>
      <c r="HII34" s="37"/>
      <c r="HIJ34" s="37"/>
      <c r="HIK34" s="37"/>
      <c r="HIL34" s="37"/>
      <c r="HIM34" s="37"/>
      <c r="HIN34" s="37"/>
      <c r="HIO34" s="37"/>
      <c r="HIP34" s="37"/>
      <c r="HIQ34" s="37"/>
      <c r="HIR34" s="37"/>
      <c r="HIS34" s="37"/>
      <c r="HIT34" s="37"/>
      <c r="HIU34" s="37"/>
      <c r="HIV34" s="37"/>
      <c r="HIW34" s="37"/>
      <c r="HIX34" s="37"/>
      <c r="HIY34" s="37"/>
      <c r="HIZ34" s="37"/>
      <c r="HJA34" s="37"/>
      <c r="HJB34" s="37"/>
      <c r="HJC34" s="37"/>
      <c r="HJD34" s="37"/>
      <c r="HJE34" s="37"/>
      <c r="HJF34" s="37"/>
      <c r="HJG34" s="37"/>
      <c r="HJH34" s="37"/>
      <c r="HJI34" s="37"/>
      <c r="HJJ34" s="37"/>
      <c r="HJK34" s="37"/>
      <c r="HJL34" s="37"/>
      <c r="HJM34" s="37"/>
      <c r="HJN34" s="37"/>
      <c r="HJO34" s="37"/>
      <c r="HJP34" s="37"/>
      <c r="HJQ34" s="37"/>
      <c r="HJR34" s="37"/>
      <c r="HJS34" s="37"/>
      <c r="HJT34" s="37"/>
      <c r="HJU34" s="37"/>
      <c r="HJV34" s="37"/>
      <c r="HJW34" s="37"/>
      <c r="HJX34" s="37"/>
      <c r="HJY34" s="37"/>
      <c r="HJZ34" s="37"/>
      <c r="HKA34" s="37"/>
      <c r="HKB34" s="37"/>
      <c r="HKC34" s="37"/>
      <c r="HKD34" s="37"/>
      <c r="HKE34" s="37"/>
      <c r="HKF34" s="37"/>
      <c r="HKG34" s="37"/>
      <c r="HKH34" s="37"/>
      <c r="HKI34" s="37"/>
      <c r="HKJ34" s="37"/>
      <c r="HKK34" s="37"/>
      <c r="HKL34" s="37"/>
      <c r="HKM34" s="37"/>
      <c r="HKN34" s="37"/>
      <c r="HKO34" s="37"/>
      <c r="HKP34" s="37"/>
      <c r="HKQ34" s="37"/>
      <c r="HKR34" s="37"/>
      <c r="HKS34" s="37"/>
      <c r="HKT34" s="37"/>
      <c r="HKU34" s="37"/>
      <c r="HKV34" s="37"/>
      <c r="HKW34" s="37"/>
      <c r="HKX34" s="37"/>
      <c r="HKY34" s="37"/>
      <c r="HKZ34" s="37"/>
      <c r="HLA34" s="37"/>
      <c r="HLB34" s="37"/>
      <c r="HLC34" s="37"/>
      <c r="HLD34" s="37"/>
      <c r="HLE34" s="37"/>
      <c r="HLF34" s="37"/>
      <c r="HLG34" s="37"/>
      <c r="HLH34" s="37"/>
      <c r="HLI34" s="37"/>
      <c r="HLJ34" s="37"/>
      <c r="HLK34" s="37"/>
      <c r="HLL34" s="37"/>
      <c r="HLM34" s="37"/>
      <c r="HLN34" s="37"/>
      <c r="HLO34" s="37"/>
      <c r="HLP34" s="37"/>
      <c r="HLQ34" s="37"/>
      <c r="HLR34" s="37"/>
      <c r="HLS34" s="37"/>
      <c r="HLT34" s="37"/>
      <c r="HLU34" s="37"/>
      <c r="HLV34" s="37"/>
      <c r="HLW34" s="37"/>
      <c r="HLX34" s="37"/>
      <c r="HLY34" s="37"/>
      <c r="HLZ34" s="37"/>
      <c r="HMA34" s="37"/>
      <c r="HMB34" s="37"/>
      <c r="HMC34" s="37"/>
      <c r="HMD34" s="37"/>
      <c r="HME34" s="37"/>
      <c r="HMF34" s="37"/>
      <c r="HMG34" s="37"/>
      <c r="HMH34" s="37"/>
      <c r="HMI34" s="37"/>
      <c r="HMJ34" s="37"/>
      <c r="HMK34" s="37"/>
      <c r="HML34" s="37"/>
      <c r="HMM34" s="37"/>
      <c r="HMN34" s="37"/>
      <c r="HMO34" s="37"/>
      <c r="HMP34" s="37"/>
      <c r="HMQ34" s="37"/>
      <c r="HMR34" s="37"/>
      <c r="HMS34" s="37"/>
      <c r="HMT34" s="37"/>
      <c r="HMU34" s="37"/>
      <c r="HMV34" s="37"/>
      <c r="HMW34" s="37"/>
      <c r="HMX34" s="37"/>
      <c r="HMY34" s="37"/>
      <c r="HMZ34" s="37"/>
      <c r="HNA34" s="37"/>
      <c r="HNB34" s="37"/>
      <c r="HNC34" s="37"/>
      <c r="HND34" s="37"/>
      <c r="HNE34" s="37"/>
      <c r="HNF34" s="37"/>
      <c r="HNG34" s="37"/>
      <c r="HNH34" s="37"/>
      <c r="HNI34" s="37"/>
      <c r="HNJ34" s="37"/>
      <c r="HNK34" s="37"/>
      <c r="HNL34" s="37"/>
      <c r="HNM34" s="37"/>
      <c r="HNN34" s="37"/>
      <c r="HNO34" s="37"/>
      <c r="HNP34" s="37"/>
      <c r="HNQ34" s="37"/>
      <c r="HNR34" s="37"/>
      <c r="HNS34" s="37"/>
      <c r="HNT34" s="37"/>
      <c r="HNU34" s="37"/>
      <c r="HNV34" s="37"/>
      <c r="HNW34" s="37"/>
      <c r="HNX34" s="37"/>
      <c r="HNY34" s="37"/>
      <c r="HNZ34" s="37"/>
      <c r="HOA34" s="37"/>
      <c r="HOB34" s="37"/>
      <c r="HOC34" s="37"/>
      <c r="HOD34" s="37"/>
      <c r="HOE34" s="37"/>
      <c r="HOF34" s="37"/>
      <c r="HOG34" s="37"/>
      <c r="HOH34" s="37"/>
      <c r="HOI34" s="37"/>
      <c r="HOJ34" s="37"/>
      <c r="HOK34" s="37"/>
      <c r="HOL34" s="37"/>
      <c r="HOM34" s="37"/>
      <c r="HON34" s="37"/>
      <c r="HOO34" s="37"/>
      <c r="HOP34" s="37"/>
      <c r="HOQ34" s="37"/>
      <c r="HOR34" s="37"/>
      <c r="HOS34" s="37"/>
      <c r="HOT34" s="37"/>
      <c r="HOU34" s="37"/>
      <c r="HOV34" s="37"/>
      <c r="HOW34" s="37"/>
      <c r="HOX34" s="37"/>
      <c r="HOY34" s="37"/>
      <c r="HOZ34" s="37"/>
      <c r="HPA34" s="37"/>
      <c r="HPB34" s="37"/>
      <c r="HPC34" s="37"/>
      <c r="HPD34" s="37"/>
      <c r="HPE34" s="37"/>
      <c r="HPF34" s="37"/>
      <c r="HPG34" s="37"/>
      <c r="HPH34" s="37"/>
      <c r="HPI34" s="37"/>
      <c r="HPJ34" s="37"/>
      <c r="HPK34" s="37"/>
      <c r="HPL34" s="37"/>
      <c r="HPM34" s="37"/>
      <c r="HPN34" s="37"/>
      <c r="HPO34" s="37"/>
      <c r="HPP34" s="37"/>
      <c r="HPQ34" s="37"/>
      <c r="HPR34" s="37"/>
      <c r="HPS34" s="37"/>
      <c r="HPT34" s="37"/>
      <c r="HPU34" s="37"/>
      <c r="HPV34" s="37"/>
      <c r="HPW34" s="37"/>
      <c r="HPX34" s="37"/>
      <c r="HPY34" s="37"/>
      <c r="HPZ34" s="37"/>
      <c r="HQA34" s="37"/>
      <c r="HQB34" s="37"/>
      <c r="HQC34" s="37"/>
      <c r="HQD34" s="37"/>
      <c r="HQE34" s="37"/>
      <c r="HQF34" s="37"/>
      <c r="HQG34" s="37"/>
      <c r="HQH34" s="37"/>
      <c r="HQI34" s="37"/>
      <c r="HQJ34" s="37"/>
      <c r="HQK34" s="37"/>
      <c r="HQL34" s="37"/>
      <c r="HQM34" s="37"/>
      <c r="HQN34" s="37"/>
      <c r="HQO34" s="37"/>
      <c r="HQP34" s="37"/>
      <c r="HQQ34" s="37"/>
      <c r="HQR34" s="37"/>
      <c r="HQS34" s="37"/>
      <c r="HQT34" s="37"/>
      <c r="HQU34" s="37"/>
      <c r="HQV34" s="37"/>
      <c r="HQW34" s="37"/>
      <c r="HQX34" s="37"/>
      <c r="HQY34" s="37"/>
      <c r="HQZ34" s="37"/>
      <c r="HRA34" s="37"/>
      <c r="HRB34" s="37"/>
      <c r="HRC34" s="37"/>
      <c r="HRD34" s="37"/>
      <c r="HRE34" s="37"/>
      <c r="HRF34" s="37"/>
      <c r="HRG34" s="37"/>
      <c r="HRH34" s="37"/>
      <c r="HRI34" s="37"/>
      <c r="HRJ34" s="37"/>
      <c r="HRK34" s="37"/>
      <c r="HRL34" s="37"/>
      <c r="HRM34" s="37"/>
      <c r="HRN34" s="37"/>
      <c r="HRO34" s="37"/>
      <c r="HRP34" s="37"/>
      <c r="HRQ34" s="37"/>
      <c r="HRR34" s="37"/>
      <c r="HRS34" s="37"/>
      <c r="HRT34" s="37"/>
      <c r="HRU34" s="37"/>
      <c r="HRV34" s="37"/>
      <c r="HRW34" s="37"/>
      <c r="HRX34" s="37"/>
      <c r="HRY34" s="37"/>
      <c r="HRZ34" s="37"/>
      <c r="HSA34" s="37"/>
      <c r="HSB34" s="37"/>
      <c r="HSC34" s="37"/>
      <c r="HSD34" s="37"/>
      <c r="HSE34" s="37"/>
      <c r="HSF34" s="37"/>
      <c r="HSG34" s="37"/>
      <c r="HSH34" s="37"/>
      <c r="HSI34" s="37"/>
      <c r="HSJ34" s="37"/>
      <c r="HSK34" s="37"/>
      <c r="HSL34" s="37"/>
      <c r="HSM34" s="37"/>
      <c r="HSN34" s="37"/>
      <c r="HSO34" s="37"/>
      <c r="HSP34" s="37"/>
      <c r="HSQ34" s="37"/>
      <c r="HSR34" s="37"/>
      <c r="HSS34" s="37"/>
      <c r="HST34" s="37"/>
      <c r="HSU34" s="37"/>
      <c r="HSV34" s="37"/>
      <c r="HSW34" s="37"/>
      <c r="HSX34" s="37"/>
      <c r="HSY34" s="37"/>
      <c r="HSZ34" s="37"/>
      <c r="HTA34" s="37"/>
      <c r="HTB34" s="37"/>
      <c r="HTC34" s="37"/>
      <c r="HTD34" s="37"/>
      <c r="HTE34" s="37"/>
      <c r="HTF34" s="37"/>
      <c r="HTG34" s="37"/>
      <c r="HTH34" s="37"/>
      <c r="HTI34" s="37"/>
      <c r="HTJ34" s="37"/>
      <c r="HTK34" s="37"/>
      <c r="HTL34" s="37"/>
      <c r="HTM34" s="37"/>
      <c r="HTN34" s="37"/>
      <c r="HTO34" s="37"/>
      <c r="HTP34" s="37"/>
      <c r="HTQ34" s="37"/>
      <c r="HTR34" s="37"/>
      <c r="HTS34" s="37"/>
      <c r="HTT34" s="37"/>
      <c r="HTU34" s="37"/>
      <c r="HTV34" s="37"/>
      <c r="HTW34" s="37"/>
      <c r="HTX34" s="37"/>
      <c r="HTY34" s="37"/>
      <c r="HTZ34" s="37"/>
      <c r="HUA34" s="37"/>
      <c r="HUB34" s="37"/>
      <c r="HUC34" s="37"/>
      <c r="HUD34" s="37"/>
      <c r="HUE34" s="37"/>
      <c r="HUF34" s="37"/>
      <c r="HUG34" s="37"/>
      <c r="HUH34" s="37"/>
      <c r="HUI34" s="37"/>
      <c r="HUJ34" s="37"/>
      <c r="HUK34" s="37"/>
      <c r="HUL34" s="37"/>
      <c r="HUM34" s="37"/>
      <c r="HUN34" s="37"/>
      <c r="HUO34" s="37"/>
      <c r="HUP34" s="37"/>
      <c r="HUQ34" s="37"/>
      <c r="HUR34" s="37"/>
      <c r="HUS34" s="37"/>
      <c r="HUT34" s="37"/>
      <c r="HUU34" s="37"/>
      <c r="HUV34" s="37"/>
      <c r="HUW34" s="37"/>
      <c r="HUX34" s="37"/>
      <c r="HUY34" s="37"/>
      <c r="HUZ34" s="37"/>
      <c r="HVA34" s="37"/>
      <c r="HVB34" s="37"/>
      <c r="HVC34" s="37"/>
      <c r="HVD34" s="37"/>
      <c r="HVE34" s="37"/>
      <c r="HVF34" s="37"/>
      <c r="HVG34" s="37"/>
      <c r="HVH34" s="37"/>
      <c r="HVI34" s="37"/>
      <c r="HVJ34" s="37"/>
      <c r="HVK34" s="37"/>
      <c r="HVL34" s="37"/>
      <c r="HVM34" s="37"/>
      <c r="HVN34" s="37"/>
      <c r="HVO34" s="37"/>
      <c r="HVP34" s="37"/>
      <c r="HVQ34" s="37"/>
      <c r="HVR34" s="37"/>
      <c r="HVS34" s="37"/>
      <c r="HVT34" s="37"/>
      <c r="HVU34" s="37"/>
      <c r="HVV34" s="37"/>
      <c r="HVW34" s="37"/>
      <c r="HVX34" s="37"/>
      <c r="HVY34" s="37"/>
      <c r="HVZ34" s="37"/>
      <c r="HWA34" s="37"/>
      <c r="HWB34" s="37"/>
      <c r="HWC34" s="37"/>
      <c r="HWD34" s="37"/>
      <c r="HWE34" s="37"/>
      <c r="HWF34" s="37"/>
      <c r="HWG34" s="37"/>
      <c r="HWH34" s="37"/>
      <c r="HWI34" s="37"/>
      <c r="HWJ34" s="37"/>
      <c r="HWK34" s="37"/>
      <c r="HWL34" s="37"/>
      <c r="HWM34" s="37"/>
      <c r="HWN34" s="37"/>
      <c r="HWO34" s="37"/>
      <c r="HWP34" s="37"/>
      <c r="HWQ34" s="37"/>
      <c r="HWR34" s="37"/>
      <c r="HWS34" s="37"/>
      <c r="HWT34" s="37"/>
      <c r="HWU34" s="37"/>
      <c r="HWV34" s="37"/>
      <c r="HWW34" s="37"/>
      <c r="HWX34" s="37"/>
      <c r="HWY34" s="37"/>
      <c r="HWZ34" s="37"/>
      <c r="HXA34" s="37"/>
      <c r="HXB34" s="37"/>
      <c r="HXC34" s="37"/>
      <c r="HXD34" s="37"/>
      <c r="HXE34" s="37"/>
      <c r="HXF34" s="37"/>
      <c r="HXG34" s="37"/>
      <c r="HXH34" s="37"/>
      <c r="HXI34" s="37"/>
      <c r="HXJ34" s="37"/>
      <c r="HXK34" s="37"/>
      <c r="HXL34" s="37"/>
      <c r="HXM34" s="37"/>
      <c r="HXN34" s="37"/>
      <c r="HXO34" s="37"/>
      <c r="HXP34" s="37"/>
      <c r="HXQ34" s="37"/>
      <c r="HXR34" s="37"/>
      <c r="HXS34" s="37"/>
      <c r="HXT34" s="37"/>
      <c r="HXU34" s="37"/>
      <c r="HXV34" s="37"/>
      <c r="HXW34" s="37"/>
      <c r="HXX34" s="37"/>
      <c r="HXY34" s="37"/>
      <c r="HXZ34" s="37"/>
      <c r="HYA34" s="37"/>
      <c r="HYB34" s="37"/>
      <c r="HYC34" s="37"/>
      <c r="HYD34" s="37"/>
      <c r="HYE34" s="37"/>
      <c r="HYF34" s="37"/>
      <c r="HYG34" s="37"/>
      <c r="HYH34" s="37"/>
      <c r="HYI34" s="37"/>
      <c r="HYJ34" s="37"/>
      <c r="HYK34" s="37"/>
      <c r="HYL34" s="37"/>
      <c r="HYM34" s="37"/>
      <c r="HYN34" s="37"/>
      <c r="HYO34" s="37"/>
      <c r="HYP34" s="37"/>
      <c r="HYQ34" s="37"/>
      <c r="HYR34" s="37"/>
      <c r="HYS34" s="37"/>
      <c r="HYT34" s="37"/>
      <c r="HYU34" s="37"/>
      <c r="HYV34" s="37"/>
      <c r="HYW34" s="37"/>
      <c r="HYX34" s="37"/>
      <c r="HYY34" s="37"/>
      <c r="HYZ34" s="37"/>
      <c r="HZA34" s="37"/>
      <c r="HZB34" s="37"/>
      <c r="HZC34" s="37"/>
      <c r="HZD34" s="37"/>
      <c r="HZE34" s="37"/>
      <c r="HZF34" s="37"/>
      <c r="HZG34" s="37"/>
      <c r="HZH34" s="37"/>
      <c r="HZI34" s="37"/>
      <c r="HZJ34" s="37"/>
      <c r="HZK34" s="37"/>
      <c r="HZL34" s="37"/>
      <c r="HZM34" s="37"/>
      <c r="HZN34" s="37"/>
      <c r="HZO34" s="37"/>
      <c r="HZP34" s="37"/>
      <c r="HZQ34" s="37"/>
      <c r="HZR34" s="37"/>
      <c r="HZS34" s="37"/>
      <c r="HZT34" s="37"/>
      <c r="HZU34" s="37"/>
      <c r="HZV34" s="37"/>
      <c r="HZW34" s="37"/>
      <c r="HZX34" s="37"/>
      <c r="HZY34" s="37"/>
      <c r="HZZ34" s="37"/>
      <c r="IAA34" s="37"/>
      <c r="IAB34" s="37"/>
      <c r="IAC34" s="37"/>
      <c r="IAD34" s="37"/>
      <c r="IAE34" s="37"/>
      <c r="IAF34" s="37"/>
      <c r="IAG34" s="37"/>
      <c r="IAH34" s="37"/>
      <c r="IAI34" s="37"/>
      <c r="IAJ34" s="37"/>
      <c r="IAK34" s="37"/>
      <c r="IAL34" s="37"/>
      <c r="IAM34" s="37"/>
      <c r="IAN34" s="37"/>
      <c r="IAO34" s="37"/>
      <c r="IAP34" s="37"/>
      <c r="IAQ34" s="37"/>
      <c r="IAR34" s="37"/>
      <c r="IAS34" s="37"/>
      <c r="IAT34" s="37"/>
      <c r="IAU34" s="37"/>
      <c r="IAV34" s="37"/>
      <c r="IAW34" s="37"/>
      <c r="IAX34" s="37"/>
      <c r="IAY34" s="37"/>
      <c r="IAZ34" s="37"/>
      <c r="IBA34" s="37"/>
      <c r="IBB34" s="37"/>
      <c r="IBC34" s="37"/>
      <c r="IBD34" s="37"/>
      <c r="IBE34" s="37"/>
      <c r="IBF34" s="37"/>
      <c r="IBG34" s="37"/>
      <c r="IBH34" s="37"/>
      <c r="IBI34" s="37"/>
      <c r="IBJ34" s="37"/>
      <c r="IBK34" s="37"/>
      <c r="IBL34" s="37"/>
      <c r="IBM34" s="37"/>
      <c r="IBN34" s="37"/>
      <c r="IBO34" s="37"/>
      <c r="IBP34" s="37"/>
      <c r="IBQ34" s="37"/>
      <c r="IBR34" s="37"/>
      <c r="IBS34" s="37"/>
      <c r="IBT34" s="37"/>
      <c r="IBU34" s="37"/>
      <c r="IBV34" s="37"/>
      <c r="IBW34" s="37"/>
      <c r="IBX34" s="37"/>
      <c r="IBY34" s="37"/>
      <c r="IBZ34" s="37"/>
      <c r="ICA34" s="37"/>
      <c r="ICB34" s="37"/>
      <c r="ICC34" s="37"/>
      <c r="ICD34" s="37"/>
      <c r="ICE34" s="37"/>
      <c r="ICF34" s="37"/>
      <c r="ICG34" s="37"/>
      <c r="ICH34" s="37"/>
      <c r="ICI34" s="37"/>
      <c r="ICJ34" s="37"/>
      <c r="ICK34" s="37"/>
      <c r="ICL34" s="37"/>
      <c r="ICM34" s="37"/>
      <c r="ICN34" s="37"/>
      <c r="ICO34" s="37"/>
      <c r="ICP34" s="37"/>
      <c r="ICQ34" s="37"/>
      <c r="ICR34" s="37"/>
      <c r="ICS34" s="37"/>
      <c r="ICT34" s="37"/>
      <c r="ICU34" s="37"/>
      <c r="ICV34" s="37"/>
      <c r="ICW34" s="37"/>
      <c r="ICX34" s="37"/>
      <c r="ICY34" s="37"/>
      <c r="ICZ34" s="37"/>
      <c r="IDA34" s="37"/>
      <c r="IDB34" s="37"/>
      <c r="IDC34" s="37"/>
      <c r="IDD34" s="37"/>
      <c r="IDE34" s="37"/>
      <c r="IDF34" s="37"/>
      <c r="IDG34" s="37"/>
      <c r="IDH34" s="37"/>
      <c r="IDI34" s="37"/>
      <c r="IDJ34" s="37"/>
      <c r="IDK34" s="37"/>
      <c r="IDL34" s="37"/>
      <c r="IDM34" s="37"/>
      <c r="IDN34" s="37"/>
      <c r="IDO34" s="37"/>
      <c r="IDP34" s="37"/>
      <c r="IDQ34" s="37"/>
      <c r="IDR34" s="37"/>
      <c r="IDS34" s="37"/>
      <c r="IDT34" s="37"/>
      <c r="IDU34" s="37"/>
      <c r="IDV34" s="37"/>
      <c r="IDW34" s="37"/>
      <c r="IDX34" s="37"/>
      <c r="IDY34" s="37"/>
      <c r="IDZ34" s="37"/>
      <c r="IEA34" s="37"/>
      <c r="IEB34" s="37"/>
      <c r="IEC34" s="37"/>
      <c r="IED34" s="37"/>
      <c r="IEE34" s="37"/>
      <c r="IEF34" s="37"/>
      <c r="IEG34" s="37"/>
      <c r="IEH34" s="37"/>
      <c r="IEI34" s="37"/>
      <c r="IEJ34" s="37"/>
      <c r="IEK34" s="37"/>
      <c r="IEL34" s="37"/>
      <c r="IEM34" s="37"/>
      <c r="IEN34" s="37"/>
      <c r="IEO34" s="37"/>
      <c r="IEP34" s="37"/>
      <c r="IEQ34" s="37"/>
      <c r="IER34" s="37"/>
      <c r="IES34" s="37"/>
      <c r="IET34" s="37"/>
      <c r="IEU34" s="37"/>
      <c r="IEV34" s="37"/>
      <c r="IEW34" s="37"/>
      <c r="IEX34" s="37"/>
      <c r="IEY34" s="37"/>
      <c r="IEZ34" s="37"/>
      <c r="IFA34" s="37"/>
      <c r="IFB34" s="37"/>
      <c r="IFC34" s="37"/>
      <c r="IFD34" s="37"/>
      <c r="IFE34" s="37"/>
      <c r="IFF34" s="37"/>
      <c r="IFG34" s="37"/>
      <c r="IFH34" s="37"/>
      <c r="IFI34" s="37"/>
      <c r="IFJ34" s="37"/>
      <c r="IFK34" s="37"/>
      <c r="IFL34" s="37"/>
      <c r="IFM34" s="37"/>
      <c r="IFN34" s="37"/>
      <c r="IFO34" s="37"/>
      <c r="IFP34" s="37"/>
      <c r="IFQ34" s="37"/>
      <c r="IFR34" s="37"/>
      <c r="IFS34" s="37"/>
      <c r="IFT34" s="37"/>
      <c r="IFU34" s="37"/>
      <c r="IFV34" s="37"/>
      <c r="IFW34" s="37"/>
      <c r="IFX34" s="37"/>
      <c r="IFY34" s="37"/>
      <c r="IFZ34" s="37"/>
      <c r="IGA34" s="37"/>
      <c r="IGB34" s="37"/>
      <c r="IGC34" s="37"/>
      <c r="IGD34" s="37"/>
      <c r="IGE34" s="37"/>
      <c r="IGF34" s="37"/>
      <c r="IGG34" s="37"/>
      <c r="IGH34" s="37"/>
      <c r="IGI34" s="37"/>
      <c r="IGJ34" s="37"/>
      <c r="IGK34" s="37"/>
      <c r="IGL34" s="37"/>
      <c r="IGM34" s="37"/>
      <c r="IGN34" s="37"/>
      <c r="IGO34" s="37"/>
      <c r="IGP34" s="37"/>
      <c r="IGQ34" s="37"/>
      <c r="IGR34" s="37"/>
      <c r="IGS34" s="37"/>
      <c r="IGT34" s="37"/>
      <c r="IGU34" s="37"/>
      <c r="IGV34" s="37"/>
      <c r="IGW34" s="37"/>
      <c r="IGX34" s="37"/>
      <c r="IGY34" s="37"/>
      <c r="IGZ34" s="37"/>
      <c r="IHA34" s="37"/>
      <c r="IHB34" s="37"/>
      <c r="IHC34" s="37"/>
      <c r="IHD34" s="37"/>
      <c r="IHE34" s="37"/>
      <c r="IHF34" s="37"/>
      <c r="IHG34" s="37"/>
      <c r="IHH34" s="37"/>
      <c r="IHI34" s="37"/>
      <c r="IHJ34" s="37"/>
      <c r="IHK34" s="37"/>
      <c r="IHL34" s="37"/>
      <c r="IHM34" s="37"/>
      <c r="IHN34" s="37"/>
      <c r="IHO34" s="37"/>
      <c r="IHP34" s="37"/>
      <c r="IHQ34" s="37"/>
      <c r="IHR34" s="37"/>
      <c r="IHS34" s="37"/>
      <c r="IHT34" s="37"/>
      <c r="IHU34" s="37"/>
      <c r="IHV34" s="37"/>
      <c r="IHW34" s="37"/>
      <c r="IHX34" s="37"/>
      <c r="IHY34" s="37"/>
      <c r="IHZ34" s="37"/>
      <c r="IIA34" s="37"/>
      <c r="IIB34" s="37"/>
      <c r="IIC34" s="37"/>
      <c r="IID34" s="37"/>
      <c r="IIE34" s="37"/>
      <c r="IIF34" s="37"/>
      <c r="IIG34" s="37"/>
      <c r="IIH34" s="37"/>
      <c r="III34" s="37"/>
      <c r="IIJ34" s="37"/>
      <c r="IIK34" s="37"/>
      <c r="IIL34" s="37"/>
      <c r="IIM34" s="37"/>
      <c r="IIN34" s="37"/>
      <c r="IIO34" s="37"/>
      <c r="IIP34" s="37"/>
      <c r="IIQ34" s="37"/>
      <c r="IIR34" s="37"/>
      <c r="IIS34" s="37"/>
      <c r="IIT34" s="37"/>
      <c r="IIU34" s="37"/>
      <c r="IIV34" s="37"/>
      <c r="IIW34" s="37"/>
      <c r="IIX34" s="37"/>
      <c r="IIY34" s="37"/>
      <c r="IIZ34" s="37"/>
      <c r="IJA34" s="37"/>
      <c r="IJB34" s="37"/>
      <c r="IJC34" s="37"/>
      <c r="IJD34" s="37"/>
      <c r="IJE34" s="37"/>
      <c r="IJF34" s="37"/>
      <c r="IJG34" s="37"/>
      <c r="IJH34" s="37"/>
      <c r="IJI34" s="37"/>
      <c r="IJJ34" s="37"/>
      <c r="IJK34" s="37"/>
      <c r="IJL34" s="37"/>
      <c r="IJM34" s="37"/>
      <c r="IJN34" s="37"/>
      <c r="IJO34" s="37"/>
      <c r="IJP34" s="37"/>
      <c r="IJQ34" s="37"/>
      <c r="IJR34" s="37"/>
      <c r="IJS34" s="37"/>
      <c r="IJT34" s="37"/>
      <c r="IJU34" s="37"/>
      <c r="IJV34" s="37"/>
      <c r="IJW34" s="37"/>
      <c r="IJX34" s="37"/>
      <c r="IJY34" s="37"/>
      <c r="IJZ34" s="37"/>
      <c r="IKA34" s="37"/>
      <c r="IKB34" s="37"/>
      <c r="IKC34" s="37"/>
      <c r="IKD34" s="37"/>
      <c r="IKE34" s="37"/>
      <c r="IKF34" s="37"/>
      <c r="IKG34" s="37"/>
      <c r="IKH34" s="37"/>
      <c r="IKI34" s="37"/>
      <c r="IKJ34" s="37"/>
      <c r="IKK34" s="37"/>
      <c r="IKL34" s="37"/>
      <c r="IKM34" s="37"/>
      <c r="IKN34" s="37"/>
      <c r="IKO34" s="37"/>
      <c r="IKP34" s="37"/>
      <c r="IKQ34" s="37"/>
      <c r="IKR34" s="37"/>
      <c r="IKS34" s="37"/>
      <c r="IKT34" s="37"/>
      <c r="IKU34" s="37"/>
      <c r="IKV34" s="37"/>
      <c r="IKW34" s="37"/>
      <c r="IKX34" s="37"/>
      <c r="IKY34" s="37"/>
      <c r="IKZ34" s="37"/>
      <c r="ILA34" s="37"/>
      <c r="ILB34" s="37"/>
      <c r="ILC34" s="37"/>
      <c r="ILD34" s="37"/>
      <c r="ILE34" s="37"/>
      <c r="ILF34" s="37"/>
      <c r="ILG34" s="37"/>
      <c r="ILH34" s="37"/>
      <c r="ILI34" s="37"/>
      <c r="ILJ34" s="37"/>
      <c r="ILK34" s="37"/>
      <c r="ILL34" s="37"/>
      <c r="ILM34" s="37"/>
      <c r="ILN34" s="37"/>
      <c r="ILO34" s="37"/>
      <c r="ILP34" s="37"/>
      <c r="ILQ34" s="37"/>
      <c r="ILR34" s="37"/>
      <c r="ILS34" s="37"/>
      <c r="ILT34" s="37"/>
      <c r="ILU34" s="37"/>
      <c r="ILV34" s="37"/>
      <c r="ILW34" s="37"/>
      <c r="ILX34" s="37"/>
      <c r="ILY34" s="37"/>
      <c r="ILZ34" s="37"/>
      <c r="IMA34" s="37"/>
      <c r="IMB34" s="37"/>
      <c r="IMC34" s="37"/>
      <c r="IMD34" s="37"/>
      <c r="IME34" s="37"/>
      <c r="IMF34" s="37"/>
      <c r="IMG34" s="37"/>
      <c r="IMH34" s="37"/>
      <c r="IMI34" s="37"/>
      <c r="IMJ34" s="37"/>
      <c r="IMK34" s="37"/>
      <c r="IML34" s="37"/>
      <c r="IMM34" s="37"/>
      <c r="IMN34" s="37"/>
      <c r="IMO34" s="37"/>
      <c r="IMP34" s="37"/>
      <c r="IMQ34" s="37"/>
      <c r="IMR34" s="37"/>
      <c r="IMS34" s="37"/>
      <c r="IMT34" s="37"/>
      <c r="IMU34" s="37"/>
      <c r="IMV34" s="37"/>
      <c r="IMW34" s="37"/>
      <c r="IMX34" s="37"/>
      <c r="IMY34" s="37"/>
      <c r="IMZ34" s="37"/>
      <c r="INA34" s="37"/>
      <c r="INB34" s="37"/>
      <c r="INC34" s="37"/>
      <c r="IND34" s="37"/>
      <c r="INE34" s="37"/>
      <c r="INF34" s="37"/>
      <c r="ING34" s="37"/>
      <c r="INH34" s="37"/>
      <c r="INI34" s="37"/>
      <c r="INJ34" s="37"/>
      <c r="INK34" s="37"/>
      <c r="INL34" s="37"/>
      <c r="INM34" s="37"/>
      <c r="INN34" s="37"/>
      <c r="INO34" s="37"/>
      <c r="INP34" s="37"/>
      <c r="INQ34" s="37"/>
      <c r="INR34" s="37"/>
      <c r="INS34" s="37"/>
      <c r="INT34" s="37"/>
      <c r="INU34" s="37"/>
      <c r="INV34" s="37"/>
      <c r="INW34" s="37"/>
      <c r="INX34" s="37"/>
      <c r="INY34" s="37"/>
      <c r="INZ34" s="37"/>
      <c r="IOA34" s="37"/>
      <c r="IOB34" s="37"/>
      <c r="IOC34" s="37"/>
      <c r="IOD34" s="37"/>
      <c r="IOE34" s="37"/>
      <c r="IOF34" s="37"/>
      <c r="IOG34" s="37"/>
      <c r="IOH34" s="37"/>
      <c r="IOI34" s="37"/>
      <c r="IOJ34" s="37"/>
      <c r="IOK34" s="37"/>
      <c r="IOL34" s="37"/>
      <c r="IOM34" s="37"/>
      <c r="ION34" s="37"/>
      <c r="IOO34" s="37"/>
      <c r="IOP34" s="37"/>
      <c r="IOQ34" s="37"/>
      <c r="IOR34" s="37"/>
      <c r="IOS34" s="37"/>
      <c r="IOT34" s="37"/>
      <c r="IOU34" s="37"/>
      <c r="IOV34" s="37"/>
      <c r="IOW34" s="37"/>
      <c r="IOX34" s="37"/>
      <c r="IOY34" s="37"/>
      <c r="IOZ34" s="37"/>
      <c r="IPA34" s="37"/>
      <c r="IPB34" s="37"/>
      <c r="IPC34" s="37"/>
      <c r="IPD34" s="37"/>
      <c r="IPE34" s="37"/>
      <c r="IPF34" s="37"/>
      <c r="IPG34" s="37"/>
      <c r="IPH34" s="37"/>
      <c r="IPI34" s="37"/>
      <c r="IPJ34" s="37"/>
      <c r="IPK34" s="37"/>
      <c r="IPL34" s="37"/>
      <c r="IPM34" s="37"/>
      <c r="IPN34" s="37"/>
      <c r="IPO34" s="37"/>
      <c r="IPP34" s="37"/>
      <c r="IPQ34" s="37"/>
      <c r="IPR34" s="37"/>
      <c r="IPS34" s="37"/>
      <c r="IPT34" s="37"/>
      <c r="IPU34" s="37"/>
      <c r="IPV34" s="37"/>
      <c r="IPW34" s="37"/>
      <c r="IPX34" s="37"/>
      <c r="IPY34" s="37"/>
      <c r="IPZ34" s="37"/>
      <c r="IQA34" s="37"/>
      <c r="IQB34" s="37"/>
      <c r="IQC34" s="37"/>
      <c r="IQD34" s="37"/>
      <c r="IQE34" s="37"/>
      <c r="IQF34" s="37"/>
      <c r="IQG34" s="37"/>
      <c r="IQH34" s="37"/>
      <c r="IQI34" s="37"/>
      <c r="IQJ34" s="37"/>
      <c r="IQK34" s="37"/>
      <c r="IQL34" s="37"/>
      <c r="IQM34" s="37"/>
      <c r="IQN34" s="37"/>
      <c r="IQO34" s="37"/>
      <c r="IQP34" s="37"/>
      <c r="IQQ34" s="37"/>
      <c r="IQR34" s="37"/>
      <c r="IQS34" s="37"/>
      <c r="IQT34" s="37"/>
      <c r="IQU34" s="37"/>
      <c r="IQV34" s="37"/>
      <c r="IQW34" s="37"/>
      <c r="IQX34" s="37"/>
      <c r="IQY34" s="37"/>
      <c r="IQZ34" s="37"/>
      <c r="IRA34" s="37"/>
      <c r="IRB34" s="37"/>
      <c r="IRC34" s="37"/>
      <c r="IRD34" s="37"/>
      <c r="IRE34" s="37"/>
      <c r="IRF34" s="37"/>
      <c r="IRG34" s="37"/>
      <c r="IRH34" s="37"/>
      <c r="IRI34" s="37"/>
      <c r="IRJ34" s="37"/>
      <c r="IRK34" s="37"/>
      <c r="IRL34" s="37"/>
      <c r="IRM34" s="37"/>
      <c r="IRN34" s="37"/>
      <c r="IRO34" s="37"/>
      <c r="IRP34" s="37"/>
      <c r="IRQ34" s="37"/>
      <c r="IRR34" s="37"/>
      <c r="IRS34" s="37"/>
      <c r="IRT34" s="37"/>
      <c r="IRU34" s="37"/>
      <c r="IRV34" s="37"/>
      <c r="IRW34" s="37"/>
      <c r="IRX34" s="37"/>
      <c r="IRY34" s="37"/>
      <c r="IRZ34" s="37"/>
      <c r="ISA34" s="37"/>
      <c r="ISB34" s="37"/>
      <c r="ISC34" s="37"/>
      <c r="ISD34" s="37"/>
      <c r="ISE34" s="37"/>
      <c r="ISF34" s="37"/>
      <c r="ISG34" s="37"/>
      <c r="ISH34" s="37"/>
      <c r="ISI34" s="37"/>
      <c r="ISJ34" s="37"/>
      <c r="ISK34" s="37"/>
      <c r="ISL34" s="37"/>
      <c r="ISM34" s="37"/>
      <c r="ISN34" s="37"/>
      <c r="ISO34" s="37"/>
      <c r="ISP34" s="37"/>
      <c r="ISQ34" s="37"/>
      <c r="ISR34" s="37"/>
      <c r="ISS34" s="37"/>
      <c r="IST34" s="37"/>
      <c r="ISU34" s="37"/>
      <c r="ISV34" s="37"/>
      <c r="ISW34" s="37"/>
      <c r="ISX34" s="37"/>
      <c r="ISY34" s="37"/>
      <c r="ISZ34" s="37"/>
      <c r="ITA34" s="37"/>
      <c r="ITB34" s="37"/>
      <c r="ITC34" s="37"/>
      <c r="ITD34" s="37"/>
      <c r="ITE34" s="37"/>
      <c r="ITF34" s="37"/>
      <c r="ITG34" s="37"/>
      <c r="ITH34" s="37"/>
      <c r="ITI34" s="37"/>
      <c r="ITJ34" s="37"/>
      <c r="ITK34" s="37"/>
      <c r="ITL34" s="37"/>
      <c r="ITM34" s="37"/>
      <c r="ITN34" s="37"/>
      <c r="ITO34" s="37"/>
      <c r="ITP34" s="37"/>
      <c r="ITQ34" s="37"/>
      <c r="ITR34" s="37"/>
      <c r="ITS34" s="37"/>
      <c r="ITT34" s="37"/>
      <c r="ITU34" s="37"/>
      <c r="ITV34" s="37"/>
      <c r="ITW34" s="37"/>
      <c r="ITX34" s="37"/>
      <c r="ITY34" s="37"/>
      <c r="ITZ34" s="37"/>
      <c r="IUA34" s="37"/>
      <c r="IUB34" s="37"/>
      <c r="IUC34" s="37"/>
      <c r="IUD34" s="37"/>
      <c r="IUE34" s="37"/>
      <c r="IUF34" s="37"/>
      <c r="IUG34" s="37"/>
      <c r="IUH34" s="37"/>
      <c r="IUI34" s="37"/>
      <c r="IUJ34" s="37"/>
      <c r="IUK34" s="37"/>
      <c r="IUL34" s="37"/>
      <c r="IUM34" s="37"/>
      <c r="IUN34" s="37"/>
      <c r="IUO34" s="37"/>
      <c r="IUP34" s="37"/>
      <c r="IUQ34" s="37"/>
      <c r="IUR34" s="37"/>
      <c r="IUS34" s="37"/>
      <c r="IUT34" s="37"/>
      <c r="IUU34" s="37"/>
      <c r="IUV34" s="37"/>
      <c r="IUW34" s="37"/>
      <c r="IUX34" s="37"/>
      <c r="IUY34" s="37"/>
      <c r="IUZ34" s="37"/>
      <c r="IVA34" s="37"/>
      <c r="IVB34" s="37"/>
      <c r="IVC34" s="37"/>
      <c r="IVD34" s="37"/>
      <c r="IVE34" s="37"/>
      <c r="IVF34" s="37"/>
      <c r="IVG34" s="37"/>
      <c r="IVH34" s="37"/>
      <c r="IVI34" s="37"/>
      <c r="IVJ34" s="37"/>
      <c r="IVK34" s="37"/>
      <c r="IVL34" s="37"/>
      <c r="IVM34" s="37"/>
      <c r="IVN34" s="37"/>
      <c r="IVO34" s="37"/>
      <c r="IVP34" s="37"/>
      <c r="IVQ34" s="37"/>
      <c r="IVR34" s="37"/>
      <c r="IVS34" s="37"/>
      <c r="IVT34" s="37"/>
      <c r="IVU34" s="37"/>
      <c r="IVV34" s="37"/>
      <c r="IVW34" s="37"/>
      <c r="IVX34" s="37"/>
      <c r="IVY34" s="37"/>
      <c r="IVZ34" s="37"/>
      <c r="IWA34" s="37"/>
      <c r="IWB34" s="37"/>
      <c r="IWC34" s="37"/>
      <c r="IWD34" s="37"/>
      <c r="IWE34" s="37"/>
      <c r="IWF34" s="37"/>
      <c r="IWG34" s="37"/>
      <c r="IWH34" s="37"/>
      <c r="IWI34" s="37"/>
      <c r="IWJ34" s="37"/>
      <c r="IWK34" s="37"/>
      <c r="IWL34" s="37"/>
      <c r="IWM34" s="37"/>
      <c r="IWN34" s="37"/>
      <c r="IWO34" s="37"/>
      <c r="IWP34" s="37"/>
      <c r="IWQ34" s="37"/>
      <c r="IWR34" s="37"/>
      <c r="IWS34" s="37"/>
      <c r="IWT34" s="37"/>
      <c r="IWU34" s="37"/>
      <c r="IWV34" s="37"/>
      <c r="IWW34" s="37"/>
      <c r="IWX34" s="37"/>
      <c r="IWY34" s="37"/>
      <c r="IWZ34" s="37"/>
      <c r="IXA34" s="37"/>
      <c r="IXB34" s="37"/>
      <c r="IXC34" s="37"/>
      <c r="IXD34" s="37"/>
      <c r="IXE34" s="37"/>
      <c r="IXF34" s="37"/>
      <c r="IXG34" s="37"/>
      <c r="IXH34" s="37"/>
      <c r="IXI34" s="37"/>
      <c r="IXJ34" s="37"/>
      <c r="IXK34" s="37"/>
      <c r="IXL34" s="37"/>
      <c r="IXM34" s="37"/>
      <c r="IXN34" s="37"/>
      <c r="IXO34" s="37"/>
      <c r="IXP34" s="37"/>
      <c r="IXQ34" s="37"/>
      <c r="IXR34" s="37"/>
      <c r="IXS34" s="37"/>
      <c r="IXT34" s="37"/>
      <c r="IXU34" s="37"/>
      <c r="IXV34" s="37"/>
      <c r="IXW34" s="37"/>
      <c r="IXX34" s="37"/>
      <c r="IXY34" s="37"/>
      <c r="IXZ34" s="37"/>
      <c r="IYA34" s="37"/>
      <c r="IYB34" s="37"/>
      <c r="IYC34" s="37"/>
      <c r="IYD34" s="37"/>
      <c r="IYE34" s="37"/>
      <c r="IYF34" s="37"/>
      <c r="IYG34" s="37"/>
      <c r="IYH34" s="37"/>
      <c r="IYI34" s="37"/>
      <c r="IYJ34" s="37"/>
      <c r="IYK34" s="37"/>
      <c r="IYL34" s="37"/>
      <c r="IYM34" s="37"/>
      <c r="IYN34" s="37"/>
      <c r="IYO34" s="37"/>
      <c r="IYP34" s="37"/>
      <c r="IYQ34" s="37"/>
      <c r="IYR34" s="37"/>
      <c r="IYS34" s="37"/>
      <c r="IYT34" s="37"/>
      <c r="IYU34" s="37"/>
      <c r="IYV34" s="37"/>
      <c r="IYW34" s="37"/>
      <c r="IYX34" s="37"/>
      <c r="IYY34" s="37"/>
      <c r="IYZ34" s="37"/>
      <c r="IZA34" s="37"/>
      <c r="IZB34" s="37"/>
      <c r="IZC34" s="37"/>
      <c r="IZD34" s="37"/>
      <c r="IZE34" s="37"/>
      <c r="IZF34" s="37"/>
      <c r="IZG34" s="37"/>
      <c r="IZH34" s="37"/>
      <c r="IZI34" s="37"/>
      <c r="IZJ34" s="37"/>
      <c r="IZK34" s="37"/>
      <c r="IZL34" s="37"/>
      <c r="IZM34" s="37"/>
      <c r="IZN34" s="37"/>
      <c r="IZO34" s="37"/>
      <c r="IZP34" s="37"/>
      <c r="IZQ34" s="37"/>
      <c r="IZR34" s="37"/>
      <c r="IZS34" s="37"/>
      <c r="IZT34" s="37"/>
      <c r="IZU34" s="37"/>
      <c r="IZV34" s="37"/>
      <c r="IZW34" s="37"/>
      <c r="IZX34" s="37"/>
      <c r="IZY34" s="37"/>
      <c r="IZZ34" s="37"/>
      <c r="JAA34" s="37"/>
      <c r="JAB34" s="37"/>
      <c r="JAC34" s="37"/>
      <c r="JAD34" s="37"/>
      <c r="JAE34" s="37"/>
      <c r="JAF34" s="37"/>
      <c r="JAG34" s="37"/>
      <c r="JAH34" s="37"/>
      <c r="JAI34" s="37"/>
      <c r="JAJ34" s="37"/>
      <c r="JAK34" s="37"/>
      <c r="JAL34" s="37"/>
      <c r="JAM34" s="37"/>
      <c r="JAN34" s="37"/>
      <c r="JAO34" s="37"/>
      <c r="JAP34" s="37"/>
      <c r="JAQ34" s="37"/>
      <c r="JAR34" s="37"/>
      <c r="JAS34" s="37"/>
      <c r="JAT34" s="37"/>
      <c r="JAU34" s="37"/>
      <c r="JAV34" s="37"/>
      <c r="JAW34" s="37"/>
      <c r="JAX34" s="37"/>
      <c r="JAY34" s="37"/>
      <c r="JAZ34" s="37"/>
      <c r="JBA34" s="37"/>
      <c r="JBB34" s="37"/>
      <c r="JBC34" s="37"/>
      <c r="JBD34" s="37"/>
      <c r="JBE34" s="37"/>
      <c r="JBF34" s="37"/>
      <c r="JBG34" s="37"/>
      <c r="JBH34" s="37"/>
      <c r="JBI34" s="37"/>
      <c r="JBJ34" s="37"/>
      <c r="JBK34" s="37"/>
      <c r="JBL34" s="37"/>
      <c r="JBM34" s="37"/>
      <c r="JBN34" s="37"/>
      <c r="JBO34" s="37"/>
      <c r="JBP34" s="37"/>
      <c r="JBQ34" s="37"/>
      <c r="JBR34" s="37"/>
      <c r="JBS34" s="37"/>
      <c r="JBT34" s="37"/>
      <c r="JBU34" s="37"/>
      <c r="JBV34" s="37"/>
      <c r="JBW34" s="37"/>
      <c r="JBX34" s="37"/>
      <c r="JBY34" s="37"/>
      <c r="JBZ34" s="37"/>
      <c r="JCA34" s="37"/>
      <c r="JCB34" s="37"/>
      <c r="JCC34" s="37"/>
      <c r="JCD34" s="37"/>
      <c r="JCE34" s="37"/>
      <c r="JCF34" s="37"/>
      <c r="JCG34" s="37"/>
      <c r="JCH34" s="37"/>
      <c r="JCI34" s="37"/>
      <c r="JCJ34" s="37"/>
      <c r="JCK34" s="37"/>
      <c r="JCL34" s="37"/>
      <c r="JCM34" s="37"/>
      <c r="JCN34" s="37"/>
      <c r="JCO34" s="37"/>
      <c r="JCP34" s="37"/>
      <c r="JCQ34" s="37"/>
      <c r="JCR34" s="37"/>
      <c r="JCS34" s="37"/>
      <c r="JCT34" s="37"/>
      <c r="JCU34" s="37"/>
      <c r="JCV34" s="37"/>
      <c r="JCW34" s="37"/>
      <c r="JCX34" s="37"/>
      <c r="JCY34" s="37"/>
      <c r="JCZ34" s="37"/>
      <c r="JDA34" s="37"/>
      <c r="JDB34" s="37"/>
      <c r="JDC34" s="37"/>
      <c r="JDD34" s="37"/>
      <c r="JDE34" s="37"/>
      <c r="JDF34" s="37"/>
      <c r="JDG34" s="37"/>
      <c r="JDH34" s="37"/>
      <c r="JDI34" s="37"/>
      <c r="JDJ34" s="37"/>
      <c r="JDK34" s="37"/>
      <c r="JDL34" s="37"/>
      <c r="JDM34" s="37"/>
      <c r="JDN34" s="37"/>
      <c r="JDO34" s="37"/>
      <c r="JDP34" s="37"/>
      <c r="JDQ34" s="37"/>
      <c r="JDR34" s="37"/>
      <c r="JDS34" s="37"/>
      <c r="JDT34" s="37"/>
      <c r="JDU34" s="37"/>
      <c r="JDV34" s="37"/>
      <c r="JDW34" s="37"/>
      <c r="JDX34" s="37"/>
      <c r="JDY34" s="37"/>
      <c r="JDZ34" s="37"/>
      <c r="JEA34" s="37"/>
      <c r="JEB34" s="37"/>
      <c r="JEC34" s="37"/>
      <c r="JED34" s="37"/>
      <c r="JEE34" s="37"/>
      <c r="JEF34" s="37"/>
      <c r="JEG34" s="37"/>
      <c r="JEH34" s="37"/>
      <c r="JEI34" s="37"/>
      <c r="JEJ34" s="37"/>
      <c r="JEK34" s="37"/>
      <c r="JEL34" s="37"/>
      <c r="JEM34" s="37"/>
      <c r="JEN34" s="37"/>
      <c r="JEO34" s="37"/>
      <c r="JEP34" s="37"/>
      <c r="JEQ34" s="37"/>
      <c r="JER34" s="37"/>
      <c r="JES34" s="37"/>
      <c r="JET34" s="37"/>
      <c r="JEU34" s="37"/>
      <c r="JEV34" s="37"/>
      <c r="JEW34" s="37"/>
      <c r="JEX34" s="37"/>
      <c r="JEY34" s="37"/>
      <c r="JEZ34" s="37"/>
      <c r="JFA34" s="37"/>
      <c r="JFB34" s="37"/>
      <c r="JFC34" s="37"/>
      <c r="JFD34" s="37"/>
      <c r="JFE34" s="37"/>
      <c r="JFF34" s="37"/>
      <c r="JFG34" s="37"/>
      <c r="JFH34" s="37"/>
      <c r="JFI34" s="37"/>
      <c r="JFJ34" s="37"/>
      <c r="JFK34" s="37"/>
      <c r="JFL34" s="37"/>
      <c r="JFM34" s="37"/>
      <c r="JFN34" s="37"/>
      <c r="JFO34" s="37"/>
      <c r="JFP34" s="37"/>
      <c r="JFQ34" s="37"/>
      <c r="JFR34" s="37"/>
      <c r="JFS34" s="37"/>
      <c r="JFT34" s="37"/>
      <c r="JFU34" s="37"/>
      <c r="JFV34" s="37"/>
      <c r="JFW34" s="37"/>
      <c r="JFX34" s="37"/>
      <c r="JFY34" s="37"/>
      <c r="JFZ34" s="37"/>
      <c r="JGA34" s="37"/>
      <c r="JGB34" s="37"/>
      <c r="JGC34" s="37"/>
      <c r="JGD34" s="37"/>
      <c r="JGE34" s="37"/>
      <c r="JGF34" s="37"/>
      <c r="JGG34" s="37"/>
      <c r="JGH34" s="37"/>
      <c r="JGI34" s="37"/>
      <c r="JGJ34" s="37"/>
      <c r="JGK34" s="37"/>
      <c r="JGL34" s="37"/>
      <c r="JGM34" s="37"/>
      <c r="JGN34" s="37"/>
      <c r="JGO34" s="37"/>
      <c r="JGP34" s="37"/>
      <c r="JGQ34" s="37"/>
      <c r="JGR34" s="37"/>
      <c r="JGS34" s="37"/>
      <c r="JGT34" s="37"/>
      <c r="JGU34" s="37"/>
      <c r="JGV34" s="37"/>
      <c r="JGW34" s="37"/>
      <c r="JGX34" s="37"/>
      <c r="JGY34" s="37"/>
      <c r="JGZ34" s="37"/>
      <c r="JHA34" s="37"/>
      <c r="JHB34" s="37"/>
      <c r="JHC34" s="37"/>
      <c r="JHD34" s="37"/>
      <c r="JHE34" s="37"/>
      <c r="JHF34" s="37"/>
      <c r="JHG34" s="37"/>
      <c r="JHH34" s="37"/>
      <c r="JHI34" s="37"/>
      <c r="JHJ34" s="37"/>
      <c r="JHK34" s="37"/>
      <c r="JHL34" s="37"/>
      <c r="JHM34" s="37"/>
      <c r="JHN34" s="37"/>
      <c r="JHO34" s="37"/>
      <c r="JHP34" s="37"/>
      <c r="JHQ34" s="37"/>
      <c r="JHR34" s="37"/>
      <c r="JHS34" s="37"/>
      <c r="JHT34" s="37"/>
      <c r="JHU34" s="37"/>
      <c r="JHV34" s="37"/>
      <c r="JHW34" s="37"/>
      <c r="JHX34" s="37"/>
      <c r="JHY34" s="37"/>
      <c r="JHZ34" s="37"/>
      <c r="JIA34" s="37"/>
      <c r="JIB34" s="37"/>
      <c r="JIC34" s="37"/>
      <c r="JID34" s="37"/>
      <c r="JIE34" s="37"/>
      <c r="JIF34" s="37"/>
      <c r="JIG34" s="37"/>
      <c r="JIH34" s="37"/>
      <c r="JII34" s="37"/>
      <c r="JIJ34" s="37"/>
      <c r="JIK34" s="37"/>
      <c r="JIL34" s="37"/>
      <c r="JIM34" s="37"/>
      <c r="JIN34" s="37"/>
      <c r="JIO34" s="37"/>
      <c r="JIP34" s="37"/>
      <c r="JIQ34" s="37"/>
      <c r="JIR34" s="37"/>
      <c r="JIS34" s="37"/>
      <c r="JIT34" s="37"/>
      <c r="JIU34" s="37"/>
      <c r="JIV34" s="37"/>
      <c r="JIW34" s="37"/>
      <c r="JIX34" s="37"/>
      <c r="JIY34" s="37"/>
      <c r="JIZ34" s="37"/>
      <c r="JJA34" s="37"/>
      <c r="JJB34" s="37"/>
      <c r="JJC34" s="37"/>
      <c r="JJD34" s="37"/>
      <c r="JJE34" s="37"/>
      <c r="JJF34" s="37"/>
      <c r="JJG34" s="37"/>
      <c r="JJH34" s="37"/>
      <c r="JJI34" s="37"/>
      <c r="JJJ34" s="37"/>
      <c r="JJK34" s="37"/>
      <c r="JJL34" s="37"/>
      <c r="JJM34" s="37"/>
      <c r="JJN34" s="37"/>
      <c r="JJO34" s="37"/>
      <c r="JJP34" s="37"/>
      <c r="JJQ34" s="37"/>
      <c r="JJR34" s="37"/>
      <c r="JJS34" s="37"/>
      <c r="JJT34" s="37"/>
      <c r="JJU34" s="37"/>
      <c r="JJV34" s="37"/>
      <c r="JJW34" s="37"/>
      <c r="JJX34" s="37"/>
      <c r="JJY34" s="37"/>
      <c r="JJZ34" s="37"/>
      <c r="JKA34" s="37"/>
      <c r="JKB34" s="37"/>
      <c r="JKC34" s="37"/>
      <c r="JKD34" s="37"/>
      <c r="JKE34" s="37"/>
      <c r="JKF34" s="37"/>
      <c r="JKG34" s="37"/>
      <c r="JKH34" s="37"/>
      <c r="JKI34" s="37"/>
      <c r="JKJ34" s="37"/>
      <c r="JKK34" s="37"/>
      <c r="JKL34" s="37"/>
      <c r="JKM34" s="37"/>
      <c r="JKN34" s="37"/>
      <c r="JKO34" s="37"/>
      <c r="JKP34" s="37"/>
      <c r="JKQ34" s="37"/>
      <c r="JKR34" s="37"/>
      <c r="JKS34" s="37"/>
      <c r="JKT34" s="37"/>
      <c r="JKU34" s="37"/>
      <c r="JKV34" s="37"/>
      <c r="JKW34" s="37"/>
      <c r="JKX34" s="37"/>
      <c r="JKY34" s="37"/>
      <c r="JKZ34" s="37"/>
      <c r="JLA34" s="37"/>
      <c r="JLB34" s="37"/>
      <c r="JLC34" s="37"/>
      <c r="JLD34" s="37"/>
      <c r="JLE34" s="37"/>
      <c r="JLF34" s="37"/>
      <c r="JLG34" s="37"/>
      <c r="JLH34" s="37"/>
      <c r="JLI34" s="37"/>
      <c r="JLJ34" s="37"/>
      <c r="JLK34" s="37"/>
      <c r="JLL34" s="37"/>
      <c r="JLM34" s="37"/>
      <c r="JLN34" s="37"/>
      <c r="JLO34" s="37"/>
      <c r="JLP34" s="37"/>
      <c r="JLQ34" s="37"/>
      <c r="JLR34" s="37"/>
      <c r="JLS34" s="37"/>
      <c r="JLT34" s="37"/>
      <c r="JLU34" s="37"/>
      <c r="JLV34" s="37"/>
      <c r="JLW34" s="37"/>
      <c r="JLX34" s="37"/>
      <c r="JLY34" s="37"/>
      <c r="JLZ34" s="37"/>
      <c r="JMA34" s="37"/>
      <c r="JMB34" s="37"/>
      <c r="JMC34" s="37"/>
      <c r="JMD34" s="37"/>
      <c r="JME34" s="37"/>
      <c r="JMF34" s="37"/>
      <c r="JMG34" s="37"/>
      <c r="JMH34" s="37"/>
      <c r="JMI34" s="37"/>
      <c r="JMJ34" s="37"/>
      <c r="JMK34" s="37"/>
      <c r="JML34" s="37"/>
      <c r="JMM34" s="37"/>
      <c r="JMN34" s="37"/>
      <c r="JMO34" s="37"/>
      <c r="JMP34" s="37"/>
      <c r="JMQ34" s="37"/>
      <c r="JMR34" s="37"/>
      <c r="JMS34" s="37"/>
      <c r="JMT34" s="37"/>
      <c r="JMU34" s="37"/>
      <c r="JMV34" s="37"/>
      <c r="JMW34" s="37"/>
      <c r="JMX34" s="37"/>
      <c r="JMY34" s="37"/>
      <c r="JMZ34" s="37"/>
      <c r="JNA34" s="37"/>
      <c r="JNB34" s="37"/>
      <c r="JNC34" s="37"/>
      <c r="JND34" s="37"/>
      <c r="JNE34" s="37"/>
      <c r="JNF34" s="37"/>
      <c r="JNG34" s="37"/>
      <c r="JNH34" s="37"/>
      <c r="JNI34" s="37"/>
      <c r="JNJ34" s="37"/>
      <c r="JNK34" s="37"/>
      <c r="JNL34" s="37"/>
      <c r="JNM34" s="37"/>
      <c r="JNN34" s="37"/>
      <c r="JNO34" s="37"/>
      <c r="JNP34" s="37"/>
      <c r="JNQ34" s="37"/>
      <c r="JNR34" s="37"/>
      <c r="JNS34" s="37"/>
      <c r="JNT34" s="37"/>
      <c r="JNU34" s="37"/>
      <c r="JNV34" s="37"/>
      <c r="JNW34" s="37"/>
      <c r="JNX34" s="37"/>
      <c r="JNY34" s="37"/>
      <c r="JNZ34" s="37"/>
      <c r="JOA34" s="37"/>
      <c r="JOB34" s="37"/>
      <c r="JOC34" s="37"/>
      <c r="JOD34" s="37"/>
      <c r="JOE34" s="37"/>
      <c r="JOF34" s="37"/>
      <c r="JOG34" s="37"/>
      <c r="JOH34" s="37"/>
      <c r="JOI34" s="37"/>
      <c r="JOJ34" s="37"/>
      <c r="JOK34" s="37"/>
      <c r="JOL34" s="37"/>
      <c r="JOM34" s="37"/>
      <c r="JON34" s="37"/>
      <c r="JOO34" s="37"/>
      <c r="JOP34" s="37"/>
      <c r="JOQ34" s="37"/>
      <c r="JOR34" s="37"/>
      <c r="JOS34" s="37"/>
      <c r="JOT34" s="37"/>
      <c r="JOU34" s="37"/>
      <c r="JOV34" s="37"/>
      <c r="JOW34" s="37"/>
      <c r="JOX34" s="37"/>
      <c r="JOY34" s="37"/>
      <c r="JOZ34" s="37"/>
      <c r="JPA34" s="37"/>
      <c r="JPB34" s="37"/>
      <c r="JPC34" s="37"/>
      <c r="JPD34" s="37"/>
      <c r="JPE34" s="37"/>
      <c r="JPF34" s="37"/>
      <c r="JPG34" s="37"/>
      <c r="JPH34" s="37"/>
      <c r="JPI34" s="37"/>
      <c r="JPJ34" s="37"/>
      <c r="JPK34" s="37"/>
      <c r="JPL34" s="37"/>
      <c r="JPM34" s="37"/>
      <c r="JPN34" s="37"/>
      <c r="JPO34" s="37"/>
      <c r="JPP34" s="37"/>
      <c r="JPQ34" s="37"/>
      <c r="JPR34" s="37"/>
      <c r="JPS34" s="37"/>
      <c r="JPT34" s="37"/>
      <c r="JPU34" s="37"/>
      <c r="JPV34" s="37"/>
      <c r="JPW34" s="37"/>
      <c r="JPX34" s="37"/>
      <c r="JPY34" s="37"/>
      <c r="JPZ34" s="37"/>
      <c r="JQA34" s="37"/>
      <c r="JQB34" s="37"/>
      <c r="JQC34" s="37"/>
      <c r="JQD34" s="37"/>
      <c r="JQE34" s="37"/>
      <c r="JQF34" s="37"/>
      <c r="JQG34" s="37"/>
      <c r="JQH34" s="37"/>
      <c r="JQI34" s="37"/>
      <c r="JQJ34" s="37"/>
      <c r="JQK34" s="37"/>
      <c r="JQL34" s="37"/>
      <c r="JQM34" s="37"/>
      <c r="JQN34" s="37"/>
      <c r="JQO34" s="37"/>
      <c r="JQP34" s="37"/>
      <c r="JQQ34" s="37"/>
      <c r="JQR34" s="37"/>
      <c r="JQS34" s="37"/>
      <c r="JQT34" s="37"/>
      <c r="JQU34" s="37"/>
      <c r="JQV34" s="37"/>
      <c r="JQW34" s="37"/>
      <c r="JQX34" s="37"/>
      <c r="JQY34" s="37"/>
      <c r="JQZ34" s="37"/>
      <c r="JRA34" s="37"/>
      <c r="JRB34" s="37"/>
      <c r="JRC34" s="37"/>
      <c r="JRD34" s="37"/>
      <c r="JRE34" s="37"/>
      <c r="JRF34" s="37"/>
      <c r="JRG34" s="37"/>
      <c r="JRH34" s="37"/>
      <c r="JRI34" s="37"/>
      <c r="JRJ34" s="37"/>
      <c r="JRK34" s="37"/>
      <c r="JRL34" s="37"/>
      <c r="JRM34" s="37"/>
      <c r="JRN34" s="37"/>
      <c r="JRO34" s="37"/>
      <c r="JRP34" s="37"/>
      <c r="JRQ34" s="37"/>
      <c r="JRR34" s="37"/>
      <c r="JRS34" s="37"/>
      <c r="JRT34" s="37"/>
      <c r="JRU34" s="37"/>
      <c r="JRV34" s="37"/>
      <c r="JRW34" s="37"/>
      <c r="JRX34" s="37"/>
      <c r="JRY34" s="37"/>
      <c r="JRZ34" s="37"/>
      <c r="JSA34" s="37"/>
      <c r="JSB34" s="37"/>
      <c r="JSC34" s="37"/>
      <c r="JSD34" s="37"/>
      <c r="JSE34" s="37"/>
      <c r="JSF34" s="37"/>
      <c r="JSG34" s="37"/>
      <c r="JSH34" s="37"/>
      <c r="JSI34" s="37"/>
      <c r="JSJ34" s="37"/>
      <c r="JSK34" s="37"/>
      <c r="JSL34" s="37"/>
      <c r="JSM34" s="37"/>
      <c r="JSN34" s="37"/>
      <c r="JSO34" s="37"/>
      <c r="JSP34" s="37"/>
      <c r="JSQ34" s="37"/>
      <c r="JSR34" s="37"/>
      <c r="JSS34" s="37"/>
      <c r="JST34" s="37"/>
      <c r="JSU34" s="37"/>
      <c r="JSV34" s="37"/>
      <c r="JSW34" s="37"/>
      <c r="JSX34" s="37"/>
      <c r="JSY34" s="37"/>
      <c r="JSZ34" s="37"/>
      <c r="JTA34" s="37"/>
      <c r="JTB34" s="37"/>
      <c r="JTC34" s="37"/>
      <c r="JTD34" s="37"/>
      <c r="JTE34" s="37"/>
      <c r="JTF34" s="37"/>
      <c r="JTG34" s="37"/>
      <c r="JTH34" s="37"/>
      <c r="JTI34" s="37"/>
      <c r="JTJ34" s="37"/>
      <c r="JTK34" s="37"/>
      <c r="JTL34" s="37"/>
      <c r="JTM34" s="37"/>
      <c r="JTN34" s="37"/>
      <c r="JTO34" s="37"/>
      <c r="JTP34" s="37"/>
      <c r="JTQ34" s="37"/>
      <c r="JTR34" s="37"/>
      <c r="JTS34" s="37"/>
      <c r="JTT34" s="37"/>
      <c r="JTU34" s="37"/>
      <c r="JTV34" s="37"/>
      <c r="JTW34" s="37"/>
      <c r="JTX34" s="37"/>
      <c r="JTY34" s="37"/>
      <c r="JTZ34" s="37"/>
      <c r="JUA34" s="37"/>
      <c r="JUB34" s="37"/>
      <c r="JUC34" s="37"/>
      <c r="JUD34" s="37"/>
      <c r="JUE34" s="37"/>
      <c r="JUF34" s="37"/>
      <c r="JUG34" s="37"/>
      <c r="JUH34" s="37"/>
      <c r="JUI34" s="37"/>
      <c r="JUJ34" s="37"/>
      <c r="JUK34" s="37"/>
      <c r="JUL34" s="37"/>
      <c r="JUM34" s="37"/>
      <c r="JUN34" s="37"/>
      <c r="JUO34" s="37"/>
      <c r="JUP34" s="37"/>
      <c r="JUQ34" s="37"/>
      <c r="JUR34" s="37"/>
      <c r="JUS34" s="37"/>
      <c r="JUT34" s="37"/>
      <c r="JUU34" s="37"/>
      <c r="JUV34" s="37"/>
      <c r="JUW34" s="37"/>
      <c r="JUX34" s="37"/>
      <c r="JUY34" s="37"/>
      <c r="JUZ34" s="37"/>
      <c r="JVA34" s="37"/>
      <c r="JVB34" s="37"/>
      <c r="JVC34" s="37"/>
      <c r="JVD34" s="37"/>
      <c r="JVE34" s="37"/>
      <c r="JVF34" s="37"/>
      <c r="JVG34" s="37"/>
      <c r="JVH34" s="37"/>
      <c r="JVI34" s="37"/>
      <c r="JVJ34" s="37"/>
      <c r="JVK34" s="37"/>
      <c r="JVL34" s="37"/>
      <c r="JVM34" s="37"/>
      <c r="JVN34" s="37"/>
      <c r="JVO34" s="37"/>
      <c r="JVP34" s="37"/>
      <c r="JVQ34" s="37"/>
      <c r="JVR34" s="37"/>
      <c r="JVS34" s="37"/>
      <c r="JVT34" s="37"/>
      <c r="JVU34" s="37"/>
      <c r="JVV34" s="37"/>
      <c r="JVW34" s="37"/>
      <c r="JVX34" s="37"/>
      <c r="JVY34" s="37"/>
      <c r="JVZ34" s="37"/>
      <c r="JWA34" s="37"/>
      <c r="JWB34" s="37"/>
      <c r="JWC34" s="37"/>
      <c r="JWD34" s="37"/>
      <c r="JWE34" s="37"/>
      <c r="JWF34" s="37"/>
      <c r="JWG34" s="37"/>
      <c r="JWH34" s="37"/>
      <c r="JWI34" s="37"/>
      <c r="JWJ34" s="37"/>
      <c r="JWK34" s="37"/>
      <c r="JWL34" s="37"/>
      <c r="JWM34" s="37"/>
      <c r="JWN34" s="37"/>
      <c r="JWO34" s="37"/>
      <c r="JWP34" s="37"/>
      <c r="JWQ34" s="37"/>
      <c r="JWR34" s="37"/>
      <c r="JWS34" s="37"/>
      <c r="JWT34" s="37"/>
      <c r="JWU34" s="37"/>
      <c r="JWV34" s="37"/>
      <c r="JWW34" s="37"/>
      <c r="JWX34" s="37"/>
      <c r="JWY34" s="37"/>
      <c r="JWZ34" s="37"/>
      <c r="JXA34" s="37"/>
      <c r="JXB34" s="37"/>
      <c r="JXC34" s="37"/>
      <c r="JXD34" s="37"/>
      <c r="JXE34" s="37"/>
      <c r="JXF34" s="37"/>
      <c r="JXG34" s="37"/>
      <c r="JXH34" s="37"/>
      <c r="JXI34" s="37"/>
      <c r="JXJ34" s="37"/>
      <c r="JXK34" s="37"/>
      <c r="JXL34" s="37"/>
      <c r="JXM34" s="37"/>
      <c r="JXN34" s="37"/>
      <c r="JXO34" s="37"/>
      <c r="JXP34" s="37"/>
      <c r="JXQ34" s="37"/>
      <c r="JXR34" s="37"/>
      <c r="JXS34" s="37"/>
      <c r="JXT34" s="37"/>
      <c r="JXU34" s="37"/>
      <c r="JXV34" s="37"/>
      <c r="JXW34" s="37"/>
      <c r="JXX34" s="37"/>
      <c r="JXY34" s="37"/>
      <c r="JXZ34" s="37"/>
      <c r="JYA34" s="37"/>
      <c r="JYB34" s="37"/>
      <c r="JYC34" s="37"/>
      <c r="JYD34" s="37"/>
      <c r="JYE34" s="37"/>
      <c r="JYF34" s="37"/>
      <c r="JYG34" s="37"/>
      <c r="JYH34" s="37"/>
      <c r="JYI34" s="37"/>
      <c r="JYJ34" s="37"/>
      <c r="JYK34" s="37"/>
      <c r="JYL34" s="37"/>
      <c r="JYM34" s="37"/>
      <c r="JYN34" s="37"/>
      <c r="JYO34" s="37"/>
      <c r="JYP34" s="37"/>
      <c r="JYQ34" s="37"/>
      <c r="JYR34" s="37"/>
      <c r="JYS34" s="37"/>
      <c r="JYT34" s="37"/>
      <c r="JYU34" s="37"/>
      <c r="JYV34" s="37"/>
      <c r="JYW34" s="37"/>
      <c r="JYX34" s="37"/>
      <c r="JYY34" s="37"/>
      <c r="JYZ34" s="37"/>
      <c r="JZA34" s="37"/>
      <c r="JZB34" s="37"/>
      <c r="JZC34" s="37"/>
      <c r="JZD34" s="37"/>
      <c r="JZE34" s="37"/>
      <c r="JZF34" s="37"/>
      <c r="JZG34" s="37"/>
      <c r="JZH34" s="37"/>
      <c r="JZI34" s="37"/>
      <c r="JZJ34" s="37"/>
      <c r="JZK34" s="37"/>
      <c r="JZL34" s="37"/>
      <c r="JZM34" s="37"/>
      <c r="JZN34" s="37"/>
      <c r="JZO34" s="37"/>
      <c r="JZP34" s="37"/>
      <c r="JZQ34" s="37"/>
      <c r="JZR34" s="37"/>
      <c r="JZS34" s="37"/>
      <c r="JZT34" s="37"/>
      <c r="JZU34" s="37"/>
      <c r="JZV34" s="37"/>
      <c r="JZW34" s="37"/>
      <c r="JZX34" s="37"/>
      <c r="JZY34" s="37"/>
      <c r="JZZ34" s="37"/>
      <c r="KAA34" s="37"/>
      <c r="KAB34" s="37"/>
      <c r="KAC34" s="37"/>
      <c r="KAD34" s="37"/>
      <c r="KAE34" s="37"/>
      <c r="KAF34" s="37"/>
      <c r="KAG34" s="37"/>
      <c r="KAH34" s="37"/>
      <c r="KAI34" s="37"/>
      <c r="KAJ34" s="37"/>
      <c r="KAK34" s="37"/>
      <c r="KAL34" s="37"/>
      <c r="KAM34" s="37"/>
      <c r="KAN34" s="37"/>
      <c r="KAO34" s="37"/>
      <c r="KAP34" s="37"/>
      <c r="KAQ34" s="37"/>
      <c r="KAR34" s="37"/>
      <c r="KAS34" s="37"/>
      <c r="KAT34" s="37"/>
      <c r="KAU34" s="37"/>
      <c r="KAV34" s="37"/>
      <c r="KAW34" s="37"/>
      <c r="KAX34" s="37"/>
      <c r="KAY34" s="37"/>
      <c r="KAZ34" s="37"/>
      <c r="KBA34" s="37"/>
      <c r="KBB34" s="37"/>
      <c r="KBC34" s="37"/>
      <c r="KBD34" s="37"/>
      <c r="KBE34" s="37"/>
      <c r="KBF34" s="37"/>
      <c r="KBG34" s="37"/>
      <c r="KBH34" s="37"/>
      <c r="KBI34" s="37"/>
      <c r="KBJ34" s="37"/>
      <c r="KBK34" s="37"/>
      <c r="KBL34" s="37"/>
      <c r="KBM34" s="37"/>
      <c r="KBN34" s="37"/>
      <c r="KBO34" s="37"/>
      <c r="KBP34" s="37"/>
      <c r="KBQ34" s="37"/>
      <c r="KBR34" s="37"/>
      <c r="KBS34" s="37"/>
      <c r="KBT34" s="37"/>
      <c r="KBU34" s="37"/>
      <c r="KBV34" s="37"/>
      <c r="KBW34" s="37"/>
      <c r="KBX34" s="37"/>
      <c r="KBY34" s="37"/>
      <c r="KBZ34" s="37"/>
      <c r="KCA34" s="37"/>
      <c r="KCB34" s="37"/>
      <c r="KCC34" s="37"/>
      <c r="KCD34" s="37"/>
      <c r="KCE34" s="37"/>
      <c r="KCF34" s="37"/>
      <c r="KCG34" s="37"/>
      <c r="KCH34" s="37"/>
      <c r="KCI34" s="37"/>
      <c r="KCJ34" s="37"/>
      <c r="KCK34" s="37"/>
      <c r="KCL34" s="37"/>
      <c r="KCM34" s="37"/>
      <c r="KCN34" s="37"/>
      <c r="KCO34" s="37"/>
      <c r="KCP34" s="37"/>
      <c r="KCQ34" s="37"/>
      <c r="KCR34" s="37"/>
      <c r="KCS34" s="37"/>
      <c r="KCT34" s="37"/>
      <c r="KCU34" s="37"/>
      <c r="KCV34" s="37"/>
      <c r="KCW34" s="37"/>
      <c r="KCX34" s="37"/>
      <c r="KCY34" s="37"/>
      <c r="KCZ34" s="37"/>
      <c r="KDA34" s="37"/>
      <c r="KDB34" s="37"/>
      <c r="KDC34" s="37"/>
      <c r="KDD34" s="37"/>
      <c r="KDE34" s="37"/>
      <c r="KDF34" s="37"/>
      <c r="KDG34" s="37"/>
      <c r="KDH34" s="37"/>
      <c r="KDI34" s="37"/>
      <c r="KDJ34" s="37"/>
      <c r="KDK34" s="37"/>
      <c r="KDL34" s="37"/>
      <c r="KDM34" s="37"/>
      <c r="KDN34" s="37"/>
      <c r="KDO34" s="37"/>
      <c r="KDP34" s="37"/>
      <c r="KDQ34" s="37"/>
      <c r="KDR34" s="37"/>
      <c r="KDS34" s="37"/>
      <c r="KDT34" s="37"/>
      <c r="KDU34" s="37"/>
      <c r="KDV34" s="37"/>
      <c r="KDW34" s="37"/>
      <c r="KDX34" s="37"/>
      <c r="KDY34" s="37"/>
      <c r="KDZ34" s="37"/>
      <c r="KEA34" s="37"/>
      <c r="KEB34" s="37"/>
      <c r="KEC34" s="37"/>
      <c r="KED34" s="37"/>
      <c r="KEE34" s="37"/>
      <c r="KEF34" s="37"/>
      <c r="KEG34" s="37"/>
      <c r="KEH34" s="37"/>
      <c r="KEI34" s="37"/>
      <c r="KEJ34" s="37"/>
      <c r="KEK34" s="37"/>
      <c r="KEL34" s="37"/>
      <c r="KEM34" s="37"/>
      <c r="KEN34" s="37"/>
      <c r="KEO34" s="37"/>
      <c r="KEP34" s="37"/>
      <c r="KEQ34" s="37"/>
      <c r="KER34" s="37"/>
      <c r="KES34" s="37"/>
      <c r="KET34" s="37"/>
      <c r="KEU34" s="37"/>
      <c r="KEV34" s="37"/>
      <c r="KEW34" s="37"/>
      <c r="KEX34" s="37"/>
      <c r="KEY34" s="37"/>
      <c r="KEZ34" s="37"/>
      <c r="KFA34" s="37"/>
      <c r="KFB34" s="37"/>
      <c r="KFC34" s="37"/>
      <c r="KFD34" s="37"/>
      <c r="KFE34" s="37"/>
      <c r="KFF34" s="37"/>
      <c r="KFG34" s="37"/>
      <c r="KFH34" s="37"/>
      <c r="KFI34" s="37"/>
      <c r="KFJ34" s="37"/>
      <c r="KFK34" s="37"/>
      <c r="KFL34" s="37"/>
      <c r="KFM34" s="37"/>
      <c r="KFN34" s="37"/>
      <c r="KFO34" s="37"/>
      <c r="KFP34" s="37"/>
      <c r="KFQ34" s="37"/>
      <c r="KFR34" s="37"/>
      <c r="KFS34" s="37"/>
      <c r="KFT34" s="37"/>
      <c r="KFU34" s="37"/>
      <c r="KFV34" s="37"/>
      <c r="KFW34" s="37"/>
      <c r="KFX34" s="37"/>
      <c r="KFY34" s="37"/>
      <c r="KFZ34" s="37"/>
      <c r="KGA34" s="37"/>
      <c r="KGB34" s="37"/>
      <c r="KGC34" s="37"/>
      <c r="KGD34" s="37"/>
      <c r="KGE34" s="37"/>
      <c r="KGF34" s="37"/>
      <c r="KGG34" s="37"/>
      <c r="KGH34" s="37"/>
      <c r="KGI34" s="37"/>
      <c r="KGJ34" s="37"/>
      <c r="KGK34" s="37"/>
      <c r="KGL34" s="37"/>
      <c r="KGM34" s="37"/>
      <c r="KGN34" s="37"/>
      <c r="KGO34" s="37"/>
      <c r="KGP34" s="37"/>
      <c r="KGQ34" s="37"/>
      <c r="KGR34" s="37"/>
      <c r="KGS34" s="37"/>
      <c r="KGT34" s="37"/>
      <c r="KGU34" s="37"/>
      <c r="KGV34" s="37"/>
      <c r="KGW34" s="37"/>
      <c r="KGX34" s="37"/>
      <c r="KGY34" s="37"/>
      <c r="KGZ34" s="37"/>
      <c r="KHA34" s="37"/>
      <c r="KHB34" s="37"/>
      <c r="KHC34" s="37"/>
      <c r="KHD34" s="37"/>
      <c r="KHE34" s="37"/>
      <c r="KHF34" s="37"/>
      <c r="KHG34" s="37"/>
      <c r="KHH34" s="37"/>
      <c r="KHI34" s="37"/>
      <c r="KHJ34" s="37"/>
      <c r="KHK34" s="37"/>
      <c r="KHL34" s="37"/>
      <c r="KHM34" s="37"/>
      <c r="KHN34" s="37"/>
      <c r="KHO34" s="37"/>
      <c r="KHP34" s="37"/>
      <c r="KHQ34" s="37"/>
      <c r="KHR34" s="37"/>
      <c r="KHS34" s="37"/>
      <c r="KHT34" s="37"/>
      <c r="KHU34" s="37"/>
      <c r="KHV34" s="37"/>
      <c r="KHW34" s="37"/>
      <c r="KHX34" s="37"/>
      <c r="KHY34" s="37"/>
      <c r="KHZ34" s="37"/>
      <c r="KIA34" s="37"/>
      <c r="KIB34" s="37"/>
      <c r="KIC34" s="37"/>
      <c r="KID34" s="37"/>
      <c r="KIE34" s="37"/>
      <c r="KIF34" s="37"/>
      <c r="KIG34" s="37"/>
      <c r="KIH34" s="37"/>
      <c r="KII34" s="37"/>
      <c r="KIJ34" s="37"/>
      <c r="KIK34" s="37"/>
      <c r="KIL34" s="37"/>
      <c r="KIM34" s="37"/>
      <c r="KIN34" s="37"/>
      <c r="KIO34" s="37"/>
      <c r="KIP34" s="37"/>
      <c r="KIQ34" s="37"/>
      <c r="KIR34" s="37"/>
      <c r="KIS34" s="37"/>
      <c r="KIT34" s="37"/>
      <c r="KIU34" s="37"/>
      <c r="KIV34" s="37"/>
      <c r="KIW34" s="37"/>
      <c r="KIX34" s="37"/>
      <c r="KIY34" s="37"/>
      <c r="KIZ34" s="37"/>
      <c r="KJA34" s="37"/>
      <c r="KJB34" s="37"/>
      <c r="KJC34" s="37"/>
      <c r="KJD34" s="37"/>
      <c r="KJE34" s="37"/>
      <c r="KJF34" s="37"/>
      <c r="KJG34" s="37"/>
      <c r="KJH34" s="37"/>
      <c r="KJI34" s="37"/>
      <c r="KJJ34" s="37"/>
      <c r="KJK34" s="37"/>
      <c r="KJL34" s="37"/>
      <c r="KJM34" s="37"/>
      <c r="KJN34" s="37"/>
      <c r="KJO34" s="37"/>
      <c r="KJP34" s="37"/>
      <c r="KJQ34" s="37"/>
      <c r="KJR34" s="37"/>
      <c r="KJS34" s="37"/>
      <c r="KJT34" s="37"/>
      <c r="KJU34" s="37"/>
      <c r="KJV34" s="37"/>
      <c r="KJW34" s="37"/>
      <c r="KJX34" s="37"/>
      <c r="KJY34" s="37"/>
      <c r="KJZ34" s="37"/>
      <c r="KKA34" s="37"/>
      <c r="KKB34" s="37"/>
      <c r="KKC34" s="37"/>
      <c r="KKD34" s="37"/>
      <c r="KKE34" s="37"/>
      <c r="KKF34" s="37"/>
      <c r="KKG34" s="37"/>
      <c r="KKH34" s="37"/>
      <c r="KKI34" s="37"/>
      <c r="KKJ34" s="37"/>
      <c r="KKK34" s="37"/>
      <c r="KKL34" s="37"/>
      <c r="KKM34" s="37"/>
      <c r="KKN34" s="37"/>
      <c r="KKO34" s="37"/>
      <c r="KKP34" s="37"/>
      <c r="KKQ34" s="37"/>
      <c r="KKR34" s="37"/>
      <c r="KKS34" s="37"/>
      <c r="KKT34" s="37"/>
      <c r="KKU34" s="37"/>
      <c r="KKV34" s="37"/>
      <c r="KKW34" s="37"/>
      <c r="KKX34" s="37"/>
      <c r="KKY34" s="37"/>
      <c r="KKZ34" s="37"/>
      <c r="KLA34" s="37"/>
      <c r="KLB34" s="37"/>
      <c r="KLC34" s="37"/>
      <c r="KLD34" s="37"/>
      <c r="KLE34" s="37"/>
      <c r="KLF34" s="37"/>
      <c r="KLG34" s="37"/>
      <c r="KLH34" s="37"/>
      <c r="KLI34" s="37"/>
      <c r="KLJ34" s="37"/>
      <c r="KLK34" s="37"/>
      <c r="KLL34" s="37"/>
      <c r="KLM34" s="37"/>
      <c r="KLN34" s="37"/>
      <c r="KLO34" s="37"/>
      <c r="KLP34" s="37"/>
      <c r="KLQ34" s="37"/>
      <c r="KLR34" s="37"/>
      <c r="KLS34" s="37"/>
      <c r="KLT34" s="37"/>
      <c r="KLU34" s="37"/>
      <c r="KLV34" s="37"/>
      <c r="KLW34" s="37"/>
      <c r="KLX34" s="37"/>
      <c r="KLY34" s="37"/>
      <c r="KLZ34" s="37"/>
      <c r="KMA34" s="37"/>
      <c r="KMB34" s="37"/>
      <c r="KMC34" s="37"/>
      <c r="KMD34" s="37"/>
      <c r="KME34" s="37"/>
      <c r="KMF34" s="37"/>
      <c r="KMG34" s="37"/>
      <c r="KMH34" s="37"/>
      <c r="KMI34" s="37"/>
      <c r="KMJ34" s="37"/>
      <c r="KMK34" s="37"/>
      <c r="KML34" s="37"/>
      <c r="KMM34" s="37"/>
      <c r="KMN34" s="37"/>
      <c r="KMO34" s="37"/>
      <c r="KMP34" s="37"/>
      <c r="KMQ34" s="37"/>
      <c r="KMR34" s="37"/>
      <c r="KMS34" s="37"/>
      <c r="KMT34" s="37"/>
      <c r="KMU34" s="37"/>
      <c r="KMV34" s="37"/>
      <c r="KMW34" s="37"/>
      <c r="KMX34" s="37"/>
      <c r="KMY34" s="37"/>
      <c r="KMZ34" s="37"/>
      <c r="KNA34" s="37"/>
      <c r="KNB34" s="37"/>
      <c r="KNC34" s="37"/>
      <c r="KND34" s="37"/>
      <c r="KNE34" s="37"/>
      <c r="KNF34" s="37"/>
      <c r="KNG34" s="37"/>
      <c r="KNH34" s="37"/>
      <c r="KNI34" s="37"/>
      <c r="KNJ34" s="37"/>
      <c r="KNK34" s="37"/>
      <c r="KNL34" s="37"/>
      <c r="KNM34" s="37"/>
      <c r="KNN34" s="37"/>
      <c r="KNO34" s="37"/>
      <c r="KNP34" s="37"/>
      <c r="KNQ34" s="37"/>
      <c r="KNR34" s="37"/>
      <c r="KNS34" s="37"/>
      <c r="KNT34" s="37"/>
      <c r="KNU34" s="37"/>
      <c r="KNV34" s="37"/>
      <c r="KNW34" s="37"/>
      <c r="KNX34" s="37"/>
      <c r="KNY34" s="37"/>
      <c r="KNZ34" s="37"/>
      <c r="KOA34" s="37"/>
      <c r="KOB34" s="37"/>
      <c r="KOC34" s="37"/>
      <c r="KOD34" s="37"/>
      <c r="KOE34" s="37"/>
      <c r="KOF34" s="37"/>
      <c r="KOG34" s="37"/>
      <c r="KOH34" s="37"/>
      <c r="KOI34" s="37"/>
      <c r="KOJ34" s="37"/>
      <c r="KOK34" s="37"/>
      <c r="KOL34" s="37"/>
      <c r="KOM34" s="37"/>
      <c r="KON34" s="37"/>
      <c r="KOO34" s="37"/>
      <c r="KOP34" s="37"/>
      <c r="KOQ34" s="37"/>
      <c r="KOR34" s="37"/>
      <c r="KOS34" s="37"/>
      <c r="KOT34" s="37"/>
      <c r="KOU34" s="37"/>
      <c r="KOV34" s="37"/>
      <c r="KOW34" s="37"/>
      <c r="KOX34" s="37"/>
      <c r="KOY34" s="37"/>
      <c r="KOZ34" s="37"/>
      <c r="KPA34" s="37"/>
      <c r="KPB34" s="37"/>
      <c r="KPC34" s="37"/>
      <c r="KPD34" s="37"/>
      <c r="KPE34" s="37"/>
      <c r="KPF34" s="37"/>
      <c r="KPG34" s="37"/>
      <c r="KPH34" s="37"/>
      <c r="KPI34" s="37"/>
      <c r="KPJ34" s="37"/>
      <c r="KPK34" s="37"/>
      <c r="KPL34" s="37"/>
      <c r="KPM34" s="37"/>
      <c r="KPN34" s="37"/>
      <c r="KPO34" s="37"/>
      <c r="KPP34" s="37"/>
      <c r="KPQ34" s="37"/>
      <c r="KPR34" s="37"/>
      <c r="KPS34" s="37"/>
      <c r="KPT34" s="37"/>
      <c r="KPU34" s="37"/>
      <c r="KPV34" s="37"/>
      <c r="KPW34" s="37"/>
      <c r="KPX34" s="37"/>
      <c r="KPY34" s="37"/>
      <c r="KPZ34" s="37"/>
      <c r="KQA34" s="37"/>
      <c r="KQB34" s="37"/>
      <c r="KQC34" s="37"/>
      <c r="KQD34" s="37"/>
      <c r="KQE34" s="37"/>
      <c r="KQF34" s="37"/>
      <c r="KQG34" s="37"/>
      <c r="KQH34" s="37"/>
      <c r="KQI34" s="37"/>
      <c r="KQJ34" s="37"/>
      <c r="KQK34" s="37"/>
      <c r="KQL34" s="37"/>
      <c r="KQM34" s="37"/>
      <c r="KQN34" s="37"/>
      <c r="KQO34" s="37"/>
      <c r="KQP34" s="37"/>
      <c r="KQQ34" s="37"/>
      <c r="KQR34" s="37"/>
      <c r="KQS34" s="37"/>
      <c r="KQT34" s="37"/>
      <c r="KQU34" s="37"/>
      <c r="KQV34" s="37"/>
      <c r="KQW34" s="37"/>
      <c r="KQX34" s="37"/>
      <c r="KQY34" s="37"/>
      <c r="KQZ34" s="37"/>
      <c r="KRA34" s="37"/>
      <c r="KRB34" s="37"/>
      <c r="KRC34" s="37"/>
      <c r="KRD34" s="37"/>
      <c r="KRE34" s="37"/>
      <c r="KRF34" s="37"/>
      <c r="KRG34" s="37"/>
      <c r="KRH34" s="37"/>
      <c r="KRI34" s="37"/>
      <c r="KRJ34" s="37"/>
      <c r="KRK34" s="37"/>
      <c r="KRL34" s="37"/>
      <c r="KRM34" s="37"/>
      <c r="KRN34" s="37"/>
      <c r="KRO34" s="37"/>
      <c r="KRP34" s="37"/>
      <c r="KRQ34" s="37"/>
      <c r="KRR34" s="37"/>
      <c r="KRS34" s="37"/>
      <c r="KRT34" s="37"/>
      <c r="KRU34" s="37"/>
      <c r="KRV34" s="37"/>
      <c r="KRW34" s="37"/>
      <c r="KRX34" s="37"/>
      <c r="KRY34" s="37"/>
      <c r="KRZ34" s="37"/>
      <c r="KSA34" s="37"/>
      <c r="KSB34" s="37"/>
      <c r="KSC34" s="37"/>
      <c r="KSD34" s="37"/>
      <c r="KSE34" s="37"/>
      <c r="KSF34" s="37"/>
      <c r="KSG34" s="37"/>
      <c r="KSH34" s="37"/>
      <c r="KSI34" s="37"/>
      <c r="KSJ34" s="37"/>
      <c r="KSK34" s="37"/>
      <c r="KSL34" s="37"/>
      <c r="KSM34" s="37"/>
      <c r="KSN34" s="37"/>
      <c r="KSO34" s="37"/>
      <c r="KSP34" s="37"/>
      <c r="KSQ34" s="37"/>
      <c r="KSR34" s="37"/>
      <c r="KSS34" s="37"/>
      <c r="KST34" s="37"/>
      <c r="KSU34" s="37"/>
      <c r="KSV34" s="37"/>
      <c r="KSW34" s="37"/>
      <c r="KSX34" s="37"/>
      <c r="KSY34" s="37"/>
      <c r="KSZ34" s="37"/>
      <c r="KTA34" s="37"/>
      <c r="KTB34" s="37"/>
      <c r="KTC34" s="37"/>
      <c r="KTD34" s="37"/>
      <c r="KTE34" s="37"/>
      <c r="KTF34" s="37"/>
      <c r="KTG34" s="37"/>
      <c r="KTH34" s="37"/>
      <c r="KTI34" s="37"/>
      <c r="KTJ34" s="37"/>
      <c r="KTK34" s="37"/>
      <c r="KTL34" s="37"/>
      <c r="KTM34" s="37"/>
      <c r="KTN34" s="37"/>
      <c r="KTO34" s="37"/>
      <c r="KTP34" s="37"/>
      <c r="KTQ34" s="37"/>
      <c r="KTR34" s="37"/>
      <c r="KTS34" s="37"/>
      <c r="KTT34" s="37"/>
      <c r="KTU34" s="37"/>
      <c r="KTV34" s="37"/>
      <c r="KTW34" s="37"/>
      <c r="KTX34" s="37"/>
      <c r="KTY34" s="37"/>
      <c r="KTZ34" s="37"/>
      <c r="KUA34" s="37"/>
      <c r="KUB34" s="37"/>
      <c r="KUC34" s="37"/>
      <c r="KUD34" s="37"/>
      <c r="KUE34" s="37"/>
      <c r="KUF34" s="37"/>
      <c r="KUG34" s="37"/>
      <c r="KUH34" s="37"/>
      <c r="KUI34" s="37"/>
      <c r="KUJ34" s="37"/>
      <c r="KUK34" s="37"/>
      <c r="KUL34" s="37"/>
      <c r="KUM34" s="37"/>
      <c r="KUN34" s="37"/>
      <c r="KUO34" s="37"/>
      <c r="KUP34" s="37"/>
      <c r="KUQ34" s="37"/>
      <c r="KUR34" s="37"/>
      <c r="KUS34" s="37"/>
      <c r="KUT34" s="37"/>
      <c r="KUU34" s="37"/>
      <c r="KUV34" s="37"/>
      <c r="KUW34" s="37"/>
      <c r="KUX34" s="37"/>
      <c r="KUY34" s="37"/>
      <c r="KUZ34" s="37"/>
      <c r="KVA34" s="37"/>
      <c r="KVB34" s="37"/>
      <c r="KVC34" s="37"/>
      <c r="KVD34" s="37"/>
      <c r="KVE34" s="37"/>
      <c r="KVF34" s="37"/>
      <c r="KVG34" s="37"/>
      <c r="KVH34" s="37"/>
      <c r="KVI34" s="37"/>
      <c r="KVJ34" s="37"/>
      <c r="KVK34" s="37"/>
      <c r="KVL34" s="37"/>
      <c r="KVM34" s="37"/>
      <c r="KVN34" s="37"/>
      <c r="KVO34" s="37"/>
      <c r="KVP34" s="37"/>
      <c r="KVQ34" s="37"/>
      <c r="KVR34" s="37"/>
      <c r="KVS34" s="37"/>
      <c r="KVT34" s="37"/>
      <c r="KVU34" s="37"/>
      <c r="KVV34" s="37"/>
      <c r="KVW34" s="37"/>
      <c r="KVX34" s="37"/>
      <c r="KVY34" s="37"/>
      <c r="KVZ34" s="37"/>
      <c r="KWA34" s="37"/>
      <c r="KWB34" s="37"/>
      <c r="KWC34" s="37"/>
      <c r="KWD34" s="37"/>
      <c r="KWE34" s="37"/>
      <c r="KWF34" s="37"/>
      <c r="KWG34" s="37"/>
      <c r="KWH34" s="37"/>
      <c r="KWI34" s="37"/>
      <c r="KWJ34" s="37"/>
      <c r="KWK34" s="37"/>
      <c r="KWL34" s="37"/>
      <c r="KWM34" s="37"/>
      <c r="KWN34" s="37"/>
      <c r="KWO34" s="37"/>
      <c r="KWP34" s="37"/>
      <c r="KWQ34" s="37"/>
      <c r="KWR34" s="37"/>
      <c r="KWS34" s="37"/>
      <c r="KWT34" s="37"/>
      <c r="KWU34" s="37"/>
      <c r="KWV34" s="37"/>
      <c r="KWW34" s="37"/>
      <c r="KWX34" s="37"/>
      <c r="KWY34" s="37"/>
      <c r="KWZ34" s="37"/>
      <c r="KXA34" s="37"/>
      <c r="KXB34" s="37"/>
      <c r="KXC34" s="37"/>
      <c r="KXD34" s="37"/>
      <c r="KXE34" s="37"/>
      <c r="KXF34" s="37"/>
      <c r="KXG34" s="37"/>
      <c r="KXH34" s="37"/>
      <c r="KXI34" s="37"/>
      <c r="KXJ34" s="37"/>
      <c r="KXK34" s="37"/>
      <c r="KXL34" s="37"/>
      <c r="KXM34" s="37"/>
      <c r="KXN34" s="37"/>
      <c r="KXO34" s="37"/>
      <c r="KXP34" s="37"/>
      <c r="KXQ34" s="37"/>
      <c r="KXR34" s="37"/>
      <c r="KXS34" s="37"/>
      <c r="KXT34" s="37"/>
      <c r="KXU34" s="37"/>
      <c r="KXV34" s="37"/>
      <c r="KXW34" s="37"/>
      <c r="KXX34" s="37"/>
      <c r="KXY34" s="37"/>
      <c r="KXZ34" s="37"/>
      <c r="KYA34" s="37"/>
      <c r="KYB34" s="37"/>
      <c r="KYC34" s="37"/>
      <c r="KYD34" s="37"/>
      <c r="KYE34" s="37"/>
      <c r="KYF34" s="37"/>
      <c r="KYG34" s="37"/>
      <c r="KYH34" s="37"/>
      <c r="KYI34" s="37"/>
      <c r="KYJ34" s="37"/>
      <c r="KYK34" s="37"/>
      <c r="KYL34" s="37"/>
      <c r="KYM34" s="37"/>
      <c r="KYN34" s="37"/>
      <c r="KYO34" s="37"/>
      <c r="KYP34" s="37"/>
      <c r="KYQ34" s="37"/>
      <c r="KYR34" s="37"/>
      <c r="KYS34" s="37"/>
      <c r="KYT34" s="37"/>
      <c r="KYU34" s="37"/>
      <c r="KYV34" s="37"/>
      <c r="KYW34" s="37"/>
      <c r="KYX34" s="37"/>
      <c r="KYY34" s="37"/>
      <c r="KYZ34" s="37"/>
      <c r="KZA34" s="37"/>
      <c r="KZB34" s="37"/>
      <c r="KZC34" s="37"/>
      <c r="KZD34" s="37"/>
      <c r="KZE34" s="37"/>
      <c r="KZF34" s="37"/>
      <c r="KZG34" s="37"/>
      <c r="KZH34" s="37"/>
      <c r="KZI34" s="37"/>
      <c r="KZJ34" s="37"/>
      <c r="KZK34" s="37"/>
      <c r="KZL34" s="37"/>
      <c r="KZM34" s="37"/>
      <c r="KZN34" s="37"/>
      <c r="KZO34" s="37"/>
      <c r="KZP34" s="37"/>
      <c r="KZQ34" s="37"/>
      <c r="KZR34" s="37"/>
      <c r="KZS34" s="37"/>
      <c r="KZT34" s="37"/>
      <c r="KZU34" s="37"/>
      <c r="KZV34" s="37"/>
      <c r="KZW34" s="37"/>
      <c r="KZX34" s="37"/>
      <c r="KZY34" s="37"/>
      <c r="KZZ34" s="37"/>
      <c r="LAA34" s="37"/>
      <c r="LAB34" s="37"/>
      <c r="LAC34" s="37"/>
      <c r="LAD34" s="37"/>
      <c r="LAE34" s="37"/>
      <c r="LAF34" s="37"/>
      <c r="LAG34" s="37"/>
      <c r="LAH34" s="37"/>
      <c r="LAI34" s="37"/>
      <c r="LAJ34" s="37"/>
      <c r="LAK34" s="37"/>
      <c r="LAL34" s="37"/>
      <c r="LAM34" s="37"/>
      <c r="LAN34" s="37"/>
      <c r="LAO34" s="37"/>
      <c r="LAP34" s="37"/>
      <c r="LAQ34" s="37"/>
      <c r="LAR34" s="37"/>
      <c r="LAS34" s="37"/>
      <c r="LAT34" s="37"/>
      <c r="LAU34" s="37"/>
      <c r="LAV34" s="37"/>
      <c r="LAW34" s="37"/>
      <c r="LAX34" s="37"/>
      <c r="LAY34" s="37"/>
      <c r="LAZ34" s="37"/>
      <c r="LBA34" s="37"/>
      <c r="LBB34" s="37"/>
      <c r="LBC34" s="37"/>
      <c r="LBD34" s="37"/>
      <c r="LBE34" s="37"/>
      <c r="LBF34" s="37"/>
      <c r="LBG34" s="37"/>
      <c r="LBH34" s="37"/>
      <c r="LBI34" s="37"/>
      <c r="LBJ34" s="37"/>
      <c r="LBK34" s="37"/>
      <c r="LBL34" s="37"/>
      <c r="LBM34" s="37"/>
      <c r="LBN34" s="37"/>
      <c r="LBO34" s="37"/>
      <c r="LBP34" s="37"/>
      <c r="LBQ34" s="37"/>
      <c r="LBR34" s="37"/>
      <c r="LBS34" s="37"/>
      <c r="LBT34" s="37"/>
      <c r="LBU34" s="37"/>
      <c r="LBV34" s="37"/>
      <c r="LBW34" s="37"/>
      <c r="LBX34" s="37"/>
      <c r="LBY34" s="37"/>
      <c r="LBZ34" s="37"/>
      <c r="LCA34" s="37"/>
      <c r="LCB34" s="37"/>
      <c r="LCC34" s="37"/>
      <c r="LCD34" s="37"/>
      <c r="LCE34" s="37"/>
      <c r="LCF34" s="37"/>
      <c r="LCG34" s="37"/>
      <c r="LCH34" s="37"/>
      <c r="LCI34" s="37"/>
      <c r="LCJ34" s="37"/>
      <c r="LCK34" s="37"/>
      <c r="LCL34" s="37"/>
      <c r="LCM34" s="37"/>
      <c r="LCN34" s="37"/>
      <c r="LCO34" s="37"/>
      <c r="LCP34" s="37"/>
      <c r="LCQ34" s="37"/>
      <c r="LCR34" s="37"/>
      <c r="LCS34" s="37"/>
      <c r="LCT34" s="37"/>
      <c r="LCU34" s="37"/>
      <c r="LCV34" s="37"/>
      <c r="LCW34" s="37"/>
      <c r="LCX34" s="37"/>
      <c r="LCY34" s="37"/>
      <c r="LCZ34" s="37"/>
      <c r="LDA34" s="37"/>
      <c r="LDB34" s="37"/>
      <c r="LDC34" s="37"/>
      <c r="LDD34" s="37"/>
      <c r="LDE34" s="37"/>
      <c r="LDF34" s="37"/>
      <c r="LDG34" s="37"/>
      <c r="LDH34" s="37"/>
      <c r="LDI34" s="37"/>
      <c r="LDJ34" s="37"/>
      <c r="LDK34" s="37"/>
      <c r="LDL34" s="37"/>
      <c r="LDM34" s="37"/>
      <c r="LDN34" s="37"/>
      <c r="LDO34" s="37"/>
      <c r="LDP34" s="37"/>
      <c r="LDQ34" s="37"/>
      <c r="LDR34" s="37"/>
      <c r="LDS34" s="37"/>
      <c r="LDT34" s="37"/>
      <c r="LDU34" s="37"/>
      <c r="LDV34" s="37"/>
      <c r="LDW34" s="37"/>
      <c r="LDX34" s="37"/>
      <c r="LDY34" s="37"/>
      <c r="LDZ34" s="37"/>
      <c r="LEA34" s="37"/>
      <c r="LEB34" s="37"/>
      <c r="LEC34" s="37"/>
      <c r="LED34" s="37"/>
      <c r="LEE34" s="37"/>
      <c r="LEF34" s="37"/>
      <c r="LEG34" s="37"/>
      <c r="LEH34" s="37"/>
      <c r="LEI34" s="37"/>
      <c r="LEJ34" s="37"/>
      <c r="LEK34" s="37"/>
      <c r="LEL34" s="37"/>
      <c r="LEM34" s="37"/>
      <c r="LEN34" s="37"/>
      <c r="LEO34" s="37"/>
      <c r="LEP34" s="37"/>
      <c r="LEQ34" s="37"/>
      <c r="LER34" s="37"/>
      <c r="LES34" s="37"/>
      <c r="LET34" s="37"/>
      <c r="LEU34" s="37"/>
      <c r="LEV34" s="37"/>
      <c r="LEW34" s="37"/>
      <c r="LEX34" s="37"/>
      <c r="LEY34" s="37"/>
      <c r="LEZ34" s="37"/>
      <c r="LFA34" s="37"/>
      <c r="LFB34" s="37"/>
      <c r="LFC34" s="37"/>
      <c r="LFD34" s="37"/>
      <c r="LFE34" s="37"/>
      <c r="LFF34" s="37"/>
      <c r="LFG34" s="37"/>
      <c r="LFH34" s="37"/>
      <c r="LFI34" s="37"/>
      <c r="LFJ34" s="37"/>
      <c r="LFK34" s="37"/>
      <c r="LFL34" s="37"/>
      <c r="LFM34" s="37"/>
      <c r="LFN34" s="37"/>
      <c r="LFO34" s="37"/>
      <c r="LFP34" s="37"/>
      <c r="LFQ34" s="37"/>
      <c r="LFR34" s="37"/>
      <c r="LFS34" s="37"/>
      <c r="LFT34" s="37"/>
      <c r="LFU34" s="37"/>
      <c r="LFV34" s="37"/>
      <c r="LFW34" s="37"/>
      <c r="LFX34" s="37"/>
      <c r="LFY34" s="37"/>
      <c r="LFZ34" s="37"/>
      <c r="LGA34" s="37"/>
      <c r="LGB34" s="37"/>
      <c r="LGC34" s="37"/>
      <c r="LGD34" s="37"/>
      <c r="LGE34" s="37"/>
      <c r="LGF34" s="37"/>
      <c r="LGG34" s="37"/>
      <c r="LGH34" s="37"/>
      <c r="LGI34" s="37"/>
      <c r="LGJ34" s="37"/>
      <c r="LGK34" s="37"/>
      <c r="LGL34" s="37"/>
      <c r="LGM34" s="37"/>
      <c r="LGN34" s="37"/>
      <c r="LGO34" s="37"/>
      <c r="LGP34" s="37"/>
      <c r="LGQ34" s="37"/>
      <c r="LGR34" s="37"/>
      <c r="LGS34" s="37"/>
      <c r="LGT34" s="37"/>
      <c r="LGU34" s="37"/>
      <c r="LGV34" s="37"/>
      <c r="LGW34" s="37"/>
      <c r="LGX34" s="37"/>
      <c r="LGY34" s="37"/>
      <c r="LGZ34" s="37"/>
      <c r="LHA34" s="37"/>
      <c r="LHB34" s="37"/>
      <c r="LHC34" s="37"/>
      <c r="LHD34" s="37"/>
      <c r="LHE34" s="37"/>
      <c r="LHF34" s="37"/>
      <c r="LHG34" s="37"/>
      <c r="LHH34" s="37"/>
      <c r="LHI34" s="37"/>
      <c r="LHJ34" s="37"/>
      <c r="LHK34" s="37"/>
      <c r="LHL34" s="37"/>
      <c r="LHM34" s="37"/>
      <c r="LHN34" s="37"/>
      <c r="LHO34" s="37"/>
      <c r="LHP34" s="37"/>
      <c r="LHQ34" s="37"/>
      <c r="LHR34" s="37"/>
      <c r="LHS34" s="37"/>
      <c r="LHT34" s="37"/>
      <c r="LHU34" s="37"/>
      <c r="LHV34" s="37"/>
      <c r="LHW34" s="37"/>
      <c r="LHX34" s="37"/>
      <c r="LHY34" s="37"/>
      <c r="LHZ34" s="37"/>
      <c r="LIA34" s="37"/>
      <c r="LIB34" s="37"/>
      <c r="LIC34" s="37"/>
      <c r="LID34" s="37"/>
      <c r="LIE34" s="37"/>
      <c r="LIF34" s="37"/>
      <c r="LIG34" s="37"/>
      <c r="LIH34" s="37"/>
      <c r="LII34" s="37"/>
      <c r="LIJ34" s="37"/>
      <c r="LIK34" s="37"/>
      <c r="LIL34" s="37"/>
      <c r="LIM34" s="37"/>
      <c r="LIN34" s="37"/>
      <c r="LIO34" s="37"/>
      <c r="LIP34" s="37"/>
      <c r="LIQ34" s="37"/>
      <c r="LIR34" s="37"/>
      <c r="LIS34" s="37"/>
      <c r="LIT34" s="37"/>
      <c r="LIU34" s="37"/>
      <c r="LIV34" s="37"/>
      <c r="LIW34" s="37"/>
      <c r="LIX34" s="37"/>
      <c r="LIY34" s="37"/>
      <c r="LIZ34" s="37"/>
      <c r="LJA34" s="37"/>
      <c r="LJB34" s="37"/>
      <c r="LJC34" s="37"/>
      <c r="LJD34" s="37"/>
      <c r="LJE34" s="37"/>
      <c r="LJF34" s="37"/>
      <c r="LJG34" s="37"/>
      <c r="LJH34" s="37"/>
      <c r="LJI34" s="37"/>
      <c r="LJJ34" s="37"/>
      <c r="LJK34" s="37"/>
      <c r="LJL34" s="37"/>
      <c r="LJM34" s="37"/>
      <c r="LJN34" s="37"/>
      <c r="LJO34" s="37"/>
      <c r="LJP34" s="37"/>
      <c r="LJQ34" s="37"/>
      <c r="LJR34" s="37"/>
      <c r="LJS34" s="37"/>
      <c r="LJT34" s="37"/>
      <c r="LJU34" s="37"/>
      <c r="LJV34" s="37"/>
      <c r="LJW34" s="37"/>
      <c r="LJX34" s="37"/>
      <c r="LJY34" s="37"/>
      <c r="LJZ34" s="37"/>
      <c r="LKA34" s="37"/>
      <c r="LKB34" s="37"/>
      <c r="LKC34" s="37"/>
      <c r="LKD34" s="37"/>
      <c r="LKE34" s="37"/>
      <c r="LKF34" s="37"/>
      <c r="LKG34" s="37"/>
      <c r="LKH34" s="37"/>
      <c r="LKI34" s="37"/>
      <c r="LKJ34" s="37"/>
      <c r="LKK34" s="37"/>
      <c r="LKL34" s="37"/>
      <c r="LKM34" s="37"/>
      <c r="LKN34" s="37"/>
      <c r="LKO34" s="37"/>
      <c r="LKP34" s="37"/>
      <c r="LKQ34" s="37"/>
      <c r="LKR34" s="37"/>
      <c r="LKS34" s="37"/>
      <c r="LKT34" s="37"/>
      <c r="LKU34" s="37"/>
      <c r="LKV34" s="37"/>
      <c r="LKW34" s="37"/>
      <c r="LKX34" s="37"/>
      <c r="LKY34" s="37"/>
      <c r="LKZ34" s="37"/>
      <c r="LLA34" s="37"/>
      <c r="LLB34" s="37"/>
      <c r="LLC34" s="37"/>
      <c r="LLD34" s="37"/>
      <c r="LLE34" s="37"/>
      <c r="LLF34" s="37"/>
      <c r="LLG34" s="37"/>
      <c r="LLH34" s="37"/>
      <c r="LLI34" s="37"/>
      <c r="LLJ34" s="37"/>
      <c r="LLK34" s="37"/>
      <c r="LLL34" s="37"/>
      <c r="LLM34" s="37"/>
      <c r="LLN34" s="37"/>
      <c r="LLO34" s="37"/>
      <c r="LLP34" s="37"/>
      <c r="LLQ34" s="37"/>
      <c r="LLR34" s="37"/>
      <c r="LLS34" s="37"/>
      <c r="LLT34" s="37"/>
      <c r="LLU34" s="37"/>
      <c r="LLV34" s="37"/>
      <c r="LLW34" s="37"/>
      <c r="LLX34" s="37"/>
      <c r="LLY34" s="37"/>
      <c r="LLZ34" s="37"/>
      <c r="LMA34" s="37"/>
      <c r="LMB34" s="37"/>
      <c r="LMC34" s="37"/>
      <c r="LMD34" s="37"/>
      <c r="LME34" s="37"/>
      <c r="LMF34" s="37"/>
      <c r="LMG34" s="37"/>
      <c r="LMH34" s="37"/>
      <c r="LMI34" s="37"/>
      <c r="LMJ34" s="37"/>
      <c r="LMK34" s="37"/>
      <c r="LML34" s="37"/>
      <c r="LMM34" s="37"/>
      <c r="LMN34" s="37"/>
      <c r="LMO34" s="37"/>
      <c r="LMP34" s="37"/>
      <c r="LMQ34" s="37"/>
      <c r="LMR34" s="37"/>
      <c r="LMS34" s="37"/>
      <c r="LMT34" s="37"/>
      <c r="LMU34" s="37"/>
      <c r="LMV34" s="37"/>
      <c r="LMW34" s="37"/>
      <c r="LMX34" s="37"/>
      <c r="LMY34" s="37"/>
      <c r="LMZ34" s="37"/>
      <c r="LNA34" s="37"/>
      <c r="LNB34" s="37"/>
      <c r="LNC34" s="37"/>
      <c r="LND34" s="37"/>
      <c r="LNE34" s="37"/>
      <c r="LNF34" s="37"/>
      <c r="LNG34" s="37"/>
      <c r="LNH34" s="37"/>
      <c r="LNI34" s="37"/>
      <c r="LNJ34" s="37"/>
      <c r="LNK34" s="37"/>
      <c r="LNL34" s="37"/>
      <c r="LNM34" s="37"/>
      <c r="LNN34" s="37"/>
      <c r="LNO34" s="37"/>
      <c r="LNP34" s="37"/>
      <c r="LNQ34" s="37"/>
      <c r="LNR34" s="37"/>
      <c r="LNS34" s="37"/>
      <c r="LNT34" s="37"/>
      <c r="LNU34" s="37"/>
      <c r="LNV34" s="37"/>
      <c r="LNW34" s="37"/>
      <c r="LNX34" s="37"/>
      <c r="LNY34" s="37"/>
      <c r="LNZ34" s="37"/>
      <c r="LOA34" s="37"/>
      <c r="LOB34" s="37"/>
      <c r="LOC34" s="37"/>
      <c r="LOD34" s="37"/>
      <c r="LOE34" s="37"/>
      <c r="LOF34" s="37"/>
      <c r="LOG34" s="37"/>
      <c r="LOH34" s="37"/>
      <c r="LOI34" s="37"/>
      <c r="LOJ34" s="37"/>
      <c r="LOK34" s="37"/>
      <c r="LOL34" s="37"/>
      <c r="LOM34" s="37"/>
      <c r="LON34" s="37"/>
      <c r="LOO34" s="37"/>
      <c r="LOP34" s="37"/>
      <c r="LOQ34" s="37"/>
      <c r="LOR34" s="37"/>
      <c r="LOS34" s="37"/>
      <c r="LOT34" s="37"/>
      <c r="LOU34" s="37"/>
      <c r="LOV34" s="37"/>
      <c r="LOW34" s="37"/>
      <c r="LOX34" s="37"/>
      <c r="LOY34" s="37"/>
      <c r="LOZ34" s="37"/>
      <c r="LPA34" s="37"/>
      <c r="LPB34" s="37"/>
      <c r="LPC34" s="37"/>
      <c r="LPD34" s="37"/>
      <c r="LPE34" s="37"/>
      <c r="LPF34" s="37"/>
      <c r="LPG34" s="37"/>
      <c r="LPH34" s="37"/>
      <c r="LPI34" s="37"/>
      <c r="LPJ34" s="37"/>
      <c r="LPK34" s="37"/>
      <c r="LPL34" s="37"/>
      <c r="LPM34" s="37"/>
      <c r="LPN34" s="37"/>
      <c r="LPO34" s="37"/>
      <c r="LPP34" s="37"/>
      <c r="LPQ34" s="37"/>
      <c r="LPR34" s="37"/>
      <c r="LPS34" s="37"/>
      <c r="LPT34" s="37"/>
      <c r="LPU34" s="37"/>
      <c r="LPV34" s="37"/>
      <c r="LPW34" s="37"/>
      <c r="LPX34" s="37"/>
      <c r="LPY34" s="37"/>
      <c r="LPZ34" s="37"/>
      <c r="LQA34" s="37"/>
      <c r="LQB34" s="37"/>
      <c r="LQC34" s="37"/>
      <c r="LQD34" s="37"/>
      <c r="LQE34" s="37"/>
      <c r="LQF34" s="37"/>
      <c r="LQG34" s="37"/>
      <c r="LQH34" s="37"/>
      <c r="LQI34" s="37"/>
      <c r="LQJ34" s="37"/>
      <c r="LQK34" s="37"/>
      <c r="LQL34" s="37"/>
      <c r="LQM34" s="37"/>
      <c r="LQN34" s="37"/>
      <c r="LQO34" s="37"/>
      <c r="LQP34" s="37"/>
      <c r="LQQ34" s="37"/>
      <c r="LQR34" s="37"/>
      <c r="LQS34" s="37"/>
      <c r="LQT34" s="37"/>
      <c r="LQU34" s="37"/>
      <c r="LQV34" s="37"/>
      <c r="LQW34" s="37"/>
      <c r="LQX34" s="37"/>
      <c r="LQY34" s="37"/>
      <c r="LQZ34" s="37"/>
      <c r="LRA34" s="37"/>
      <c r="LRB34" s="37"/>
      <c r="LRC34" s="37"/>
      <c r="LRD34" s="37"/>
      <c r="LRE34" s="37"/>
      <c r="LRF34" s="37"/>
      <c r="LRG34" s="37"/>
      <c r="LRH34" s="37"/>
      <c r="LRI34" s="37"/>
      <c r="LRJ34" s="37"/>
      <c r="LRK34" s="37"/>
      <c r="LRL34" s="37"/>
      <c r="LRM34" s="37"/>
      <c r="LRN34" s="37"/>
      <c r="LRO34" s="37"/>
      <c r="LRP34" s="37"/>
      <c r="LRQ34" s="37"/>
      <c r="LRR34" s="37"/>
      <c r="LRS34" s="37"/>
      <c r="LRT34" s="37"/>
      <c r="LRU34" s="37"/>
      <c r="LRV34" s="37"/>
      <c r="LRW34" s="37"/>
      <c r="LRX34" s="37"/>
      <c r="LRY34" s="37"/>
      <c r="LRZ34" s="37"/>
      <c r="LSA34" s="37"/>
      <c r="LSB34" s="37"/>
      <c r="LSC34" s="37"/>
      <c r="LSD34" s="37"/>
      <c r="LSE34" s="37"/>
      <c r="LSF34" s="37"/>
      <c r="LSG34" s="37"/>
      <c r="LSH34" s="37"/>
      <c r="LSI34" s="37"/>
      <c r="LSJ34" s="37"/>
      <c r="LSK34" s="37"/>
      <c r="LSL34" s="37"/>
      <c r="LSM34" s="37"/>
      <c r="LSN34" s="37"/>
      <c r="LSO34" s="37"/>
      <c r="LSP34" s="37"/>
      <c r="LSQ34" s="37"/>
      <c r="LSR34" s="37"/>
      <c r="LSS34" s="37"/>
      <c r="LST34" s="37"/>
      <c r="LSU34" s="37"/>
      <c r="LSV34" s="37"/>
      <c r="LSW34" s="37"/>
      <c r="LSX34" s="37"/>
      <c r="LSY34" s="37"/>
      <c r="LSZ34" s="37"/>
      <c r="LTA34" s="37"/>
      <c r="LTB34" s="37"/>
      <c r="LTC34" s="37"/>
      <c r="LTD34" s="37"/>
      <c r="LTE34" s="37"/>
      <c r="LTF34" s="37"/>
      <c r="LTG34" s="37"/>
      <c r="LTH34" s="37"/>
      <c r="LTI34" s="37"/>
      <c r="LTJ34" s="37"/>
      <c r="LTK34" s="37"/>
      <c r="LTL34" s="37"/>
      <c r="LTM34" s="37"/>
      <c r="LTN34" s="37"/>
      <c r="LTO34" s="37"/>
      <c r="LTP34" s="37"/>
      <c r="LTQ34" s="37"/>
      <c r="LTR34" s="37"/>
      <c r="LTS34" s="37"/>
      <c r="LTT34" s="37"/>
      <c r="LTU34" s="37"/>
      <c r="LTV34" s="37"/>
      <c r="LTW34" s="37"/>
      <c r="LTX34" s="37"/>
      <c r="LTY34" s="37"/>
      <c r="LTZ34" s="37"/>
      <c r="LUA34" s="37"/>
      <c r="LUB34" s="37"/>
      <c r="LUC34" s="37"/>
      <c r="LUD34" s="37"/>
      <c r="LUE34" s="37"/>
      <c r="LUF34" s="37"/>
      <c r="LUG34" s="37"/>
      <c r="LUH34" s="37"/>
      <c r="LUI34" s="37"/>
      <c r="LUJ34" s="37"/>
      <c r="LUK34" s="37"/>
      <c r="LUL34" s="37"/>
      <c r="LUM34" s="37"/>
      <c r="LUN34" s="37"/>
      <c r="LUO34" s="37"/>
      <c r="LUP34" s="37"/>
      <c r="LUQ34" s="37"/>
      <c r="LUR34" s="37"/>
      <c r="LUS34" s="37"/>
      <c r="LUT34" s="37"/>
      <c r="LUU34" s="37"/>
      <c r="LUV34" s="37"/>
      <c r="LUW34" s="37"/>
      <c r="LUX34" s="37"/>
      <c r="LUY34" s="37"/>
      <c r="LUZ34" s="37"/>
      <c r="LVA34" s="37"/>
      <c r="LVB34" s="37"/>
      <c r="LVC34" s="37"/>
      <c r="LVD34" s="37"/>
      <c r="LVE34" s="37"/>
      <c r="LVF34" s="37"/>
      <c r="LVG34" s="37"/>
      <c r="LVH34" s="37"/>
      <c r="LVI34" s="37"/>
      <c r="LVJ34" s="37"/>
      <c r="LVK34" s="37"/>
      <c r="LVL34" s="37"/>
      <c r="LVM34" s="37"/>
      <c r="LVN34" s="37"/>
      <c r="LVO34" s="37"/>
      <c r="LVP34" s="37"/>
      <c r="LVQ34" s="37"/>
      <c r="LVR34" s="37"/>
      <c r="LVS34" s="37"/>
      <c r="LVT34" s="37"/>
      <c r="LVU34" s="37"/>
      <c r="LVV34" s="37"/>
      <c r="LVW34" s="37"/>
      <c r="LVX34" s="37"/>
      <c r="LVY34" s="37"/>
      <c r="LVZ34" s="37"/>
      <c r="LWA34" s="37"/>
      <c r="LWB34" s="37"/>
      <c r="LWC34" s="37"/>
      <c r="LWD34" s="37"/>
      <c r="LWE34" s="37"/>
      <c r="LWF34" s="37"/>
      <c r="LWG34" s="37"/>
      <c r="LWH34" s="37"/>
      <c r="LWI34" s="37"/>
      <c r="LWJ34" s="37"/>
      <c r="LWK34" s="37"/>
      <c r="LWL34" s="37"/>
      <c r="LWM34" s="37"/>
      <c r="LWN34" s="37"/>
      <c r="LWO34" s="37"/>
      <c r="LWP34" s="37"/>
      <c r="LWQ34" s="37"/>
      <c r="LWR34" s="37"/>
      <c r="LWS34" s="37"/>
      <c r="LWT34" s="37"/>
      <c r="LWU34" s="37"/>
      <c r="LWV34" s="37"/>
      <c r="LWW34" s="37"/>
      <c r="LWX34" s="37"/>
      <c r="LWY34" s="37"/>
      <c r="LWZ34" s="37"/>
      <c r="LXA34" s="37"/>
      <c r="LXB34" s="37"/>
      <c r="LXC34" s="37"/>
      <c r="LXD34" s="37"/>
      <c r="LXE34" s="37"/>
      <c r="LXF34" s="37"/>
      <c r="LXG34" s="37"/>
      <c r="LXH34" s="37"/>
      <c r="LXI34" s="37"/>
      <c r="LXJ34" s="37"/>
      <c r="LXK34" s="37"/>
      <c r="LXL34" s="37"/>
      <c r="LXM34" s="37"/>
      <c r="LXN34" s="37"/>
      <c r="LXO34" s="37"/>
      <c r="LXP34" s="37"/>
      <c r="LXQ34" s="37"/>
      <c r="LXR34" s="37"/>
      <c r="LXS34" s="37"/>
      <c r="LXT34" s="37"/>
      <c r="LXU34" s="37"/>
      <c r="LXV34" s="37"/>
      <c r="LXW34" s="37"/>
      <c r="LXX34" s="37"/>
      <c r="LXY34" s="37"/>
      <c r="LXZ34" s="37"/>
      <c r="LYA34" s="37"/>
      <c r="LYB34" s="37"/>
      <c r="LYC34" s="37"/>
      <c r="LYD34" s="37"/>
      <c r="LYE34" s="37"/>
      <c r="LYF34" s="37"/>
      <c r="LYG34" s="37"/>
      <c r="LYH34" s="37"/>
      <c r="LYI34" s="37"/>
      <c r="LYJ34" s="37"/>
      <c r="LYK34" s="37"/>
      <c r="LYL34" s="37"/>
      <c r="LYM34" s="37"/>
      <c r="LYN34" s="37"/>
      <c r="LYO34" s="37"/>
      <c r="LYP34" s="37"/>
      <c r="LYQ34" s="37"/>
      <c r="LYR34" s="37"/>
      <c r="LYS34" s="37"/>
      <c r="LYT34" s="37"/>
      <c r="LYU34" s="37"/>
      <c r="LYV34" s="37"/>
      <c r="LYW34" s="37"/>
      <c r="LYX34" s="37"/>
      <c r="LYY34" s="37"/>
      <c r="LYZ34" s="37"/>
      <c r="LZA34" s="37"/>
      <c r="LZB34" s="37"/>
      <c r="LZC34" s="37"/>
      <c r="LZD34" s="37"/>
      <c r="LZE34" s="37"/>
      <c r="LZF34" s="37"/>
      <c r="LZG34" s="37"/>
      <c r="LZH34" s="37"/>
      <c r="LZI34" s="37"/>
      <c r="LZJ34" s="37"/>
      <c r="LZK34" s="37"/>
      <c r="LZL34" s="37"/>
      <c r="LZM34" s="37"/>
      <c r="LZN34" s="37"/>
      <c r="LZO34" s="37"/>
      <c r="LZP34" s="37"/>
      <c r="LZQ34" s="37"/>
      <c r="LZR34" s="37"/>
      <c r="LZS34" s="37"/>
      <c r="LZT34" s="37"/>
      <c r="LZU34" s="37"/>
      <c r="LZV34" s="37"/>
      <c r="LZW34" s="37"/>
      <c r="LZX34" s="37"/>
      <c r="LZY34" s="37"/>
      <c r="LZZ34" s="37"/>
      <c r="MAA34" s="37"/>
      <c r="MAB34" s="37"/>
      <c r="MAC34" s="37"/>
      <c r="MAD34" s="37"/>
      <c r="MAE34" s="37"/>
      <c r="MAF34" s="37"/>
      <c r="MAG34" s="37"/>
      <c r="MAH34" s="37"/>
      <c r="MAI34" s="37"/>
      <c r="MAJ34" s="37"/>
      <c r="MAK34" s="37"/>
      <c r="MAL34" s="37"/>
      <c r="MAM34" s="37"/>
      <c r="MAN34" s="37"/>
      <c r="MAO34" s="37"/>
      <c r="MAP34" s="37"/>
      <c r="MAQ34" s="37"/>
      <c r="MAR34" s="37"/>
      <c r="MAS34" s="37"/>
      <c r="MAT34" s="37"/>
      <c r="MAU34" s="37"/>
      <c r="MAV34" s="37"/>
      <c r="MAW34" s="37"/>
      <c r="MAX34" s="37"/>
      <c r="MAY34" s="37"/>
      <c r="MAZ34" s="37"/>
      <c r="MBA34" s="37"/>
      <c r="MBB34" s="37"/>
      <c r="MBC34" s="37"/>
      <c r="MBD34" s="37"/>
      <c r="MBE34" s="37"/>
      <c r="MBF34" s="37"/>
      <c r="MBG34" s="37"/>
      <c r="MBH34" s="37"/>
      <c r="MBI34" s="37"/>
      <c r="MBJ34" s="37"/>
      <c r="MBK34" s="37"/>
      <c r="MBL34" s="37"/>
      <c r="MBM34" s="37"/>
      <c r="MBN34" s="37"/>
      <c r="MBO34" s="37"/>
      <c r="MBP34" s="37"/>
      <c r="MBQ34" s="37"/>
      <c r="MBR34" s="37"/>
      <c r="MBS34" s="37"/>
      <c r="MBT34" s="37"/>
      <c r="MBU34" s="37"/>
      <c r="MBV34" s="37"/>
      <c r="MBW34" s="37"/>
      <c r="MBX34" s="37"/>
      <c r="MBY34" s="37"/>
      <c r="MBZ34" s="37"/>
      <c r="MCA34" s="37"/>
      <c r="MCB34" s="37"/>
      <c r="MCC34" s="37"/>
      <c r="MCD34" s="37"/>
      <c r="MCE34" s="37"/>
      <c r="MCF34" s="37"/>
      <c r="MCG34" s="37"/>
      <c r="MCH34" s="37"/>
      <c r="MCI34" s="37"/>
      <c r="MCJ34" s="37"/>
      <c r="MCK34" s="37"/>
      <c r="MCL34" s="37"/>
      <c r="MCM34" s="37"/>
      <c r="MCN34" s="37"/>
      <c r="MCO34" s="37"/>
      <c r="MCP34" s="37"/>
      <c r="MCQ34" s="37"/>
      <c r="MCR34" s="37"/>
      <c r="MCS34" s="37"/>
      <c r="MCT34" s="37"/>
      <c r="MCU34" s="37"/>
      <c r="MCV34" s="37"/>
      <c r="MCW34" s="37"/>
      <c r="MCX34" s="37"/>
      <c r="MCY34" s="37"/>
      <c r="MCZ34" s="37"/>
      <c r="MDA34" s="37"/>
      <c r="MDB34" s="37"/>
      <c r="MDC34" s="37"/>
      <c r="MDD34" s="37"/>
      <c r="MDE34" s="37"/>
      <c r="MDF34" s="37"/>
      <c r="MDG34" s="37"/>
      <c r="MDH34" s="37"/>
      <c r="MDI34" s="37"/>
      <c r="MDJ34" s="37"/>
      <c r="MDK34" s="37"/>
      <c r="MDL34" s="37"/>
      <c r="MDM34" s="37"/>
      <c r="MDN34" s="37"/>
      <c r="MDO34" s="37"/>
      <c r="MDP34" s="37"/>
      <c r="MDQ34" s="37"/>
      <c r="MDR34" s="37"/>
      <c r="MDS34" s="37"/>
      <c r="MDT34" s="37"/>
      <c r="MDU34" s="37"/>
      <c r="MDV34" s="37"/>
      <c r="MDW34" s="37"/>
      <c r="MDX34" s="37"/>
      <c r="MDY34" s="37"/>
      <c r="MDZ34" s="37"/>
      <c r="MEA34" s="37"/>
      <c r="MEB34" s="37"/>
      <c r="MEC34" s="37"/>
      <c r="MED34" s="37"/>
      <c r="MEE34" s="37"/>
      <c r="MEF34" s="37"/>
      <c r="MEG34" s="37"/>
      <c r="MEH34" s="37"/>
      <c r="MEI34" s="37"/>
      <c r="MEJ34" s="37"/>
      <c r="MEK34" s="37"/>
      <c r="MEL34" s="37"/>
      <c r="MEM34" s="37"/>
      <c r="MEN34" s="37"/>
      <c r="MEO34" s="37"/>
      <c r="MEP34" s="37"/>
      <c r="MEQ34" s="37"/>
      <c r="MER34" s="37"/>
      <c r="MES34" s="37"/>
      <c r="MET34" s="37"/>
      <c r="MEU34" s="37"/>
      <c r="MEV34" s="37"/>
      <c r="MEW34" s="37"/>
      <c r="MEX34" s="37"/>
      <c r="MEY34" s="37"/>
      <c r="MEZ34" s="37"/>
      <c r="MFA34" s="37"/>
      <c r="MFB34" s="37"/>
      <c r="MFC34" s="37"/>
      <c r="MFD34" s="37"/>
      <c r="MFE34" s="37"/>
      <c r="MFF34" s="37"/>
      <c r="MFG34" s="37"/>
      <c r="MFH34" s="37"/>
      <c r="MFI34" s="37"/>
      <c r="MFJ34" s="37"/>
      <c r="MFK34" s="37"/>
      <c r="MFL34" s="37"/>
      <c r="MFM34" s="37"/>
      <c r="MFN34" s="37"/>
      <c r="MFO34" s="37"/>
      <c r="MFP34" s="37"/>
      <c r="MFQ34" s="37"/>
      <c r="MFR34" s="37"/>
      <c r="MFS34" s="37"/>
      <c r="MFT34" s="37"/>
      <c r="MFU34" s="37"/>
      <c r="MFV34" s="37"/>
      <c r="MFW34" s="37"/>
      <c r="MFX34" s="37"/>
      <c r="MFY34" s="37"/>
      <c r="MFZ34" s="37"/>
      <c r="MGA34" s="37"/>
      <c r="MGB34" s="37"/>
      <c r="MGC34" s="37"/>
      <c r="MGD34" s="37"/>
      <c r="MGE34" s="37"/>
      <c r="MGF34" s="37"/>
      <c r="MGG34" s="37"/>
      <c r="MGH34" s="37"/>
      <c r="MGI34" s="37"/>
      <c r="MGJ34" s="37"/>
      <c r="MGK34" s="37"/>
      <c r="MGL34" s="37"/>
      <c r="MGM34" s="37"/>
      <c r="MGN34" s="37"/>
      <c r="MGO34" s="37"/>
      <c r="MGP34" s="37"/>
      <c r="MGQ34" s="37"/>
      <c r="MGR34" s="37"/>
      <c r="MGS34" s="37"/>
      <c r="MGT34" s="37"/>
      <c r="MGU34" s="37"/>
      <c r="MGV34" s="37"/>
      <c r="MGW34" s="37"/>
      <c r="MGX34" s="37"/>
      <c r="MGY34" s="37"/>
      <c r="MGZ34" s="37"/>
      <c r="MHA34" s="37"/>
      <c r="MHB34" s="37"/>
      <c r="MHC34" s="37"/>
      <c r="MHD34" s="37"/>
      <c r="MHE34" s="37"/>
      <c r="MHF34" s="37"/>
      <c r="MHG34" s="37"/>
      <c r="MHH34" s="37"/>
      <c r="MHI34" s="37"/>
      <c r="MHJ34" s="37"/>
      <c r="MHK34" s="37"/>
      <c r="MHL34" s="37"/>
      <c r="MHM34" s="37"/>
      <c r="MHN34" s="37"/>
      <c r="MHO34" s="37"/>
      <c r="MHP34" s="37"/>
      <c r="MHQ34" s="37"/>
      <c r="MHR34" s="37"/>
      <c r="MHS34" s="37"/>
      <c r="MHT34" s="37"/>
      <c r="MHU34" s="37"/>
      <c r="MHV34" s="37"/>
      <c r="MHW34" s="37"/>
      <c r="MHX34" s="37"/>
      <c r="MHY34" s="37"/>
      <c r="MHZ34" s="37"/>
      <c r="MIA34" s="37"/>
      <c r="MIB34" s="37"/>
      <c r="MIC34" s="37"/>
      <c r="MID34" s="37"/>
      <c r="MIE34" s="37"/>
      <c r="MIF34" s="37"/>
      <c r="MIG34" s="37"/>
      <c r="MIH34" s="37"/>
      <c r="MII34" s="37"/>
      <c r="MIJ34" s="37"/>
      <c r="MIK34" s="37"/>
      <c r="MIL34" s="37"/>
      <c r="MIM34" s="37"/>
      <c r="MIN34" s="37"/>
      <c r="MIO34" s="37"/>
      <c r="MIP34" s="37"/>
      <c r="MIQ34" s="37"/>
      <c r="MIR34" s="37"/>
      <c r="MIS34" s="37"/>
      <c r="MIT34" s="37"/>
      <c r="MIU34" s="37"/>
      <c r="MIV34" s="37"/>
      <c r="MIW34" s="37"/>
      <c r="MIX34" s="37"/>
      <c r="MIY34" s="37"/>
      <c r="MIZ34" s="37"/>
      <c r="MJA34" s="37"/>
      <c r="MJB34" s="37"/>
      <c r="MJC34" s="37"/>
      <c r="MJD34" s="37"/>
      <c r="MJE34" s="37"/>
      <c r="MJF34" s="37"/>
      <c r="MJG34" s="37"/>
      <c r="MJH34" s="37"/>
      <c r="MJI34" s="37"/>
      <c r="MJJ34" s="37"/>
      <c r="MJK34" s="37"/>
      <c r="MJL34" s="37"/>
      <c r="MJM34" s="37"/>
      <c r="MJN34" s="37"/>
      <c r="MJO34" s="37"/>
      <c r="MJP34" s="37"/>
      <c r="MJQ34" s="37"/>
      <c r="MJR34" s="37"/>
      <c r="MJS34" s="37"/>
      <c r="MJT34" s="37"/>
      <c r="MJU34" s="37"/>
      <c r="MJV34" s="37"/>
      <c r="MJW34" s="37"/>
      <c r="MJX34" s="37"/>
      <c r="MJY34" s="37"/>
      <c r="MJZ34" s="37"/>
      <c r="MKA34" s="37"/>
      <c r="MKB34" s="37"/>
      <c r="MKC34" s="37"/>
      <c r="MKD34" s="37"/>
      <c r="MKE34" s="37"/>
      <c r="MKF34" s="37"/>
      <c r="MKG34" s="37"/>
      <c r="MKH34" s="37"/>
      <c r="MKI34" s="37"/>
      <c r="MKJ34" s="37"/>
      <c r="MKK34" s="37"/>
      <c r="MKL34" s="37"/>
      <c r="MKM34" s="37"/>
      <c r="MKN34" s="37"/>
      <c r="MKO34" s="37"/>
      <c r="MKP34" s="37"/>
      <c r="MKQ34" s="37"/>
      <c r="MKR34" s="37"/>
      <c r="MKS34" s="37"/>
      <c r="MKT34" s="37"/>
      <c r="MKU34" s="37"/>
      <c r="MKV34" s="37"/>
      <c r="MKW34" s="37"/>
      <c r="MKX34" s="37"/>
      <c r="MKY34" s="37"/>
      <c r="MKZ34" s="37"/>
      <c r="MLA34" s="37"/>
      <c r="MLB34" s="37"/>
      <c r="MLC34" s="37"/>
      <c r="MLD34" s="37"/>
      <c r="MLE34" s="37"/>
      <c r="MLF34" s="37"/>
      <c r="MLG34" s="37"/>
      <c r="MLH34" s="37"/>
      <c r="MLI34" s="37"/>
      <c r="MLJ34" s="37"/>
      <c r="MLK34" s="37"/>
      <c r="MLL34" s="37"/>
      <c r="MLM34" s="37"/>
      <c r="MLN34" s="37"/>
      <c r="MLO34" s="37"/>
      <c r="MLP34" s="37"/>
      <c r="MLQ34" s="37"/>
      <c r="MLR34" s="37"/>
      <c r="MLS34" s="37"/>
      <c r="MLT34" s="37"/>
      <c r="MLU34" s="37"/>
      <c r="MLV34" s="37"/>
      <c r="MLW34" s="37"/>
      <c r="MLX34" s="37"/>
      <c r="MLY34" s="37"/>
      <c r="MLZ34" s="37"/>
      <c r="MMA34" s="37"/>
      <c r="MMB34" s="37"/>
      <c r="MMC34" s="37"/>
      <c r="MMD34" s="37"/>
      <c r="MME34" s="37"/>
      <c r="MMF34" s="37"/>
      <c r="MMG34" s="37"/>
      <c r="MMH34" s="37"/>
      <c r="MMI34" s="37"/>
      <c r="MMJ34" s="37"/>
      <c r="MMK34" s="37"/>
      <c r="MML34" s="37"/>
      <c r="MMM34" s="37"/>
      <c r="MMN34" s="37"/>
      <c r="MMO34" s="37"/>
      <c r="MMP34" s="37"/>
      <c r="MMQ34" s="37"/>
      <c r="MMR34" s="37"/>
      <c r="MMS34" s="37"/>
      <c r="MMT34" s="37"/>
      <c r="MMU34" s="37"/>
      <c r="MMV34" s="37"/>
      <c r="MMW34" s="37"/>
      <c r="MMX34" s="37"/>
      <c r="MMY34" s="37"/>
      <c r="MMZ34" s="37"/>
      <c r="MNA34" s="37"/>
      <c r="MNB34" s="37"/>
      <c r="MNC34" s="37"/>
      <c r="MND34" s="37"/>
      <c r="MNE34" s="37"/>
      <c r="MNF34" s="37"/>
      <c r="MNG34" s="37"/>
      <c r="MNH34" s="37"/>
      <c r="MNI34" s="37"/>
      <c r="MNJ34" s="37"/>
      <c r="MNK34" s="37"/>
      <c r="MNL34" s="37"/>
      <c r="MNM34" s="37"/>
      <c r="MNN34" s="37"/>
      <c r="MNO34" s="37"/>
      <c r="MNP34" s="37"/>
      <c r="MNQ34" s="37"/>
      <c r="MNR34" s="37"/>
      <c r="MNS34" s="37"/>
      <c r="MNT34" s="37"/>
      <c r="MNU34" s="37"/>
      <c r="MNV34" s="37"/>
      <c r="MNW34" s="37"/>
      <c r="MNX34" s="37"/>
      <c r="MNY34" s="37"/>
      <c r="MNZ34" s="37"/>
      <c r="MOA34" s="37"/>
      <c r="MOB34" s="37"/>
      <c r="MOC34" s="37"/>
      <c r="MOD34" s="37"/>
      <c r="MOE34" s="37"/>
      <c r="MOF34" s="37"/>
      <c r="MOG34" s="37"/>
      <c r="MOH34" s="37"/>
      <c r="MOI34" s="37"/>
      <c r="MOJ34" s="37"/>
      <c r="MOK34" s="37"/>
      <c r="MOL34" s="37"/>
      <c r="MOM34" s="37"/>
      <c r="MON34" s="37"/>
      <c r="MOO34" s="37"/>
      <c r="MOP34" s="37"/>
      <c r="MOQ34" s="37"/>
      <c r="MOR34" s="37"/>
      <c r="MOS34" s="37"/>
      <c r="MOT34" s="37"/>
      <c r="MOU34" s="37"/>
      <c r="MOV34" s="37"/>
      <c r="MOW34" s="37"/>
      <c r="MOX34" s="37"/>
      <c r="MOY34" s="37"/>
      <c r="MOZ34" s="37"/>
      <c r="MPA34" s="37"/>
      <c r="MPB34" s="37"/>
      <c r="MPC34" s="37"/>
      <c r="MPD34" s="37"/>
      <c r="MPE34" s="37"/>
      <c r="MPF34" s="37"/>
      <c r="MPG34" s="37"/>
      <c r="MPH34" s="37"/>
      <c r="MPI34" s="37"/>
      <c r="MPJ34" s="37"/>
      <c r="MPK34" s="37"/>
      <c r="MPL34" s="37"/>
      <c r="MPM34" s="37"/>
      <c r="MPN34" s="37"/>
      <c r="MPO34" s="37"/>
      <c r="MPP34" s="37"/>
      <c r="MPQ34" s="37"/>
      <c r="MPR34" s="37"/>
      <c r="MPS34" s="37"/>
      <c r="MPT34" s="37"/>
      <c r="MPU34" s="37"/>
      <c r="MPV34" s="37"/>
      <c r="MPW34" s="37"/>
      <c r="MPX34" s="37"/>
      <c r="MPY34" s="37"/>
      <c r="MPZ34" s="37"/>
      <c r="MQA34" s="37"/>
      <c r="MQB34" s="37"/>
      <c r="MQC34" s="37"/>
      <c r="MQD34" s="37"/>
      <c r="MQE34" s="37"/>
      <c r="MQF34" s="37"/>
      <c r="MQG34" s="37"/>
      <c r="MQH34" s="37"/>
      <c r="MQI34" s="37"/>
      <c r="MQJ34" s="37"/>
      <c r="MQK34" s="37"/>
      <c r="MQL34" s="37"/>
      <c r="MQM34" s="37"/>
      <c r="MQN34" s="37"/>
      <c r="MQO34" s="37"/>
      <c r="MQP34" s="37"/>
      <c r="MQQ34" s="37"/>
      <c r="MQR34" s="37"/>
      <c r="MQS34" s="37"/>
      <c r="MQT34" s="37"/>
      <c r="MQU34" s="37"/>
      <c r="MQV34" s="37"/>
      <c r="MQW34" s="37"/>
      <c r="MQX34" s="37"/>
      <c r="MQY34" s="37"/>
      <c r="MQZ34" s="37"/>
      <c r="MRA34" s="37"/>
      <c r="MRB34" s="37"/>
      <c r="MRC34" s="37"/>
      <c r="MRD34" s="37"/>
      <c r="MRE34" s="37"/>
      <c r="MRF34" s="37"/>
      <c r="MRG34" s="37"/>
      <c r="MRH34" s="37"/>
      <c r="MRI34" s="37"/>
      <c r="MRJ34" s="37"/>
      <c r="MRK34" s="37"/>
      <c r="MRL34" s="37"/>
      <c r="MRM34" s="37"/>
      <c r="MRN34" s="37"/>
      <c r="MRO34" s="37"/>
      <c r="MRP34" s="37"/>
      <c r="MRQ34" s="37"/>
      <c r="MRR34" s="37"/>
      <c r="MRS34" s="37"/>
      <c r="MRT34" s="37"/>
      <c r="MRU34" s="37"/>
      <c r="MRV34" s="37"/>
      <c r="MRW34" s="37"/>
      <c r="MRX34" s="37"/>
      <c r="MRY34" s="37"/>
      <c r="MRZ34" s="37"/>
      <c r="MSA34" s="37"/>
      <c r="MSB34" s="37"/>
      <c r="MSC34" s="37"/>
      <c r="MSD34" s="37"/>
      <c r="MSE34" s="37"/>
      <c r="MSF34" s="37"/>
      <c r="MSG34" s="37"/>
      <c r="MSH34" s="37"/>
      <c r="MSI34" s="37"/>
      <c r="MSJ34" s="37"/>
      <c r="MSK34" s="37"/>
      <c r="MSL34" s="37"/>
      <c r="MSM34" s="37"/>
      <c r="MSN34" s="37"/>
      <c r="MSO34" s="37"/>
      <c r="MSP34" s="37"/>
      <c r="MSQ34" s="37"/>
      <c r="MSR34" s="37"/>
      <c r="MSS34" s="37"/>
      <c r="MST34" s="37"/>
      <c r="MSU34" s="37"/>
      <c r="MSV34" s="37"/>
      <c r="MSW34" s="37"/>
      <c r="MSX34" s="37"/>
      <c r="MSY34" s="37"/>
      <c r="MSZ34" s="37"/>
      <c r="MTA34" s="37"/>
      <c r="MTB34" s="37"/>
      <c r="MTC34" s="37"/>
      <c r="MTD34" s="37"/>
      <c r="MTE34" s="37"/>
      <c r="MTF34" s="37"/>
      <c r="MTG34" s="37"/>
      <c r="MTH34" s="37"/>
      <c r="MTI34" s="37"/>
      <c r="MTJ34" s="37"/>
      <c r="MTK34" s="37"/>
      <c r="MTL34" s="37"/>
      <c r="MTM34" s="37"/>
      <c r="MTN34" s="37"/>
      <c r="MTO34" s="37"/>
      <c r="MTP34" s="37"/>
      <c r="MTQ34" s="37"/>
      <c r="MTR34" s="37"/>
      <c r="MTS34" s="37"/>
      <c r="MTT34" s="37"/>
      <c r="MTU34" s="37"/>
      <c r="MTV34" s="37"/>
      <c r="MTW34" s="37"/>
      <c r="MTX34" s="37"/>
      <c r="MTY34" s="37"/>
      <c r="MTZ34" s="37"/>
      <c r="MUA34" s="37"/>
      <c r="MUB34" s="37"/>
      <c r="MUC34" s="37"/>
      <c r="MUD34" s="37"/>
      <c r="MUE34" s="37"/>
      <c r="MUF34" s="37"/>
      <c r="MUG34" s="37"/>
      <c r="MUH34" s="37"/>
      <c r="MUI34" s="37"/>
      <c r="MUJ34" s="37"/>
      <c r="MUK34" s="37"/>
      <c r="MUL34" s="37"/>
      <c r="MUM34" s="37"/>
      <c r="MUN34" s="37"/>
      <c r="MUO34" s="37"/>
      <c r="MUP34" s="37"/>
      <c r="MUQ34" s="37"/>
      <c r="MUR34" s="37"/>
      <c r="MUS34" s="37"/>
      <c r="MUT34" s="37"/>
      <c r="MUU34" s="37"/>
      <c r="MUV34" s="37"/>
      <c r="MUW34" s="37"/>
      <c r="MUX34" s="37"/>
      <c r="MUY34" s="37"/>
      <c r="MUZ34" s="37"/>
      <c r="MVA34" s="37"/>
      <c r="MVB34" s="37"/>
      <c r="MVC34" s="37"/>
      <c r="MVD34" s="37"/>
      <c r="MVE34" s="37"/>
      <c r="MVF34" s="37"/>
      <c r="MVG34" s="37"/>
      <c r="MVH34" s="37"/>
      <c r="MVI34" s="37"/>
      <c r="MVJ34" s="37"/>
      <c r="MVK34" s="37"/>
      <c r="MVL34" s="37"/>
      <c r="MVM34" s="37"/>
      <c r="MVN34" s="37"/>
      <c r="MVO34" s="37"/>
      <c r="MVP34" s="37"/>
      <c r="MVQ34" s="37"/>
      <c r="MVR34" s="37"/>
      <c r="MVS34" s="37"/>
      <c r="MVT34" s="37"/>
      <c r="MVU34" s="37"/>
      <c r="MVV34" s="37"/>
      <c r="MVW34" s="37"/>
      <c r="MVX34" s="37"/>
      <c r="MVY34" s="37"/>
      <c r="MVZ34" s="37"/>
      <c r="MWA34" s="37"/>
      <c r="MWB34" s="37"/>
      <c r="MWC34" s="37"/>
      <c r="MWD34" s="37"/>
      <c r="MWE34" s="37"/>
      <c r="MWF34" s="37"/>
      <c r="MWG34" s="37"/>
      <c r="MWH34" s="37"/>
      <c r="MWI34" s="37"/>
      <c r="MWJ34" s="37"/>
      <c r="MWK34" s="37"/>
      <c r="MWL34" s="37"/>
      <c r="MWM34" s="37"/>
      <c r="MWN34" s="37"/>
      <c r="MWO34" s="37"/>
      <c r="MWP34" s="37"/>
      <c r="MWQ34" s="37"/>
      <c r="MWR34" s="37"/>
      <c r="MWS34" s="37"/>
      <c r="MWT34" s="37"/>
      <c r="MWU34" s="37"/>
      <c r="MWV34" s="37"/>
      <c r="MWW34" s="37"/>
      <c r="MWX34" s="37"/>
      <c r="MWY34" s="37"/>
      <c r="MWZ34" s="37"/>
      <c r="MXA34" s="37"/>
      <c r="MXB34" s="37"/>
      <c r="MXC34" s="37"/>
      <c r="MXD34" s="37"/>
      <c r="MXE34" s="37"/>
      <c r="MXF34" s="37"/>
      <c r="MXG34" s="37"/>
      <c r="MXH34" s="37"/>
      <c r="MXI34" s="37"/>
      <c r="MXJ34" s="37"/>
      <c r="MXK34" s="37"/>
      <c r="MXL34" s="37"/>
      <c r="MXM34" s="37"/>
      <c r="MXN34" s="37"/>
      <c r="MXO34" s="37"/>
      <c r="MXP34" s="37"/>
      <c r="MXQ34" s="37"/>
      <c r="MXR34" s="37"/>
      <c r="MXS34" s="37"/>
      <c r="MXT34" s="37"/>
      <c r="MXU34" s="37"/>
      <c r="MXV34" s="37"/>
      <c r="MXW34" s="37"/>
      <c r="MXX34" s="37"/>
      <c r="MXY34" s="37"/>
      <c r="MXZ34" s="37"/>
      <c r="MYA34" s="37"/>
      <c r="MYB34" s="37"/>
      <c r="MYC34" s="37"/>
      <c r="MYD34" s="37"/>
      <c r="MYE34" s="37"/>
      <c r="MYF34" s="37"/>
      <c r="MYG34" s="37"/>
      <c r="MYH34" s="37"/>
      <c r="MYI34" s="37"/>
      <c r="MYJ34" s="37"/>
      <c r="MYK34" s="37"/>
      <c r="MYL34" s="37"/>
      <c r="MYM34" s="37"/>
      <c r="MYN34" s="37"/>
      <c r="MYO34" s="37"/>
      <c r="MYP34" s="37"/>
      <c r="MYQ34" s="37"/>
      <c r="MYR34" s="37"/>
      <c r="MYS34" s="37"/>
      <c r="MYT34" s="37"/>
      <c r="MYU34" s="37"/>
      <c r="MYV34" s="37"/>
      <c r="MYW34" s="37"/>
      <c r="MYX34" s="37"/>
      <c r="MYY34" s="37"/>
      <c r="MYZ34" s="37"/>
      <c r="MZA34" s="37"/>
      <c r="MZB34" s="37"/>
      <c r="MZC34" s="37"/>
      <c r="MZD34" s="37"/>
      <c r="MZE34" s="37"/>
      <c r="MZF34" s="37"/>
      <c r="MZG34" s="37"/>
      <c r="MZH34" s="37"/>
      <c r="MZI34" s="37"/>
      <c r="MZJ34" s="37"/>
      <c r="MZK34" s="37"/>
      <c r="MZL34" s="37"/>
      <c r="MZM34" s="37"/>
      <c r="MZN34" s="37"/>
      <c r="MZO34" s="37"/>
      <c r="MZP34" s="37"/>
      <c r="MZQ34" s="37"/>
      <c r="MZR34" s="37"/>
      <c r="MZS34" s="37"/>
      <c r="MZT34" s="37"/>
      <c r="MZU34" s="37"/>
      <c r="MZV34" s="37"/>
      <c r="MZW34" s="37"/>
      <c r="MZX34" s="37"/>
      <c r="MZY34" s="37"/>
      <c r="MZZ34" s="37"/>
      <c r="NAA34" s="37"/>
      <c r="NAB34" s="37"/>
      <c r="NAC34" s="37"/>
      <c r="NAD34" s="37"/>
      <c r="NAE34" s="37"/>
      <c r="NAF34" s="37"/>
      <c r="NAG34" s="37"/>
      <c r="NAH34" s="37"/>
      <c r="NAI34" s="37"/>
      <c r="NAJ34" s="37"/>
      <c r="NAK34" s="37"/>
      <c r="NAL34" s="37"/>
      <c r="NAM34" s="37"/>
      <c r="NAN34" s="37"/>
      <c r="NAO34" s="37"/>
      <c r="NAP34" s="37"/>
      <c r="NAQ34" s="37"/>
      <c r="NAR34" s="37"/>
      <c r="NAS34" s="37"/>
      <c r="NAT34" s="37"/>
      <c r="NAU34" s="37"/>
      <c r="NAV34" s="37"/>
      <c r="NAW34" s="37"/>
      <c r="NAX34" s="37"/>
      <c r="NAY34" s="37"/>
      <c r="NAZ34" s="37"/>
      <c r="NBA34" s="37"/>
      <c r="NBB34" s="37"/>
      <c r="NBC34" s="37"/>
      <c r="NBD34" s="37"/>
      <c r="NBE34" s="37"/>
      <c r="NBF34" s="37"/>
      <c r="NBG34" s="37"/>
      <c r="NBH34" s="37"/>
      <c r="NBI34" s="37"/>
      <c r="NBJ34" s="37"/>
      <c r="NBK34" s="37"/>
      <c r="NBL34" s="37"/>
      <c r="NBM34" s="37"/>
      <c r="NBN34" s="37"/>
      <c r="NBO34" s="37"/>
      <c r="NBP34" s="37"/>
      <c r="NBQ34" s="37"/>
      <c r="NBR34" s="37"/>
      <c r="NBS34" s="37"/>
      <c r="NBT34" s="37"/>
      <c r="NBU34" s="37"/>
      <c r="NBV34" s="37"/>
      <c r="NBW34" s="37"/>
      <c r="NBX34" s="37"/>
      <c r="NBY34" s="37"/>
      <c r="NBZ34" s="37"/>
      <c r="NCA34" s="37"/>
      <c r="NCB34" s="37"/>
      <c r="NCC34" s="37"/>
      <c r="NCD34" s="37"/>
      <c r="NCE34" s="37"/>
      <c r="NCF34" s="37"/>
      <c r="NCG34" s="37"/>
      <c r="NCH34" s="37"/>
      <c r="NCI34" s="37"/>
      <c r="NCJ34" s="37"/>
      <c r="NCK34" s="37"/>
      <c r="NCL34" s="37"/>
      <c r="NCM34" s="37"/>
      <c r="NCN34" s="37"/>
      <c r="NCO34" s="37"/>
      <c r="NCP34" s="37"/>
      <c r="NCQ34" s="37"/>
      <c r="NCR34" s="37"/>
      <c r="NCS34" s="37"/>
      <c r="NCT34" s="37"/>
      <c r="NCU34" s="37"/>
      <c r="NCV34" s="37"/>
      <c r="NCW34" s="37"/>
      <c r="NCX34" s="37"/>
      <c r="NCY34" s="37"/>
      <c r="NCZ34" s="37"/>
      <c r="NDA34" s="37"/>
      <c r="NDB34" s="37"/>
      <c r="NDC34" s="37"/>
      <c r="NDD34" s="37"/>
      <c r="NDE34" s="37"/>
      <c r="NDF34" s="37"/>
      <c r="NDG34" s="37"/>
      <c r="NDH34" s="37"/>
      <c r="NDI34" s="37"/>
      <c r="NDJ34" s="37"/>
      <c r="NDK34" s="37"/>
      <c r="NDL34" s="37"/>
      <c r="NDM34" s="37"/>
      <c r="NDN34" s="37"/>
      <c r="NDO34" s="37"/>
      <c r="NDP34" s="37"/>
      <c r="NDQ34" s="37"/>
      <c r="NDR34" s="37"/>
      <c r="NDS34" s="37"/>
      <c r="NDT34" s="37"/>
      <c r="NDU34" s="37"/>
      <c r="NDV34" s="37"/>
      <c r="NDW34" s="37"/>
      <c r="NDX34" s="37"/>
      <c r="NDY34" s="37"/>
      <c r="NDZ34" s="37"/>
      <c r="NEA34" s="37"/>
      <c r="NEB34" s="37"/>
      <c r="NEC34" s="37"/>
      <c r="NED34" s="37"/>
      <c r="NEE34" s="37"/>
      <c r="NEF34" s="37"/>
      <c r="NEG34" s="37"/>
      <c r="NEH34" s="37"/>
      <c r="NEI34" s="37"/>
      <c r="NEJ34" s="37"/>
      <c r="NEK34" s="37"/>
      <c r="NEL34" s="37"/>
      <c r="NEM34" s="37"/>
      <c r="NEN34" s="37"/>
      <c r="NEO34" s="37"/>
      <c r="NEP34" s="37"/>
      <c r="NEQ34" s="37"/>
      <c r="NER34" s="37"/>
      <c r="NES34" s="37"/>
      <c r="NET34" s="37"/>
      <c r="NEU34" s="37"/>
      <c r="NEV34" s="37"/>
      <c r="NEW34" s="37"/>
      <c r="NEX34" s="37"/>
      <c r="NEY34" s="37"/>
      <c r="NEZ34" s="37"/>
      <c r="NFA34" s="37"/>
      <c r="NFB34" s="37"/>
      <c r="NFC34" s="37"/>
      <c r="NFD34" s="37"/>
      <c r="NFE34" s="37"/>
      <c r="NFF34" s="37"/>
      <c r="NFG34" s="37"/>
      <c r="NFH34" s="37"/>
      <c r="NFI34" s="37"/>
      <c r="NFJ34" s="37"/>
      <c r="NFK34" s="37"/>
      <c r="NFL34" s="37"/>
      <c r="NFM34" s="37"/>
      <c r="NFN34" s="37"/>
      <c r="NFO34" s="37"/>
      <c r="NFP34" s="37"/>
      <c r="NFQ34" s="37"/>
      <c r="NFR34" s="37"/>
      <c r="NFS34" s="37"/>
      <c r="NFT34" s="37"/>
      <c r="NFU34" s="37"/>
      <c r="NFV34" s="37"/>
      <c r="NFW34" s="37"/>
      <c r="NFX34" s="37"/>
      <c r="NFY34" s="37"/>
      <c r="NFZ34" s="37"/>
      <c r="NGA34" s="37"/>
      <c r="NGB34" s="37"/>
      <c r="NGC34" s="37"/>
      <c r="NGD34" s="37"/>
      <c r="NGE34" s="37"/>
      <c r="NGF34" s="37"/>
      <c r="NGG34" s="37"/>
      <c r="NGH34" s="37"/>
      <c r="NGI34" s="37"/>
      <c r="NGJ34" s="37"/>
      <c r="NGK34" s="37"/>
      <c r="NGL34" s="37"/>
      <c r="NGM34" s="37"/>
      <c r="NGN34" s="37"/>
      <c r="NGO34" s="37"/>
      <c r="NGP34" s="37"/>
      <c r="NGQ34" s="37"/>
      <c r="NGR34" s="37"/>
      <c r="NGS34" s="37"/>
      <c r="NGT34" s="37"/>
      <c r="NGU34" s="37"/>
      <c r="NGV34" s="37"/>
      <c r="NGW34" s="37"/>
      <c r="NGX34" s="37"/>
      <c r="NGY34" s="37"/>
      <c r="NGZ34" s="37"/>
      <c r="NHA34" s="37"/>
      <c r="NHB34" s="37"/>
      <c r="NHC34" s="37"/>
      <c r="NHD34" s="37"/>
      <c r="NHE34" s="37"/>
      <c r="NHF34" s="37"/>
      <c r="NHG34" s="37"/>
      <c r="NHH34" s="37"/>
      <c r="NHI34" s="37"/>
      <c r="NHJ34" s="37"/>
      <c r="NHK34" s="37"/>
      <c r="NHL34" s="37"/>
      <c r="NHM34" s="37"/>
      <c r="NHN34" s="37"/>
      <c r="NHO34" s="37"/>
      <c r="NHP34" s="37"/>
      <c r="NHQ34" s="37"/>
      <c r="NHR34" s="37"/>
      <c r="NHS34" s="37"/>
      <c r="NHT34" s="37"/>
      <c r="NHU34" s="37"/>
      <c r="NHV34" s="37"/>
      <c r="NHW34" s="37"/>
      <c r="NHX34" s="37"/>
      <c r="NHY34" s="37"/>
      <c r="NHZ34" s="37"/>
      <c r="NIA34" s="37"/>
      <c r="NIB34" s="37"/>
      <c r="NIC34" s="37"/>
      <c r="NID34" s="37"/>
      <c r="NIE34" s="37"/>
      <c r="NIF34" s="37"/>
      <c r="NIG34" s="37"/>
      <c r="NIH34" s="37"/>
      <c r="NII34" s="37"/>
      <c r="NIJ34" s="37"/>
      <c r="NIK34" s="37"/>
      <c r="NIL34" s="37"/>
      <c r="NIM34" s="37"/>
      <c r="NIN34" s="37"/>
      <c r="NIO34" s="37"/>
      <c r="NIP34" s="37"/>
      <c r="NIQ34" s="37"/>
      <c r="NIR34" s="37"/>
      <c r="NIS34" s="37"/>
      <c r="NIT34" s="37"/>
      <c r="NIU34" s="37"/>
      <c r="NIV34" s="37"/>
      <c r="NIW34" s="37"/>
      <c r="NIX34" s="37"/>
      <c r="NIY34" s="37"/>
      <c r="NIZ34" s="37"/>
      <c r="NJA34" s="37"/>
      <c r="NJB34" s="37"/>
      <c r="NJC34" s="37"/>
      <c r="NJD34" s="37"/>
      <c r="NJE34" s="37"/>
      <c r="NJF34" s="37"/>
      <c r="NJG34" s="37"/>
      <c r="NJH34" s="37"/>
      <c r="NJI34" s="37"/>
      <c r="NJJ34" s="37"/>
      <c r="NJK34" s="37"/>
      <c r="NJL34" s="37"/>
      <c r="NJM34" s="37"/>
      <c r="NJN34" s="37"/>
      <c r="NJO34" s="37"/>
      <c r="NJP34" s="37"/>
      <c r="NJQ34" s="37"/>
      <c r="NJR34" s="37"/>
      <c r="NJS34" s="37"/>
      <c r="NJT34" s="37"/>
      <c r="NJU34" s="37"/>
      <c r="NJV34" s="37"/>
      <c r="NJW34" s="37"/>
      <c r="NJX34" s="37"/>
      <c r="NJY34" s="37"/>
      <c r="NJZ34" s="37"/>
      <c r="NKA34" s="37"/>
      <c r="NKB34" s="37"/>
      <c r="NKC34" s="37"/>
      <c r="NKD34" s="37"/>
      <c r="NKE34" s="37"/>
      <c r="NKF34" s="37"/>
      <c r="NKG34" s="37"/>
      <c r="NKH34" s="37"/>
      <c r="NKI34" s="37"/>
      <c r="NKJ34" s="37"/>
      <c r="NKK34" s="37"/>
      <c r="NKL34" s="37"/>
      <c r="NKM34" s="37"/>
      <c r="NKN34" s="37"/>
      <c r="NKO34" s="37"/>
      <c r="NKP34" s="37"/>
      <c r="NKQ34" s="37"/>
      <c r="NKR34" s="37"/>
      <c r="NKS34" s="37"/>
      <c r="NKT34" s="37"/>
      <c r="NKU34" s="37"/>
      <c r="NKV34" s="37"/>
      <c r="NKW34" s="37"/>
      <c r="NKX34" s="37"/>
      <c r="NKY34" s="37"/>
      <c r="NKZ34" s="37"/>
      <c r="NLA34" s="37"/>
      <c r="NLB34" s="37"/>
      <c r="NLC34" s="37"/>
      <c r="NLD34" s="37"/>
      <c r="NLE34" s="37"/>
      <c r="NLF34" s="37"/>
      <c r="NLG34" s="37"/>
      <c r="NLH34" s="37"/>
      <c r="NLI34" s="37"/>
      <c r="NLJ34" s="37"/>
      <c r="NLK34" s="37"/>
      <c r="NLL34" s="37"/>
      <c r="NLM34" s="37"/>
      <c r="NLN34" s="37"/>
      <c r="NLO34" s="37"/>
      <c r="NLP34" s="37"/>
      <c r="NLQ34" s="37"/>
      <c r="NLR34" s="37"/>
      <c r="NLS34" s="37"/>
      <c r="NLT34" s="37"/>
      <c r="NLU34" s="37"/>
      <c r="NLV34" s="37"/>
      <c r="NLW34" s="37"/>
      <c r="NLX34" s="37"/>
      <c r="NLY34" s="37"/>
      <c r="NLZ34" s="37"/>
      <c r="NMA34" s="37"/>
      <c r="NMB34" s="37"/>
      <c r="NMC34" s="37"/>
      <c r="NMD34" s="37"/>
      <c r="NME34" s="37"/>
      <c r="NMF34" s="37"/>
      <c r="NMG34" s="37"/>
      <c r="NMH34" s="37"/>
      <c r="NMI34" s="37"/>
      <c r="NMJ34" s="37"/>
      <c r="NMK34" s="37"/>
      <c r="NML34" s="37"/>
      <c r="NMM34" s="37"/>
      <c r="NMN34" s="37"/>
      <c r="NMO34" s="37"/>
      <c r="NMP34" s="37"/>
      <c r="NMQ34" s="37"/>
      <c r="NMR34" s="37"/>
      <c r="NMS34" s="37"/>
      <c r="NMT34" s="37"/>
      <c r="NMU34" s="37"/>
      <c r="NMV34" s="37"/>
      <c r="NMW34" s="37"/>
      <c r="NMX34" s="37"/>
      <c r="NMY34" s="37"/>
      <c r="NMZ34" s="37"/>
      <c r="NNA34" s="37"/>
      <c r="NNB34" s="37"/>
      <c r="NNC34" s="37"/>
      <c r="NND34" s="37"/>
      <c r="NNE34" s="37"/>
      <c r="NNF34" s="37"/>
      <c r="NNG34" s="37"/>
      <c r="NNH34" s="37"/>
      <c r="NNI34" s="37"/>
      <c r="NNJ34" s="37"/>
      <c r="NNK34" s="37"/>
      <c r="NNL34" s="37"/>
      <c r="NNM34" s="37"/>
      <c r="NNN34" s="37"/>
      <c r="NNO34" s="37"/>
      <c r="NNP34" s="37"/>
      <c r="NNQ34" s="37"/>
      <c r="NNR34" s="37"/>
      <c r="NNS34" s="37"/>
      <c r="NNT34" s="37"/>
      <c r="NNU34" s="37"/>
      <c r="NNV34" s="37"/>
      <c r="NNW34" s="37"/>
      <c r="NNX34" s="37"/>
      <c r="NNY34" s="37"/>
      <c r="NNZ34" s="37"/>
      <c r="NOA34" s="37"/>
      <c r="NOB34" s="37"/>
      <c r="NOC34" s="37"/>
      <c r="NOD34" s="37"/>
      <c r="NOE34" s="37"/>
      <c r="NOF34" s="37"/>
      <c r="NOG34" s="37"/>
      <c r="NOH34" s="37"/>
      <c r="NOI34" s="37"/>
      <c r="NOJ34" s="37"/>
      <c r="NOK34" s="37"/>
      <c r="NOL34" s="37"/>
      <c r="NOM34" s="37"/>
      <c r="NON34" s="37"/>
      <c r="NOO34" s="37"/>
      <c r="NOP34" s="37"/>
      <c r="NOQ34" s="37"/>
      <c r="NOR34" s="37"/>
      <c r="NOS34" s="37"/>
      <c r="NOT34" s="37"/>
      <c r="NOU34" s="37"/>
      <c r="NOV34" s="37"/>
      <c r="NOW34" s="37"/>
      <c r="NOX34" s="37"/>
      <c r="NOY34" s="37"/>
      <c r="NOZ34" s="37"/>
      <c r="NPA34" s="37"/>
      <c r="NPB34" s="37"/>
      <c r="NPC34" s="37"/>
      <c r="NPD34" s="37"/>
      <c r="NPE34" s="37"/>
      <c r="NPF34" s="37"/>
      <c r="NPG34" s="37"/>
      <c r="NPH34" s="37"/>
      <c r="NPI34" s="37"/>
      <c r="NPJ34" s="37"/>
      <c r="NPK34" s="37"/>
      <c r="NPL34" s="37"/>
      <c r="NPM34" s="37"/>
      <c r="NPN34" s="37"/>
      <c r="NPO34" s="37"/>
      <c r="NPP34" s="37"/>
      <c r="NPQ34" s="37"/>
      <c r="NPR34" s="37"/>
      <c r="NPS34" s="37"/>
      <c r="NPT34" s="37"/>
      <c r="NPU34" s="37"/>
      <c r="NPV34" s="37"/>
      <c r="NPW34" s="37"/>
      <c r="NPX34" s="37"/>
      <c r="NPY34" s="37"/>
      <c r="NPZ34" s="37"/>
      <c r="NQA34" s="37"/>
      <c r="NQB34" s="37"/>
      <c r="NQC34" s="37"/>
      <c r="NQD34" s="37"/>
      <c r="NQE34" s="37"/>
      <c r="NQF34" s="37"/>
      <c r="NQG34" s="37"/>
      <c r="NQH34" s="37"/>
      <c r="NQI34" s="37"/>
      <c r="NQJ34" s="37"/>
      <c r="NQK34" s="37"/>
      <c r="NQL34" s="37"/>
      <c r="NQM34" s="37"/>
      <c r="NQN34" s="37"/>
      <c r="NQO34" s="37"/>
      <c r="NQP34" s="37"/>
      <c r="NQQ34" s="37"/>
      <c r="NQR34" s="37"/>
      <c r="NQS34" s="37"/>
      <c r="NQT34" s="37"/>
      <c r="NQU34" s="37"/>
      <c r="NQV34" s="37"/>
      <c r="NQW34" s="37"/>
      <c r="NQX34" s="37"/>
      <c r="NQY34" s="37"/>
      <c r="NQZ34" s="37"/>
      <c r="NRA34" s="37"/>
      <c r="NRB34" s="37"/>
      <c r="NRC34" s="37"/>
      <c r="NRD34" s="37"/>
      <c r="NRE34" s="37"/>
      <c r="NRF34" s="37"/>
      <c r="NRG34" s="37"/>
      <c r="NRH34" s="37"/>
      <c r="NRI34" s="37"/>
      <c r="NRJ34" s="37"/>
      <c r="NRK34" s="37"/>
      <c r="NRL34" s="37"/>
      <c r="NRM34" s="37"/>
      <c r="NRN34" s="37"/>
      <c r="NRO34" s="37"/>
      <c r="NRP34" s="37"/>
      <c r="NRQ34" s="37"/>
      <c r="NRR34" s="37"/>
      <c r="NRS34" s="37"/>
      <c r="NRT34" s="37"/>
      <c r="NRU34" s="37"/>
      <c r="NRV34" s="37"/>
      <c r="NRW34" s="37"/>
      <c r="NRX34" s="37"/>
      <c r="NRY34" s="37"/>
      <c r="NRZ34" s="37"/>
      <c r="NSA34" s="37"/>
      <c r="NSB34" s="37"/>
      <c r="NSC34" s="37"/>
      <c r="NSD34" s="37"/>
      <c r="NSE34" s="37"/>
      <c r="NSF34" s="37"/>
      <c r="NSG34" s="37"/>
      <c r="NSH34" s="37"/>
      <c r="NSI34" s="37"/>
      <c r="NSJ34" s="37"/>
      <c r="NSK34" s="37"/>
      <c r="NSL34" s="37"/>
      <c r="NSM34" s="37"/>
      <c r="NSN34" s="37"/>
      <c r="NSO34" s="37"/>
      <c r="NSP34" s="37"/>
      <c r="NSQ34" s="37"/>
      <c r="NSR34" s="37"/>
      <c r="NSS34" s="37"/>
      <c r="NST34" s="37"/>
      <c r="NSU34" s="37"/>
      <c r="NSV34" s="37"/>
      <c r="NSW34" s="37"/>
      <c r="NSX34" s="37"/>
      <c r="NSY34" s="37"/>
      <c r="NSZ34" s="37"/>
      <c r="NTA34" s="37"/>
      <c r="NTB34" s="37"/>
      <c r="NTC34" s="37"/>
      <c r="NTD34" s="37"/>
      <c r="NTE34" s="37"/>
      <c r="NTF34" s="37"/>
      <c r="NTG34" s="37"/>
      <c r="NTH34" s="37"/>
      <c r="NTI34" s="37"/>
      <c r="NTJ34" s="37"/>
      <c r="NTK34" s="37"/>
      <c r="NTL34" s="37"/>
      <c r="NTM34" s="37"/>
      <c r="NTN34" s="37"/>
      <c r="NTO34" s="37"/>
      <c r="NTP34" s="37"/>
      <c r="NTQ34" s="37"/>
      <c r="NTR34" s="37"/>
      <c r="NTS34" s="37"/>
      <c r="NTT34" s="37"/>
      <c r="NTU34" s="37"/>
      <c r="NTV34" s="37"/>
      <c r="NTW34" s="37"/>
      <c r="NTX34" s="37"/>
      <c r="NTY34" s="37"/>
      <c r="NTZ34" s="37"/>
      <c r="NUA34" s="37"/>
      <c r="NUB34" s="37"/>
      <c r="NUC34" s="37"/>
      <c r="NUD34" s="37"/>
      <c r="NUE34" s="37"/>
      <c r="NUF34" s="37"/>
      <c r="NUG34" s="37"/>
      <c r="NUH34" s="37"/>
      <c r="NUI34" s="37"/>
      <c r="NUJ34" s="37"/>
      <c r="NUK34" s="37"/>
      <c r="NUL34" s="37"/>
      <c r="NUM34" s="37"/>
      <c r="NUN34" s="37"/>
      <c r="NUO34" s="37"/>
      <c r="NUP34" s="37"/>
      <c r="NUQ34" s="37"/>
      <c r="NUR34" s="37"/>
      <c r="NUS34" s="37"/>
      <c r="NUT34" s="37"/>
      <c r="NUU34" s="37"/>
      <c r="NUV34" s="37"/>
      <c r="NUW34" s="37"/>
      <c r="NUX34" s="37"/>
      <c r="NUY34" s="37"/>
      <c r="NUZ34" s="37"/>
      <c r="NVA34" s="37"/>
      <c r="NVB34" s="37"/>
      <c r="NVC34" s="37"/>
      <c r="NVD34" s="37"/>
      <c r="NVE34" s="37"/>
      <c r="NVF34" s="37"/>
      <c r="NVG34" s="37"/>
      <c r="NVH34" s="37"/>
      <c r="NVI34" s="37"/>
      <c r="NVJ34" s="37"/>
      <c r="NVK34" s="37"/>
      <c r="NVL34" s="37"/>
      <c r="NVM34" s="37"/>
      <c r="NVN34" s="37"/>
      <c r="NVO34" s="37"/>
      <c r="NVP34" s="37"/>
      <c r="NVQ34" s="37"/>
      <c r="NVR34" s="37"/>
      <c r="NVS34" s="37"/>
      <c r="NVT34" s="37"/>
      <c r="NVU34" s="37"/>
      <c r="NVV34" s="37"/>
      <c r="NVW34" s="37"/>
      <c r="NVX34" s="37"/>
      <c r="NVY34" s="37"/>
      <c r="NVZ34" s="37"/>
      <c r="NWA34" s="37"/>
      <c r="NWB34" s="37"/>
      <c r="NWC34" s="37"/>
      <c r="NWD34" s="37"/>
      <c r="NWE34" s="37"/>
      <c r="NWF34" s="37"/>
      <c r="NWG34" s="37"/>
      <c r="NWH34" s="37"/>
      <c r="NWI34" s="37"/>
      <c r="NWJ34" s="37"/>
      <c r="NWK34" s="37"/>
      <c r="NWL34" s="37"/>
      <c r="NWM34" s="37"/>
      <c r="NWN34" s="37"/>
      <c r="NWO34" s="37"/>
      <c r="NWP34" s="37"/>
      <c r="NWQ34" s="37"/>
      <c r="NWR34" s="37"/>
      <c r="NWS34" s="37"/>
      <c r="NWT34" s="37"/>
      <c r="NWU34" s="37"/>
      <c r="NWV34" s="37"/>
      <c r="NWW34" s="37"/>
      <c r="NWX34" s="37"/>
      <c r="NWY34" s="37"/>
      <c r="NWZ34" s="37"/>
      <c r="NXA34" s="37"/>
      <c r="NXB34" s="37"/>
      <c r="NXC34" s="37"/>
      <c r="NXD34" s="37"/>
      <c r="NXE34" s="37"/>
      <c r="NXF34" s="37"/>
      <c r="NXG34" s="37"/>
      <c r="NXH34" s="37"/>
      <c r="NXI34" s="37"/>
      <c r="NXJ34" s="37"/>
      <c r="NXK34" s="37"/>
      <c r="NXL34" s="37"/>
      <c r="NXM34" s="37"/>
      <c r="NXN34" s="37"/>
      <c r="NXO34" s="37"/>
      <c r="NXP34" s="37"/>
      <c r="NXQ34" s="37"/>
      <c r="NXR34" s="37"/>
      <c r="NXS34" s="37"/>
      <c r="NXT34" s="37"/>
      <c r="NXU34" s="37"/>
      <c r="NXV34" s="37"/>
      <c r="NXW34" s="37"/>
      <c r="NXX34" s="37"/>
      <c r="NXY34" s="37"/>
      <c r="NXZ34" s="37"/>
      <c r="NYA34" s="37"/>
      <c r="NYB34" s="37"/>
      <c r="NYC34" s="37"/>
      <c r="NYD34" s="37"/>
      <c r="NYE34" s="37"/>
      <c r="NYF34" s="37"/>
      <c r="NYG34" s="37"/>
      <c r="NYH34" s="37"/>
      <c r="NYI34" s="37"/>
      <c r="NYJ34" s="37"/>
      <c r="NYK34" s="37"/>
      <c r="NYL34" s="37"/>
      <c r="NYM34" s="37"/>
      <c r="NYN34" s="37"/>
      <c r="NYO34" s="37"/>
      <c r="NYP34" s="37"/>
      <c r="NYQ34" s="37"/>
      <c r="NYR34" s="37"/>
      <c r="NYS34" s="37"/>
      <c r="NYT34" s="37"/>
      <c r="NYU34" s="37"/>
      <c r="NYV34" s="37"/>
      <c r="NYW34" s="37"/>
      <c r="NYX34" s="37"/>
      <c r="NYY34" s="37"/>
      <c r="NYZ34" s="37"/>
      <c r="NZA34" s="37"/>
      <c r="NZB34" s="37"/>
      <c r="NZC34" s="37"/>
      <c r="NZD34" s="37"/>
      <c r="NZE34" s="37"/>
      <c r="NZF34" s="37"/>
      <c r="NZG34" s="37"/>
      <c r="NZH34" s="37"/>
      <c r="NZI34" s="37"/>
      <c r="NZJ34" s="37"/>
      <c r="NZK34" s="37"/>
      <c r="NZL34" s="37"/>
      <c r="NZM34" s="37"/>
      <c r="NZN34" s="37"/>
      <c r="NZO34" s="37"/>
      <c r="NZP34" s="37"/>
      <c r="NZQ34" s="37"/>
      <c r="NZR34" s="37"/>
      <c r="NZS34" s="37"/>
      <c r="NZT34" s="37"/>
      <c r="NZU34" s="37"/>
      <c r="NZV34" s="37"/>
      <c r="NZW34" s="37"/>
      <c r="NZX34" s="37"/>
      <c r="NZY34" s="37"/>
      <c r="NZZ34" s="37"/>
      <c r="OAA34" s="37"/>
      <c r="OAB34" s="37"/>
      <c r="OAC34" s="37"/>
      <c r="OAD34" s="37"/>
      <c r="OAE34" s="37"/>
      <c r="OAF34" s="37"/>
      <c r="OAG34" s="37"/>
      <c r="OAH34" s="37"/>
      <c r="OAI34" s="37"/>
      <c r="OAJ34" s="37"/>
      <c r="OAK34" s="37"/>
      <c r="OAL34" s="37"/>
      <c r="OAM34" s="37"/>
      <c r="OAN34" s="37"/>
      <c r="OAO34" s="37"/>
      <c r="OAP34" s="37"/>
      <c r="OAQ34" s="37"/>
      <c r="OAR34" s="37"/>
      <c r="OAS34" s="37"/>
      <c r="OAT34" s="37"/>
      <c r="OAU34" s="37"/>
      <c r="OAV34" s="37"/>
      <c r="OAW34" s="37"/>
      <c r="OAX34" s="37"/>
      <c r="OAY34" s="37"/>
      <c r="OAZ34" s="37"/>
      <c r="OBA34" s="37"/>
      <c r="OBB34" s="37"/>
      <c r="OBC34" s="37"/>
      <c r="OBD34" s="37"/>
      <c r="OBE34" s="37"/>
      <c r="OBF34" s="37"/>
      <c r="OBG34" s="37"/>
      <c r="OBH34" s="37"/>
      <c r="OBI34" s="37"/>
      <c r="OBJ34" s="37"/>
      <c r="OBK34" s="37"/>
      <c r="OBL34" s="37"/>
      <c r="OBM34" s="37"/>
      <c r="OBN34" s="37"/>
      <c r="OBO34" s="37"/>
      <c r="OBP34" s="37"/>
      <c r="OBQ34" s="37"/>
      <c r="OBR34" s="37"/>
      <c r="OBS34" s="37"/>
      <c r="OBT34" s="37"/>
      <c r="OBU34" s="37"/>
      <c r="OBV34" s="37"/>
      <c r="OBW34" s="37"/>
      <c r="OBX34" s="37"/>
      <c r="OBY34" s="37"/>
      <c r="OBZ34" s="37"/>
      <c r="OCA34" s="37"/>
      <c r="OCB34" s="37"/>
      <c r="OCC34" s="37"/>
      <c r="OCD34" s="37"/>
      <c r="OCE34" s="37"/>
      <c r="OCF34" s="37"/>
      <c r="OCG34" s="37"/>
      <c r="OCH34" s="37"/>
      <c r="OCI34" s="37"/>
      <c r="OCJ34" s="37"/>
      <c r="OCK34" s="37"/>
      <c r="OCL34" s="37"/>
      <c r="OCM34" s="37"/>
      <c r="OCN34" s="37"/>
      <c r="OCO34" s="37"/>
      <c r="OCP34" s="37"/>
      <c r="OCQ34" s="37"/>
      <c r="OCR34" s="37"/>
      <c r="OCS34" s="37"/>
      <c r="OCT34" s="37"/>
      <c r="OCU34" s="37"/>
      <c r="OCV34" s="37"/>
      <c r="OCW34" s="37"/>
      <c r="OCX34" s="37"/>
      <c r="OCY34" s="37"/>
      <c r="OCZ34" s="37"/>
      <c r="ODA34" s="37"/>
      <c r="ODB34" s="37"/>
      <c r="ODC34" s="37"/>
      <c r="ODD34" s="37"/>
      <c r="ODE34" s="37"/>
      <c r="ODF34" s="37"/>
      <c r="ODG34" s="37"/>
      <c r="ODH34" s="37"/>
      <c r="ODI34" s="37"/>
      <c r="ODJ34" s="37"/>
      <c r="ODK34" s="37"/>
      <c r="ODL34" s="37"/>
      <c r="ODM34" s="37"/>
      <c r="ODN34" s="37"/>
      <c r="ODO34" s="37"/>
      <c r="ODP34" s="37"/>
      <c r="ODQ34" s="37"/>
      <c r="ODR34" s="37"/>
      <c r="ODS34" s="37"/>
      <c r="ODT34" s="37"/>
      <c r="ODU34" s="37"/>
      <c r="ODV34" s="37"/>
      <c r="ODW34" s="37"/>
      <c r="ODX34" s="37"/>
      <c r="ODY34" s="37"/>
      <c r="ODZ34" s="37"/>
      <c r="OEA34" s="37"/>
      <c r="OEB34" s="37"/>
      <c r="OEC34" s="37"/>
      <c r="OED34" s="37"/>
      <c r="OEE34" s="37"/>
      <c r="OEF34" s="37"/>
      <c r="OEG34" s="37"/>
      <c r="OEH34" s="37"/>
      <c r="OEI34" s="37"/>
      <c r="OEJ34" s="37"/>
      <c r="OEK34" s="37"/>
      <c r="OEL34" s="37"/>
      <c r="OEM34" s="37"/>
      <c r="OEN34" s="37"/>
      <c r="OEO34" s="37"/>
      <c r="OEP34" s="37"/>
      <c r="OEQ34" s="37"/>
      <c r="OER34" s="37"/>
      <c r="OES34" s="37"/>
      <c r="OET34" s="37"/>
      <c r="OEU34" s="37"/>
      <c r="OEV34" s="37"/>
      <c r="OEW34" s="37"/>
      <c r="OEX34" s="37"/>
      <c r="OEY34" s="37"/>
      <c r="OEZ34" s="37"/>
      <c r="OFA34" s="37"/>
      <c r="OFB34" s="37"/>
      <c r="OFC34" s="37"/>
      <c r="OFD34" s="37"/>
      <c r="OFE34" s="37"/>
      <c r="OFF34" s="37"/>
      <c r="OFG34" s="37"/>
      <c r="OFH34" s="37"/>
      <c r="OFI34" s="37"/>
      <c r="OFJ34" s="37"/>
      <c r="OFK34" s="37"/>
      <c r="OFL34" s="37"/>
      <c r="OFM34" s="37"/>
      <c r="OFN34" s="37"/>
      <c r="OFO34" s="37"/>
      <c r="OFP34" s="37"/>
      <c r="OFQ34" s="37"/>
      <c r="OFR34" s="37"/>
      <c r="OFS34" s="37"/>
      <c r="OFT34" s="37"/>
      <c r="OFU34" s="37"/>
      <c r="OFV34" s="37"/>
      <c r="OFW34" s="37"/>
      <c r="OFX34" s="37"/>
      <c r="OFY34" s="37"/>
      <c r="OFZ34" s="37"/>
      <c r="OGA34" s="37"/>
      <c r="OGB34" s="37"/>
      <c r="OGC34" s="37"/>
      <c r="OGD34" s="37"/>
      <c r="OGE34" s="37"/>
      <c r="OGF34" s="37"/>
      <c r="OGG34" s="37"/>
      <c r="OGH34" s="37"/>
      <c r="OGI34" s="37"/>
      <c r="OGJ34" s="37"/>
      <c r="OGK34" s="37"/>
      <c r="OGL34" s="37"/>
      <c r="OGM34" s="37"/>
      <c r="OGN34" s="37"/>
      <c r="OGO34" s="37"/>
      <c r="OGP34" s="37"/>
      <c r="OGQ34" s="37"/>
      <c r="OGR34" s="37"/>
      <c r="OGS34" s="37"/>
      <c r="OGT34" s="37"/>
      <c r="OGU34" s="37"/>
      <c r="OGV34" s="37"/>
      <c r="OGW34" s="37"/>
      <c r="OGX34" s="37"/>
      <c r="OGY34" s="37"/>
      <c r="OGZ34" s="37"/>
      <c r="OHA34" s="37"/>
      <c r="OHB34" s="37"/>
      <c r="OHC34" s="37"/>
      <c r="OHD34" s="37"/>
      <c r="OHE34" s="37"/>
      <c r="OHF34" s="37"/>
      <c r="OHG34" s="37"/>
      <c r="OHH34" s="37"/>
      <c r="OHI34" s="37"/>
      <c r="OHJ34" s="37"/>
      <c r="OHK34" s="37"/>
      <c r="OHL34" s="37"/>
      <c r="OHM34" s="37"/>
      <c r="OHN34" s="37"/>
      <c r="OHO34" s="37"/>
      <c r="OHP34" s="37"/>
      <c r="OHQ34" s="37"/>
      <c r="OHR34" s="37"/>
      <c r="OHS34" s="37"/>
      <c r="OHT34" s="37"/>
      <c r="OHU34" s="37"/>
      <c r="OHV34" s="37"/>
      <c r="OHW34" s="37"/>
      <c r="OHX34" s="37"/>
      <c r="OHY34" s="37"/>
      <c r="OHZ34" s="37"/>
      <c r="OIA34" s="37"/>
      <c r="OIB34" s="37"/>
      <c r="OIC34" s="37"/>
      <c r="OID34" s="37"/>
      <c r="OIE34" s="37"/>
      <c r="OIF34" s="37"/>
      <c r="OIG34" s="37"/>
      <c r="OIH34" s="37"/>
      <c r="OII34" s="37"/>
      <c r="OIJ34" s="37"/>
      <c r="OIK34" s="37"/>
      <c r="OIL34" s="37"/>
      <c r="OIM34" s="37"/>
      <c r="OIN34" s="37"/>
      <c r="OIO34" s="37"/>
      <c r="OIP34" s="37"/>
      <c r="OIQ34" s="37"/>
      <c r="OIR34" s="37"/>
      <c r="OIS34" s="37"/>
      <c r="OIT34" s="37"/>
      <c r="OIU34" s="37"/>
      <c r="OIV34" s="37"/>
      <c r="OIW34" s="37"/>
      <c r="OIX34" s="37"/>
      <c r="OIY34" s="37"/>
      <c r="OIZ34" s="37"/>
      <c r="OJA34" s="37"/>
      <c r="OJB34" s="37"/>
      <c r="OJC34" s="37"/>
      <c r="OJD34" s="37"/>
      <c r="OJE34" s="37"/>
      <c r="OJF34" s="37"/>
      <c r="OJG34" s="37"/>
      <c r="OJH34" s="37"/>
      <c r="OJI34" s="37"/>
      <c r="OJJ34" s="37"/>
      <c r="OJK34" s="37"/>
      <c r="OJL34" s="37"/>
      <c r="OJM34" s="37"/>
      <c r="OJN34" s="37"/>
      <c r="OJO34" s="37"/>
      <c r="OJP34" s="37"/>
      <c r="OJQ34" s="37"/>
      <c r="OJR34" s="37"/>
      <c r="OJS34" s="37"/>
      <c r="OJT34" s="37"/>
      <c r="OJU34" s="37"/>
      <c r="OJV34" s="37"/>
      <c r="OJW34" s="37"/>
      <c r="OJX34" s="37"/>
      <c r="OJY34" s="37"/>
      <c r="OJZ34" s="37"/>
      <c r="OKA34" s="37"/>
      <c r="OKB34" s="37"/>
      <c r="OKC34" s="37"/>
      <c r="OKD34" s="37"/>
      <c r="OKE34" s="37"/>
      <c r="OKF34" s="37"/>
      <c r="OKG34" s="37"/>
      <c r="OKH34" s="37"/>
      <c r="OKI34" s="37"/>
      <c r="OKJ34" s="37"/>
      <c r="OKK34" s="37"/>
      <c r="OKL34" s="37"/>
      <c r="OKM34" s="37"/>
      <c r="OKN34" s="37"/>
      <c r="OKO34" s="37"/>
      <c r="OKP34" s="37"/>
      <c r="OKQ34" s="37"/>
      <c r="OKR34" s="37"/>
      <c r="OKS34" s="37"/>
      <c r="OKT34" s="37"/>
      <c r="OKU34" s="37"/>
      <c r="OKV34" s="37"/>
      <c r="OKW34" s="37"/>
      <c r="OKX34" s="37"/>
      <c r="OKY34" s="37"/>
      <c r="OKZ34" s="37"/>
      <c r="OLA34" s="37"/>
      <c r="OLB34" s="37"/>
      <c r="OLC34" s="37"/>
      <c r="OLD34" s="37"/>
      <c r="OLE34" s="37"/>
      <c r="OLF34" s="37"/>
      <c r="OLG34" s="37"/>
      <c r="OLH34" s="37"/>
      <c r="OLI34" s="37"/>
      <c r="OLJ34" s="37"/>
      <c r="OLK34" s="37"/>
      <c r="OLL34" s="37"/>
      <c r="OLM34" s="37"/>
      <c r="OLN34" s="37"/>
      <c r="OLO34" s="37"/>
      <c r="OLP34" s="37"/>
      <c r="OLQ34" s="37"/>
      <c r="OLR34" s="37"/>
      <c r="OLS34" s="37"/>
      <c r="OLT34" s="37"/>
      <c r="OLU34" s="37"/>
      <c r="OLV34" s="37"/>
      <c r="OLW34" s="37"/>
      <c r="OLX34" s="37"/>
      <c r="OLY34" s="37"/>
      <c r="OLZ34" s="37"/>
      <c r="OMA34" s="37"/>
      <c r="OMB34" s="37"/>
      <c r="OMC34" s="37"/>
      <c r="OMD34" s="37"/>
      <c r="OME34" s="37"/>
      <c r="OMF34" s="37"/>
      <c r="OMG34" s="37"/>
      <c r="OMH34" s="37"/>
      <c r="OMI34" s="37"/>
      <c r="OMJ34" s="37"/>
      <c r="OMK34" s="37"/>
      <c r="OML34" s="37"/>
      <c r="OMM34" s="37"/>
      <c r="OMN34" s="37"/>
      <c r="OMO34" s="37"/>
      <c r="OMP34" s="37"/>
      <c r="OMQ34" s="37"/>
      <c r="OMR34" s="37"/>
      <c r="OMS34" s="37"/>
      <c r="OMT34" s="37"/>
      <c r="OMU34" s="37"/>
      <c r="OMV34" s="37"/>
      <c r="OMW34" s="37"/>
      <c r="OMX34" s="37"/>
      <c r="OMY34" s="37"/>
      <c r="OMZ34" s="37"/>
      <c r="ONA34" s="37"/>
      <c r="ONB34" s="37"/>
      <c r="ONC34" s="37"/>
      <c r="OND34" s="37"/>
      <c r="ONE34" s="37"/>
      <c r="ONF34" s="37"/>
      <c r="ONG34" s="37"/>
      <c r="ONH34" s="37"/>
      <c r="ONI34" s="37"/>
      <c r="ONJ34" s="37"/>
      <c r="ONK34" s="37"/>
      <c r="ONL34" s="37"/>
      <c r="ONM34" s="37"/>
      <c r="ONN34" s="37"/>
      <c r="ONO34" s="37"/>
      <c r="ONP34" s="37"/>
      <c r="ONQ34" s="37"/>
      <c r="ONR34" s="37"/>
      <c r="ONS34" s="37"/>
      <c r="ONT34" s="37"/>
      <c r="ONU34" s="37"/>
      <c r="ONV34" s="37"/>
      <c r="ONW34" s="37"/>
      <c r="ONX34" s="37"/>
      <c r="ONY34" s="37"/>
      <c r="ONZ34" s="37"/>
      <c r="OOA34" s="37"/>
      <c r="OOB34" s="37"/>
      <c r="OOC34" s="37"/>
      <c r="OOD34" s="37"/>
      <c r="OOE34" s="37"/>
      <c r="OOF34" s="37"/>
      <c r="OOG34" s="37"/>
      <c r="OOH34" s="37"/>
      <c r="OOI34" s="37"/>
      <c r="OOJ34" s="37"/>
      <c r="OOK34" s="37"/>
      <c r="OOL34" s="37"/>
      <c r="OOM34" s="37"/>
      <c r="OON34" s="37"/>
      <c r="OOO34" s="37"/>
      <c r="OOP34" s="37"/>
      <c r="OOQ34" s="37"/>
      <c r="OOR34" s="37"/>
      <c r="OOS34" s="37"/>
      <c r="OOT34" s="37"/>
      <c r="OOU34" s="37"/>
      <c r="OOV34" s="37"/>
      <c r="OOW34" s="37"/>
      <c r="OOX34" s="37"/>
      <c r="OOY34" s="37"/>
      <c r="OOZ34" s="37"/>
      <c r="OPA34" s="37"/>
      <c r="OPB34" s="37"/>
      <c r="OPC34" s="37"/>
      <c r="OPD34" s="37"/>
      <c r="OPE34" s="37"/>
      <c r="OPF34" s="37"/>
      <c r="OPG34" s="37"/>
      <c r="OPH34" s="37"/>
      <c r="OPI34" s="37"/>
      <c r="OPJ34" s="37"/>
      <c r="OPK34" s="37"/>
      <c r="OPL34" s="37"/>
      <c r="OPM34" s="37"/>
      <c r="OPN34" s="37"/>
      <c r="OPO34" s="37"/>
      <c r="OPP34" s="37"/>
      <c r="OPQ34" s="37"/>
      <c r="OPR34" s="37"/>
      <c r="OPS34" s="37"/>
      <c r="OPT34" s="37"/>
      <c r="OPU34" s="37"/>
      <c r="OPV34" s="37"/>
      <c r="OPW34" s="37"/>
      <c r="OPX34" s="37"/>
      <c r="OPY34" s="37"/>
      <c r="OPZ34" s="37"/>
      <c r="OQA34" s="37"/>
      <c r="OQB34" s="37"/>
      <c r="OQC34" s="37"/>
      <c r="OQD34" s="37"/>
      <c r="OQE34" s="37"/>
      <c r="OQF34" s="37"/>
      <c r="OQG34" s="37"/>
      <c r="OQH34" s="37"/>
      <c r="OQI34" s="37"/>
      <c r="OQJ34" s="37"/>
      <c r="OQK34" s="37"/>
      <c r="OQL34" s="37"/>
      <c r="OQM34" s="37"/>
      <c r="OQN34" s="37"/>
      <c r="OQO34" s="37"/>
      <c r="OQP34" s="37"/>
      <c r="OQQ34" s="37"/>
      <c r="OQR34" s="37"/>
      <c r="OQS34" s="37"/>
      <c r="OQT34" s="37"/>
      <c r="OQU34" s="37"/>
      <c r="OQV34" s="37"/>
      <c r="OQW34" s="37"/>
      <c r="OQX34" s="37"/>
      <c r="OQY34" s="37"/>
      <c r="OQZ34" s="37"/>
      <c r="ORA34" s="37"/>
      <c r="ORB34" s="37"/>
      <c r="ORC34" s="37"/>
      <c r="ORD34" s="37"/>
      <c r="ORE34" s="37"/>
      <c r="ORF34" s="37"/>
      <c r="ORG34" s="37"/>
      <c r="ORH34" s="37"/>
      <c r="ORI34" s="37"/>
      <c r="ORJ34" s="37"/>
      <c r="ORK34" s="37"/>
      <c r="ORL34" s="37"/>
      <c r="ORM34" s="37"/>
      <c r="ORN34" s="37"/>
      <c r="ORO34" s="37"/>
      <c r="ORP34" s="37"/>
      <c r="ORQ34" s="37"/>
      <c r="ORR34" s="37"/>
      <c r="ORS34" s="37"/>
      <c r="ORT34" s="37"/>
      <c r="ORU34" s="37"/>
      <c r="ORV34" s="37"/>
      <c r="ORW34" s="37"/>
      <c r="ORX34" s="37"/>
      <c r="ORY34" s="37"/>
      <c r="ORZ34" s="37"/>
      <c r="OSA34" s="37"/>
      <c r="OSB34" s="37"/>
      <c r="OSC34" s="37"/>
      <c r="OSD34" s="37"/>
      <c r="OSE34" s="37"/>
      <c r="OSF34" s="37"/>
      <c r="OSG34" s="37"/>
      <c r="OSH34" s="37"/>
      <c r="OSI34" s="37"/>
      <c r="OSJ34" s="37"/>
      <c r="OSK34" s="37"/>
      <c r="OSL34" s="37"/>
      <c r="OSM34" s="37"/>
      <c r="OSN34" s="37"/>
      <c r="OSO34" s="37"/>
      <c r="OSP34" s="37"/>
      <c r="OSQ34" s="37"/>
      <c r="OSR34" s="37"/>
      <c r="OSS34" s="37"/>
      <c r="OST34" s="37"/>
      <c r="OSU34" s="37"/>
      <c r="OSV34" s="37"/>
      <c r="OSW34" s="37"/>
      <c r="OSX34" s="37"/>
      <c r="OSY34" s="37"/>
      <c r="OSZ34" s="37"/>
      <c r="OTA34" s="37"/>
      <c r="OTB34" s="37"/>
      <c r="OTC34" s="37"/>
      <c r="OTD34" s="37"/>
      <c r="OTE34" s="37"/>
      <c r="OTF34" s="37"/>
      <c r="OTG34" s="37"/>
      <c r="OTH34" s="37"/>
      <c r="OTI34" s="37"/>
      <c r="OTJ34" s="37"/>
      <c r="OTK34" s="37"/>
      <c r="OTL34" s="37"/>
      <c r="OTM34" s="37"/>
      <c r="OTN34" s="37"/>
      <c r="OTO34" s="37"/>
      <c r="OTP34" s="37"/>
      <c r="OTQ34" s="37"/>
      <c r="OTR34" s="37"/>
      <c r="OTS34" s="37"/>
      <c r="OTT34" s="37"/>
      <c r="OTU34" s="37"/>
      <c r="OTV34" s="37"/>
      <c r="OTW34" s="37"/>
      <c r="OTX34" s="37"/>
      <c r="OTY34" s="37"/>
      <c r="OTZ34" s="37"/>
      <c r="OUA34" s="37"/>
      <c r="OUB34" s="37"/>
      <c r="OUC34" s="37"/>
      <c r="OUD34" s="37"/>
      <c r="OUE34" s="37"/>
      <c r="OUF34" s="37"/>
      <c r="OUG34" s="37"/>
      <c r="OUH34" s="37"/>
      <c r="OUI34" s="37"/>
      <c r="OUJ34" s="37"/>
      <c r="OUK34" s="37"/>
      <c r="OUL34" s="37"/>
      <c r="OUM34" s="37"/>
      <c r="OUN34" s="37"/>
      <c r="OUO34" s="37"/>
      <c r="OUP34" s="37"/>
      <c r="OUQ34" s="37"/>
      <c r="OUR34" s="37"/>
      <c r="OUS34" s="37"/>
      <c r="OUT34" s="37"/>
      <c r="OUU34" s="37"/>
      <c r="OUV34" s="37"/>
      <c r="OUW34" s="37"/>
      <c r="OUX34" s="37"/>
      <c r="OUY34" s="37"/>
      <c r="OUZ34" s="37"/>
      <c r="OVA34" s="37"/>
      <c r="OVB34" s="37"/>
      <c r="OVC34" s="37"/>
      <c r="OVD34" s="37"/>
      <c r="OVE34" s="37"/>
      <c r="OVF34" s="37"/>
      <c r="OVG34" s="37"/>
      <c r="OVH34" s="37"/>
      <c r="OVI34" s="37"/>
      <c r="OVJ34" s="37"/>
      <c r="OVK34" s="37"/>
      <c r="OVL34" s="37"/>
      <c r="OVM34" s="37"/>
      <c r="OVN34" s="37"/>
      <c r="OVO34" s="37"/>
      <c r="OVP34" s="37"/>
      <c r="OVQ34" s="37"/>
      <c r="OVR34" s="37"/>
      <c r="OVS34" s="37"/>
      <c r="OVT34" s="37"/>
      <c r="OVU34" s="37"/>
      <c r="OVV34" s="37"/>
      <c r="OVW34" s="37"/>
      <c r="OVX34" s="37"/>
      <c r="OVY34" s="37"/>
      <c r="OVZ34" s="37"/>
      <c r="OWA34" s="37"/>
      <c r="OWB34" s="37"/>
      <c r="OWC34" s="37"/>
      <c r="OWD34" s="37"/>
      <c r="OWE34" s="37"/>
      <c r="OWF34" s="37"/>
      <c r="OWG34" s="37"/>
      <c r="OWH34" s="37"/>
      <c r="OWI34" s="37"/>
      <c r="OWJ34" s="37"/>
      <c r="OWK34" s="37"/>
      <c r="OWL34" s="37"/>
      <c r="OWM34" s="37"/>
      <c r="OWN34" s="37"/>
      <c r="OWO34" s="37"/>
      <c r="OWP34" s="37"/>
      <c r="OWQ34" s="37"/>
      <c r="OWR34" s="37"/>
      <c r="OWS34" s="37"/>
      <c r="OWT34" s="37"/>
      <c r="OWU34" s="37"/>
      <c r="OWV34" s="37"/>
      <c r="OWW34" s="37"/>
      <c r="OWX34" s="37"/>
      <c r="OWY34" s="37"/>
      <c r="OWZ34" s="37"/>
      <c r="OXA34" s="37"/>
      <c r="OXB34" s="37"/>
      <c r="OXC34" s="37"/>
      <c r="OXD34" s="37"/>
      <c r="OXE34" s="37"/>
      <c r="OXF34" s="37"/>
      <c r="OXG34" s="37"/>
      <c r="OXH34" s="37"/>
      <c r="OXI34" s="37"/>
      <c r="OXJ34" s="37"/>
      <c r="OXK34" s="37"/>
      <c r="OXL34" s="37"/>
      <c r="OXM34" s="37"/>
      <c r="OXN34" s="37"/>
      <c r="OXO34" s="37"/>
      <c r="OXP34" s="37"/>
      <c r="OXQ34" s="37"/>
      <c r="OXR34" s="37"/>
      <c r="OXS34" s="37"/>
      <c r="OXT34" s="37"/>
      <c r="OXU34" s="37"/>
      <c r="OXV34" s="37"/>
      <c r="OXW34" s="37"/>
      <c r="OXX34" s="37"/>
      <c r="OXY34" s="37"/>
      <c r="OXZ34" s="37"/>
      <c r="OYA34" s="37"/>
      <c r="OYB34" s="37"/>
      <c r="OYC34" s="37"/>
      <c r="OYD34" s="37"/>
      <c r="OYE34" s="37"/>
      <c r="OYF34" s="37"/>
      <c r="OYG34" s="37"/>
      <c r="OYH34" s="37"/>
      <c r="OYI34" s="37"/>
      <c r="OYJ34" s="37"/>
      <c r="OYK34" s="37"/>
      <c r="OYL34" s="37"/>
      <c r="OYM34" s="37"/>
      <c r="OYN34" s="37"/>
      <c r="OYO34" s="37"/>
      <c r="OYP34" s="37"/>
      <c r="OYQ34" s="37"/>
      <c r="OYR34" s="37"/>
      <c r="OYS34" s="37"/>
      <c r="OYT34" s="37"/>
      <c r="OYU34" s="37"/>
      <c r="OYV34" s="37"/>
      <c r="OYW34" s="37"/>
      <c r="OYX34" s="37"/>
      <c r="OYY34" s="37"/>
      <c r="OYZ34" s="37"/>
      <c r="OZA34" s="37"/>
      <c r="OZB34" s="37"/>
      <c r="OZC34" s="37"/>
      <c r="OZD34" s="37"/>
      <c r="OZE34" s="37"/>
      <c r="OZF34" s="37"/>
      <c r="OZG34" s="37"/>
      <c r="OZH34" s="37"/>
      <c r="OZI34" s="37"/>
      <c r="OZJ34" s="37"/>
      <c r="OZK34" s="37"/>
      <c r="OZL34" s="37"/>
      <c r="OZM34" s="37"/>
      <c r="OZN34" s="37"/>
      <c r="OZO34" s="37"/>
      <c r="OZP34" s="37"/>
      <c r="OZQ34" s="37"/>
      <c r="OZR34" s="37"/>
      <c r="OZS34" s="37"/>
      <c r="OZT34" s="37"/>
      <c r="OZU34" s="37"/>
      <c r="OZV34" s="37"/>
      <c r="OZW34" s="37"/>
      <c r="OZX34" s="37"/>
      <c r="OZY34" s="37"/>
      <c r="OZZ34" s="37"/>
      <c r="PAA34" s="37"/>
      <c r="PAB34" s="37"/>
      <c r="PAC34" s="37"/>
      <c r="PAD34" s="37"/>
      <c r="PAE34" s="37"/>
      <c r="PAF34" s="37"/>
      <c r="PAG34" s="37"/>
      <c r="PAH34" s="37"/>
      <c r="PAI34" s="37"/>
      <c r="PAJ34" s="37"/>
      <c r="PAK34" s="37"/>
      <c r="PAL34" s="37"/>
      <c r="PAM34" s="37"/>
      <c r="PAN34" s="37"/>
      <c r="PAO34" s="37"/>
      <c r="PAP34" s="37"/>
      <c r="PAQ34" s="37"/>
      <c r="PAR34" s="37"/>
      <c r="PAS34" s="37"/>
      <c r="PAT34" s="37"/>
      <c r="PAU34" s="37"/>
      <c r="PAV34" s="37"/>
      <c r="PAW34" s="37"/>
      <c r="PAX34" s="37"/>
      <c r="PAY34" s="37"/>
      <c r="PAZ34" s="37"/>
      <c r="PBA34" s="37"/>
      <c r="PBB34" s="37"/>
      <c r="PBC34" s="37"/>
      <c r="PBD34" s="37"/>
      <c r="PBE34" s="37"/>
      <c r="PBF34" s="37"/>
      <c r="PBG34" s="37"/>
      <c r="PBH34" s="37"/>
      <c r="PBI34" s="37"/>
      <c r="PBJ34" s="37"/>
      <c r="PBK34" s="37"/>
      <c r="PBL34" s="37"/>
      <c r="PBM34" s="37"/>
      <c r="PBN34" s="37"/>
      <c r="PBO34" s="37"/>
      <c r="PBP34" s="37"/>
      <c r="PBQ34" s="37"/>
      <c r="PBR34" s="37"/>
      <c r="PBS34" s="37"/>
      <c r="PBT34" s="37"/>
      <c r="PBU34" s="37"/>
      <c r="PBV34" s="37"/>
      <c r="PBW34" s="37"/>
      <c r="PBX34" s="37"/>
      <c r="PBY34" s="37"/>
      <c r="PBZ34" s="37"/>
      <c r="PCA34" s="37"/>
      <c r="PCB34" s="37"/>
      <c r="PCC34" s="37"/>
      <c r="PCD34" s="37"/>
      <c r="PCE34" s="37"/>
      <c r="PCF34" s="37"/>
      <c r="PCG34" s="37"/>
      <c r="PCH34" s="37"/>
      <c r="PCI34" s="37"/>
      <c r="PCJ34" s="37"/>
      <c r="PCK34" s="37"/>
      <c r="PCL34" s="37"/>
      <c r="PCM34" s="37"/>
      <c r="PCN34" s="37"/>
      <c r="PCO34" s="37"/>
      <c r="PCP34" s="37"/>
      <c r="PCQ34" s="37"/>
      <c r="PCR34" s="37"/>
      <c r="PCS34" s="37"/>
      <c r="PCT34" s="37"/>
      <c r="PCU34" s="37"/>
      <c r="PCV34" s="37"/>
      <c r="PCW34" s="37"/>
      <c r="PCX34" s="37"/>
      <c r="PCY34" s="37"/>
      <c r="PCZ34" s="37"/>
      <c r="PDA34" s="37"/>
      <c r="PDB34" s="37"/>
      <c r="PDC34" s="37"/>
      <c r="PDD34" s="37"/>
      <c r="PDE34" s="37"/>
      <c r="PDF34" s="37"/>
      <c r="PDG34" s="37"/>
      <c r="PDH34" s="37"/>
      <c r="PDI34" s="37"/>
      <c r="PDJ34" s="37"/>
      <c r="PDK34" s="37"/>
      <c r="PDL34" s="37"/>
      <c r="PDM34" s="37"/>
      <c r="PDN34" s="37"/>
      <c r="PDO34" s="37"/>
      <c r="PDP34" s="37"/>
      <c r="PDQ34" s="37"/>
      <c r="PDR34" s="37"/>
      <c r="PDS34" s="37"/>
      <c r="PDT34" s="37"/>
      <c r="PDU34" s="37"/>
      <c r="PDV34" s="37"/>
      <c r="PDW34" s="37"/>
      <c r="PDX34" s="37"/>
      <c r="PDY34" s="37"/>
      <c r="PDZ34" s="37"/>
      <c r="PEA34" s="37"/>
      <c r="PEB34" s="37"/>
      <c r="PEC34" s="37"/>
      <c r="PED34" s="37"/>
      <c r="PEE34" s="37"/>
      <c r="PEF34" s="37"/>
      <c r="PEG34" s="37"/>
      <c r="PEH34" s="37"/>
      <c r="PEI34" s="37"/>
      <c r="PEJ34" s="37"/>
      <c r="PEK34" s="37"/>
      <c r="PEL34" s="37"/>
      <c r="PEM34" s="37"/>
      <c r="PEN34" s="37"/>
      <c r="PEO34" s="37"/>
      <c r="PEP34" s="37"/>
      <c r="PEQ34" s="37"/>
      <c r="PER34" s="37"/>
      <c r="PES34" s="37"/>
      <c r="PET34" s="37"/>
      <c r="PEU34" s="37"/>
      <c r="PEV34" s="37"/>
      <c r="PEW34" s="37"/>
      <c r="PEX34" s="37"/>
      <c r="PEY34" s="37"/>
      <c r="PEZ34" s="37"/>
      <c r="PFA34" s="37"/>
      <c r="PFB34" s="37"/>
      <c r="PFC34" s="37"/>
      <c r="PFD34" s="37"/>
      <c r="PFE34" s="37"/>
      <c r="PFF34" s="37"/>
      <c r="PFG34" s="37"/>
      <c r="PFH34" s="37"/>
      <c r="PFI34" s="37"/>
      <c r="PFJ34" s="37"/>
      <c r="PFK34" s="37"/>
      <c r="PFL34" s="37"/>
      <c r="PFM34" s="37"/>
      <c r="PFN34" s="37"/>
      <c r="PFO34" s="37"/>
      <c r="PFP34" s="37"/>
      <c r="PFQ34" s="37"/>
      <c r="PFR34" s="37"/>
      <c r="PFS34" s="37"/>
      <c r="PFT34" s="37"/>
      <c r="PFU34" s="37"/>
      <c r="PFV34" s="37"/>
      <c r="PFW34" s="37"/>
      <c r="PFX34" s="37"/>
      <c r="PFY34" s="37"/>
      <c r="PFZ34" s="37"/>
      <c r="PGA34" s="37"/>
      <c r="PGB34" s="37"/>
      <c r="PGC34" s="37"/>
      <c r="PGD34" s="37"/>
      <c r="PGE34" s="37"/>
      <c r="PGF34" s="37"/>
      <c r="PGG34" s="37"/>
      <c r="PGH34" s="37"/>
      <c r="PGI34" s="37"/>
      <c r="PGJ34" s="37"/>
      <c r="PGK34" s="37"/>
      <c r="PGL34" s="37"/>
      <c r="PGM34" s="37"/>
      <c r="PGN34" s="37"/>
      <c r="PGO34" s="37"/>
      <c r="PGP34" s="37"/>
      <c r="PGQ34" s="37"/>
      <c r="PGR34" s="37"/>
      <c r="PGS34" s="37"/>
      <c r="PGT34" s="37"/>
      <c r="PGU34" s="37"/>
      <c r="PGV34" s="37"/>
      <c r="PGW34" s="37"/>
      <c r="PGX34" s="37"/>
      <c r="PGY34" s="37"/>
      <c r="PGZ34" s="37"/>
      <c r="PHA34" s="37"/>
      <c r="PHB34" s="37"/>
      <c r="PHC34" s="37"/>
      <c r="PHD34" s="37"/>
      <c r="PHE34" s="37"/>
      <c r="PHF34" s="37"/>
      <c r="PHG34" s="37"/>
      <c r="PHH34" s="37"/>
      <c r="PHI34" s="37"/>
      <c r="PHJ34" s="37"/>
      <c r="PHK34" s="37"/>
      <c r="PHL34" s="37"/>
      <c r="PHM34" s="37"/>
      <c r="PHN34" s="37"/>
      <c r="PHO34" s="37"/>
      <c r="PHP34" s="37"/>
      <c r="PHQ34" s="37"/>
      <c r="PHR34" s="37"/>
      <c r="PHS34" s="37"/>
      <c r="PHT34" s="37"/>
      <c r="PHU34" s="37"/>
      <c r="PHV34" s="37"/>
      <c r="PHW34" s="37"/>
      <c r="PHX34" s="37"/>
      <c r="PHY34" s="37"/>
      <c r="PHZ34" s="37"/>
      <c r="PIA34" s="37"/>
      <c r="PIB34" s="37"/>
      <c r="PIC34" s="37"/>
      <c r="PID34" s="37"/>
      <c r="PIE34" s="37"/>
      <c r="PIF34" s="37"/>
      <c r="PIG34" s="37"/>
      <c r="PIH34" s="37"/>
      <c r="PII34" s="37"/>
      <c r="PIJ34" s="37"/>
      <c r="PIK34" s="37"/>
      <c r="PIL34" s="37"/>
      <c r="PIM34" s="37"/>
      <c r="PIN34" s="37"/>
      <c r="PIO34" s="37"/>
      <c r="PIP34" s="37"/>
      <c r="PIQ34" s="37"/>
      <c r="PIR34" s="37"/>
      <c r="PIS34" s="37"/>
      <c r="PIT34" s="37"/>
      <c r="PIU34" s="37"/>
      <c r="PIV34" s="37"/>
      <c r="PIW34" s="37"/>
      <c r="PIX34" s="37"/>
      <c r="PIY34" s="37"/>
      <c r="PIZ34" s="37"/>
      <c r="PJA34" s="37"/>
      <c r="PJB34" s="37"/>
      <c r="PJC34" s="37"/>
      <c r="PJD34" s="37"/>
      <c r="PJE34" s="37"/>
      <c r="PJF34" s="37"/>
      <c r="PJG34" s="37"/>
      <c r="PJH34" s="37"/>
      <c r="PJI34" s="37"/>
      <c r="PJJ34" s="37"/>
      <c r="PJK34" s="37"/>
      <c r="PJL34" s="37"/>
      <c r="PJM34" s="37"/>
      <c r="PJN34" s="37"/>
      <c r="PJO34" s="37"/>
      <c r="PJP34" s="37"/>
      <c r="PJQ34" s="37"/>
      <c r="PJR34" s="37"/>
      <c r="PJS34" s="37"/>
      <c r="PJT34" s="37"/>
      <c r="PJU34" s="37"/>
      <c r="PJV34" s="37"/>
      <c r="PJW34" s="37"/>
      <c r="PJX34" s="37"/>
      <c r="PJY34" s="37"/>
      <c r="PJZ34" s="37"/>
      <c r="PKA34" s="37"/>
      <c r="PKB34" s="37"/>
      <c r="PKC34" s="37"/>
      <c r="PKD34" s="37"/>
      <c r="PKE34" s="37"/>
      <c r="PKF34" s="37"/>
      <c r="PKG34" s="37"/>
      <c r="PKH34" s="37"/>
      <c r="PKI34" s="37"/>
      <c r="PKJ34" s="37"/>
      <c r="PKK34" s="37"/>
      <c r="PKL34" s="37"/>
      <c r="PKM34" s="37"/>
      <c r="PKN34" s="37"/>
      <c r="PKO34" s="37"/>
      <c r="PKP34" s="37"/>
      <c r="PKQ34" s="37"/>
      <c r="PKR34" s="37"/>
      <c r="PKS34" s="37"/>
      <c r="PKT34" s="37"/>
      <c r="PKU34" s="37"/>
      <c r="PKV34" s="37"/>
      <c r="PKW34" s="37"/>
      <c r="PKX34" s="37"/>
      <c r="PKY34" s="37"/>
      <c r="PKZ34" s="37"/>
      <c r="PLA34" s="37"/>
      <c r="PLB34" s="37"/>
      <c r="PLC34" s="37"/>
      <c r="PLD34" s="37"/>
      <c r="PLE34" s="37"/>
      <c r="PLF34" s="37"/>
      <c r="PLG34" s="37"/>
      <c r="PLH34" s="37"/>
      <c r="PLI34" s="37"/>
      <c r="PLJ34" s="37"/>
      <c r="PLK34" s="37"/>
      <c r="PLL34" s="37"/>
      <c r="PLM34" s="37"/>
      <c r="PLN34" s="37"/>
      <c r="PLO34" s="37"/>
      <c r="PLP34" s="37"/>
      <c r="PLQ34" s="37"/>
      <c r="PLR34" s="37"/>
      <c r="PLS34" s="37"/>
      <c r="PLT34" s="37"/>
      <c r="PLU34" s="37"/>
      <c r="PLV34" s="37"/>
      <c r="PLW34" s="37"/>
      <c r="PLX34" s="37"/>
      <c r="PLY34" s="37"/>
      <c r="PLZ34" s="37"/>
      <c r="PMA34" s="37"/>
      <c r="PMB34" s="37"/>
      <c r="PMC34" s="37"/>
      <c r="PMD34" s="37"/>
      <c r="PME34" s="37"/>
      <c r="PMF34" s="37"/>
      <c r="PMG34" s="37"/>
      <c r="PMH34" s="37"/>
      <c r="PMI34" s="37"/>
      <c r="PMJ34" s="37"/>
      <c r="PMK34" s="37"/>
      <c r="PML34" s="37"/>
      <c r="PMM34" s="37"/>
      <c r="PMN34" s="37"/>
      <c r="PMO34" s="37"/>
      <c r="PMP34" s="37"/>
      <c r="PMQ34" s="37"/>
      <c r="PMR34" s="37"/>
      <c r="PMS34" s="37"/>
      <c r="PMT34" s="37"/>
      <c r="PMU34" s="37"/>
      <c r="PMV34" s="37"/>
      <c r="PMW34" s="37"/>
      <c r="PMX34" s="37"/>
      <c r="PMY34" s="37"/>
      <c r="PMZ34" s="37"/>
      <c r="PNA34" s="37"/>
      <c r="PNB34" s="37"/>
      <c r="PNC34" s="37"/>
      <c r="PND34" s="37"/>
      <c r="PNE34" s="37"/>
      <c r="PNF34" s="37"/>
      <c r="PNG34" s="37"/>
      <c r="PNH34" s="37"/>
      <c r="PNI34" s="37"/>
      <c r="PNJ34" s="37"/>
      <c r="PNK34" s="37"/>
      <c r="PNL34" s="37"/>
      <c r="PNM34" s="37"/>
      <c r="PNN34" s="37"/>
      <c r="PNO34" s="37"/>
      <c r="PNP34" s="37"/>
      <c r="PNQ34" s="37"/>
      <c r="PNR34" s="37"/>
      <c r="PNS34" s="37"/>
      <c r="PNT34" s="37"/>
      <c r="PNU34" s="37"/>
      <c r="PNV34" s="37"/>
      <c r="PNW34" s="37"/>
      <c r="PNX34" s="37"/>
      <c r="PNY34" s="37"/>
      <c r="PNZ34" s="37"/>
      <c r="POA34" s="37"/>
      <c r="POB34" s="37"/>
      <c r="POC34" s="37"/>
      <c r="POD34" s="37"/>
      <c r="POE34" s="37"/>
      <c r="POF34" s="37"/>
      <c r="POG34" s="37"/>
      <c r="POH34" s="37"/>
      <c r="POI34" s="37"/>
      <c r="POJ34" s="37"/>
      <c r="POK34" s="37"/>
      <c r="POL34" s="37"/>
      <c r="POM34" s="37"/>
      <c r="PON34" s="37"/>
      <c r="POO34" s="37"/>
      <c r="POP34" s="37"/>
      <c r="POQ34" s="37"/>
      <c r="POR34" s="37"/>
      <c r="POS34" s="37"/>
      <c r="POT34" s="37"/>
      <c r="POU34" s="37"/>
      <c r="POV34" s="37"/>
      <c r="POW34" s="37"/>
      <c r="POX34" s="37"/>
      <c r="POY34" s="37"/>
      <c r="POZ34" s="37"/>
      <c r="PPA34" s="37"/>
      <c r="PPB34" s="37"/>
      <c r="PPC34" s="37"/>
      <c r="PPD34" s="37"/>
      <c r="PPE34" s="37"/>
      <c r="PPF34" s="37"/>
      <c r="PPG34" s="37"/>
      <c r="PPH34" s="37"/>
      <c r="PPI34" s="37"/>
      <c r="PPJ34" s="37"/>
      <c r="PPK34" s="37"/>
      <c r="PPL34" s="37"/>
      <c r="PPM34" s="37"/>
      <c r="PPN34" s="37"/>
      <c r="PPO34" s="37"/>
      <c r="PPP34" s="37"/>
      <c r="PPQ34" s="37"/>
      <c r="PPR34" s="37"/>
      <c r="PPS34" s="37"/>
      <c r="PPT34" s="37"/>
      <c r="PPU34" s="37"/>
      <c r="PPV34" s="37"/>
      <c r="PPW34" s="37"/>
      <c r="PPX34" s="37"/>
      <c r="PPY34" s="37"/>
      <c r="PPZ34" s="37"/>
      <c r="PQA34" s="37"/>
      <c r="PQB34" s="37"/>
      <c r="PQC34" s="37"/>
      <c r="PQD34" s="37"/>
      <c r="PQE34" s="37"/>
      <c r="PQF34" s="37"/>
      <c r="PQG34" s="37"/>
      <c r="PQH34" s="37"/>
      <c r="PQI34" s="37"/>
      <c r="PQJ34" s="37"/>
      <c r="PQK34" s="37"/>
      <c r="PQL34" s="37"/>
      <c r="PQM34" s="37"/>
      <c r="PQN34" s="37"/>
      <c r="PQO34" s="37"/>
      <c r="PQP34" s="37"/>
      <c r="PQQ34" s="37"/>
      <c r="PQR34" s="37"/>
      <c r="PQS34" s="37"/>
      <c r="PQT34" s="37"/>
      <c r="PQU34" s="37"/>
      <c r="PQV34" s="37"/>
      <c r="PQW34" s="37"/>
      <c r="PQX34" s="37"/>
      <c r="PQY34" s="37"/>
      <c r="PQZ34" s="37"/>
      <c r="PRA34" s="37"/>
      <c r="PRB34" s="37"/>
      <c r="PRC34" s="37"/>
      <c r="PRD34" s="37"/>
      <c r="PRE34" s="37"/>
      <c r="PRF34" s="37"/>
      <c r="PRG34" s="37"/>
      <c r="PRH34" s="37"/>
      <c r="PRI34" s="37"/>
      <c r="PRJ34" s="37"/>
      <c r="PRK34" s="37"/>
      <c r="PRL34" s="37"/>
      <c r="PRM34" s="37"/>
      <c r="PRN34" s="37"/>
      <c r="PRO34" s="37"/>
      <c r="PRP34" s="37"/>
      <c r="PRQ34" s="37"/>
      <c r="PRR34" s="37"/>
      <c r="PRS34" s="37"/>
      <c r="PRT34" s="37"/>
      <c r="PRU34" s="37"/>
      <c r="PRV34" s="37"/>
      <c r="PRW34" s="37"/>
      <c r="PRX34" s="37"/>
      <c r="PRY34" s="37"/>
      <c r="PRZ34" s="37"/>
      <c r="PSA34" s="37"/>
      <c r="PSB34" s="37"/>
      <c r="PSC34" s="37"/>
      <c r="PSD34" s="37"/>
      <c r="PSE34" s="37"/>
      <c r="PSF34" s="37"/>
      <c r="PSG34" s="37"/>
      <c r="PSH34" s="37"/>
      <c r="PSI34" s="37"/>
      <c r="PSJ34" s="37"/>
      <c r="PSK34" s="37"/>
      <c r="PSL34" s="37"/>
      <c r="PSM34" s="37"/>
      <c r="PSN34" s="37"/>
      <c r="PSO34" s="37"/>
      <c r="PSP34" s="37"/>
      <c r="PSQ34" s="37"/>
      <c r="PSR34" s="37"/>
      <c r="PSS34" s="37"/>
      <c r="PST34" s="37"/>
      <c r="PSU34" s="37"/>
      <c r="PSV34" s="37"/>
      <c r="PSW34" s="37"/>
      <c r="PSX34" s="37"/>
      <c r="PSY34" s="37"/>
      <c r="PSZ34" s="37"/>
      <c r="PTA34" s="37"/>
      <c r="PTB34" s="37"/>
      <c r="PTC34" s="37"/>
      <c r="PTD34" s="37"/>
      <c r="PTE34" s="37"/>
      <c r="PTF34" s="37"/>
      <c r="PTG34" s="37"/>
      <c r="PTH34" s="37"/>
      <c r="PTI34" s="37"/>
      <c r="PTJ34" s="37"/>
      <c r="PTK34" s="37"/>
      <c r="PTL34" s="37"/>
      <c r="PTM34" s="37"/>
      <c r="PTN34" s="37"/>
      <c r="PTO34" s="37"/>
      <c r="PTP34" s="37"/>
      <c r="PTQ34" s="37"/>
      <c r="PTR34" s="37"/>
      <c r="PTS34" s="37"/>
      <c r="PTT34" s="37"/>
      <c r="PTU34" s="37"/>
      <c r="PTV34" s="37"/>
      <c r="PTW34" s="37"/>
      <c r="PTX34" s="37"/>
      <c r="PTY34" s="37"/>
      <c r="PTZ34" s="37"/>
      <c r="PUA34" s="37"/>
      <c r="PUB34" s="37"/>
      <c r="PUC34" s="37"/>
      <c r="PUD34" s="37"/>
      <c r="PUE34" s="37"/>
      <c r="PUF34" s="37"/>
      <c r="PUG34" s="37"/>
      <c r="PUH34" s="37"/>
      <c r="PUI34" s="37"/>
      <c r="PUJ34" s="37"/>
      <c r="PUK34" s="37"/>
      <c r="PUL34" s="37"/>
      <c r="PUM34" s="37"/>
      <c r="PUN34" s="37"/>
      <c r="PUO34" s="37"/>
      <c r="PUP34" s="37"/>
      <c r="PUQ34" s="37"/>
      <c r="PUR34" s="37"/>
      <c r="PUS34" s="37"/>
      <c r="PUT34" s="37"/>
      <c r="PUU34" s="37"/>
      <c r="PUV34" s="37"/>
      <c r="PUW34" s="37"/>
      <c r="PUX34" s="37"/>
      <c r="PUY34" s="37"/>
      <c r="PUZ34" s="37"/>
      <c r="PVA34" s="37"/>
      <c r="PVB34" s="37"/>
      <c r="PVC34" s="37"/>
      <c r="PVD34" s="37"/>
      <c r="PVE34" s="37"/>
      <c r="PVF34" s="37"/>
      <c r="PVG34" s="37"/>
      <c r="PVH34" s="37"/>
      <c r="PVI34" s="37"/>
      <c r="PVJ34" s="37"/>
      <c r="PVK34" s="37"/>
      <c r="PVL34" s="37"/>
      <c r="PVM34" s="37"/>
      <c r="PVN34" s="37"/>
      <c r="PVO34" s="37"/>
      <c r="PVP34" s="37"/>
      <c r="PVQ34" s="37"/>
      <c r="PVR34" s="37"/>
      <c r="PVS34" s="37"/>
      <c r="PVT34" s="37"/>
      <c r="PVU34" s="37"/>
      <c r="PVV34" s="37"/>
      <c r="PVW34" s="37"/>
      <c r="PVX34" s="37"/>
      <c r="PVY34" s="37"/>
      <c r="PVZ34" s="37"/>
      <c r="PWA34" s="37"/>
      <c r="PWB34" s="37"/>
      <c r="PWC34" s="37"/>
      <c r="PWD34" s="37"/>
      <c r="PWE34" s="37"/>
      <c r="PWF34" s="37"/>
      <c r="PWG34" s="37"/>
      <c r="PWH34" s="37"/>
      <c r="PWI34" s="37"/>
      <c r="PWJ34" s="37"/>
      <c r="PWK34" s="37"/>
      <c r="PWL34" s="37"/>
      <c r="PWM34" s="37"/>
      <c r="PWN34" s="37"/>
      <c r="PWO34" s="37"/>
      <c r="PWP34" s="37"/>
      <c r="PWQ34" s="37"/>
      <c r="PWR34" s="37"/>
      <c r="PWS34" s="37"/>
      <c r="PWT34" s="37"/>
      <c r="PWU34" s="37"/>
      <c r="PWV34" s="37"/>
      <c r="PWW34" s="37"/>
      <c r="PWX34" s="37"/>
      <c r="PWY34" s="37"/>
      <c r="PWZ34" s="37"/>
      <c r="PXA34" s="37"/>
      <c r="PXB34" s="37"/>
      <c r="PXC34" s="37"/>
      <c r="PXD34" s="37"/>
      <c r="PXE34" s="37"/>
      <c r="PXF34" s="37"/>
      <c r="PXG34" s="37"/>
      <c r="PXH34" s="37"/>
      <c r="PXI34" s="37"/>
      <c r="PXJ34" s="37"/>
      <c r="PXK34" s="37"/>
      <c r="PXL34" s="37"/>
      <c r="PXM34" s="37"/>
      <c r="PXN34" s="37"/>
      <c r="PXO34" s="37"/>
      <c r="PXP34" s="37"/>
      <c r="PXQ34" s="37"/>
      <c r="PXR34" s="37"/>
      <c r="PXS34" s="37"/>
      <c r="PXT34" s="37"/>
      <c r="PXU34" s="37"/>
      <c r="PXV34" s="37"/>
      <c r="PXW34" s="37"/>
      <c r="PXX34" s="37"/>
      <c r="PXY34" s="37"/>
      <c r="PXZ34" s="37"/>
      <c r="PYA34" s="37"/>
      <c r="PYB34" s="37"/>
      <c r="PYC34" s="37"/>
      <c r="PYD34" s="37"/>
      <c r="PYE34" s="37"/>
      <c r="PYF34" s="37"/>
      <c r="PYG34" s="37"/>
      <c r="PYH34" s="37"/>
      <c r="PYI34" s="37"/>
      <c r="PYJ34" s="37"/>
      <c r="PYK34" s="37"/>
      <c r="PYL34" s="37"/>
      <c r="PYM34" s="37"/>
      <c r="PYN34" s="37"/>
      <c r="PYO34" s="37"/>
      <c r="PYP34" s="37"/>
      <c r="PYQ34" s="37"/>
      <c r="PYR34" s="37"/>
      <c r="PYS34" s="37"/>
      <c r="PYT34" s="37"/>
      <c r="PYU34" s="37"/>
      <c r="PYV34" s="37"/>
      <c r="PYW34" s="37"/>
      <c r="PYX34" s="37"/>
      <c r="PYY34" s="37"/>
      <c r="PYZ34" s="37"/>
      <c r="PZA34" s="37"/>
      <c r="PZB34" s="37"/>
      <c r="PZC34" s="37"/>
      <c r="PZD34" s="37"/>
      <c r="PZE34" s="37"/>
      <c r="PZF34" s="37"/>
      <c r="PZG34" s="37"/>
      <c r="PZH34" s="37"/>
      <c r="PZI34" s="37"/>
      <c r="PZJ34" s="37"/>
      <c r="PZK34" s="37"/>
      <c r="PZL34" s="37"/>
      <c r="PZM34" s="37"/>
      <c r="PZN34" s="37"/>
      <c r="PZO34" s="37"/>
      <c r="PZP34" s="37"/>
      <c r="PZQ34" s="37"/>
      <c r="PZR34" s="37"/>
      <c r="PZS34" s="37"/>
      <c r="PZT34" s="37"/>
      <c r="PZU34" s="37"/>
      <c r="PZV34" s="37"/>
      <c r="PZW34" s="37"/>
      <c r="PZX34" s="37"/>
      <c r="PZY34" s="37"/>
      <c r="PZZ34" s="37"/>
      <c r="QAA34" s="37"/>
      <c r="QAB34" s="37"/>
      <c r="QAC34" s="37"/>
      <c r="QAD34" s="37"/>
      <c r="QAE34" s="37"/>
      <c r="QAF34" s="37"/>
      <c r="QAG34" s="37"/>
      <c r="QAH34" s="37"/>
      <c r="QAI34" s="37"/>
      <c r="QAJ34" s="37"/>
      <c r="QAK34" s="37"/>
      <c r="QAL34" s="37"/>
      <c r="QAM34" s="37"/>
      <c r="QAN34" s="37"/>
      <c r="QAO34" s="37"/>
      <c r="QAP34" s="37"/>
      <c r="QAQ34" s="37"/>
      <c r="QAR34" s="37"/>
      <c r="QAS34" s="37"/>
      <c r="QAT34" s="37"/>
      <c r="QAU34" s="37"/>
      <c r="QAV34" s="37"/>
      <c r="QAW34" s="37"/>
      <c r="QAX34" s="37"/>
      <c r="QAY34" s="37"/>
      <c r="QAZ34" s="37"/>
      <c r="QBA34" s="37"/>
      <c r="QBB34" s="37"/>
      <c r="QBC34" s="37"/>
      <c r="QBD34" s="37"/>
      <c r="QBE34" s="37"/>
      <c r="QBF34" s="37"/>
      <c r="QBG34" s="37"/>
      <c r="QBH34" s="37"/>
      <c r="QBI34" s="37"/>
      <c r="QBJ34" s="37"/>
      <c r="QBK34" s="37"/>
      <c r="QBL34" s="37"/>
      <c r="QBM34" s="37"/>
      <c r="QBN34" s="37"/>
      <c r="QBO34" s="37"/>
      <c r="QBP34" s="37"/>
      <c r="QBQ34" s="37"/>
      <c r="QBR34" s="37"/>
      <c r="QBS34" s="37"/>
      <c r="QBT34" s="37"/>
      <c r="QBU34" s="37"/>
      <c r="QBV34" s="37"/>
      <c r="QBW34" s="37"/>
      <c r="QBX34" s="37"/>
      <c r="QBY34" s="37"/>
      <c r="QBZ34" s="37"/>
      <c r="QCA34" s="37"/>
      <c r="QCB34" s="37"/>
      <c r="QCC34" s="37"/>
      <c r="QCD34" s="37"/>
      <c r="QCE34" s="37"/>
      <c r="QCF34" s="37"/>
      <c r="QCG34" s="37"/>
      <c r="QCH34" s="37"/>
      <c r="QCI34" s="37"/>
      <c r="QCJ34" s="37"/>
      <c r="QCK34" s="37"/>
      <c r="QCL34" s="37"/>
      <c r="QCM34" s="37"/>
      <c r="QCN34" s="37"/>
      <c r="QCO34" s="37"/>
      <c r="QCP34" s="37"/>
      <c r="QCQ34" s="37"/>
      <c r="QCR34" s="37"/>
      <c r="QCS34" s="37"/>
      <c r="QCT34" s="37"/>
      <c r="QCU34" s="37"/>
      <c r="QCV34" s="37"/>
      <c r="QCW34" s="37"/>
      <c r="QCX34" s="37"/>
      <c r="QCY34" s="37"/>
      <c r="QCZ34" s="37"/>
      <c r="QDA34" s="37"/>
      <c r="QDB34" s="37"/>
      <c r="QDC34" s="37"/>
      <c r="QDD34" s="37"/>
      <c r="QDE34" s="37"/>
      <c r="QDF34" s="37"/>
      <c r="QDG34" s="37"/>
      <c r="QDH34" s="37"/>
      <c r="QDI34" s="37"/>
      <c r="QDJ34" s="37"/>
      <c r="QDK34" s="37"/>
      <c r="QDL34" s="37"/>
      <c r="QDM34" s="37"/>
      <c r="QDN34" s="37"/>
      <c r="QDO34" s="37"/>
      <c r="QDP34" s="37"/>
      <c r="QDQ34" s="37"/>
      <c r="QDR34" s="37"/>
      <c r="QDS34" s="37"/>
      <c r="QDT34" s="37"/>
      <c r="QDU34" s="37"/>
      <c r="QDV34" s="37"/>
      <c r="QDW34" s="37"/>
      <c r="QDX34" s="37"/>
      <c r="QDY34" s="37"/>
      <c r="QDZ34" s="37"/>
      <c r="QEA34" s="37"/>
      <c r="QEB34" s="37"/>
      <c r="QEC34" s="37"/>
      <c r="QED34" s="37"/>
      <c r="QEE34" s="37"/>
      <c r="QEF34" s="37"/>
      <c r="QEG34" s="37"/>
      <c r="QEH34" s="37"/>
      <c r="QEI34" s="37"/>
      <c r="QEJ34" s="37"/>
      <c r="QEK34" s="37"/>
      <c r="QEL34" s="37"/>
      <c r="QEM34" s="37"/>
      <c r="QEN34" s="37"/>
      <c r="QEO34" s="37"/>
      <c r="QEP34" s="37"/>
      <c r="QEQ34" s="37"/>
      <c r="QER34" s="37"/>
      <c r="QES34" s="37"/>
      <c r="QET34" s="37"/>
      <c r="QEU34" s="37"/>
      <c r="QEV34" s="37"/>
      <c r="QEW34" s="37"/>
      <c r="QEX34" s="37"/>
      <c r="QEY34" s="37"/>
      <c r="QEZ34" s="37"/>
      <c r="QFA34" s="37"/>
      <c r="QFB34" s="37"/>
      <c r="QFC34" s="37"/>
      <c r="QFD34" s="37"/>
      <c r="QFE34" s="37"/>
      <c r="QFF34" s="37"/>
      <c r="QFG34" s="37"/>
      <c r="QFH34" s="37"/>
      <c r="QFI34" s="37"/>
      <c r="QFJ34" s="37"/>
      <c r="QFK34" s="37"/>
      <c r="QFL34" s="37"/>
      <c r="QFM34" s="37"/>
      <c r="QFN34" s="37"/>
      <c r="QFO34" s="37"/>
      <c r="QFP34" s="37"/>
      <c r="QFQ34" s="37"/>
      <c r="QFR34" s="37"/>
      <c r="QFS34" s="37"/>
      <c r="QFT34" s="37"/>
      <c r="QFU34" s="37"/>
      <c r="QFV34" s="37"/>
      <c r="QFW34" s="37"/>
      <c r="QFX34" s="37"/>
      <c r="QFY34" s="37"/>
      <c r="QFZ34" s="37"/>
      <c r="QGA34" s="37"/>
      <c r="QGB34" s="37"/>
      <c r="QGC34" s="37"/>
      <c r="QGD34" s="37"/>
      <c r="QGE34" s="37"/>
      <c r="QGF34" s="37"/>
      <c r="QGG34" s="37"/>
      <c r="QGH34" s="37"/>
      <c r="QGI34" s="37"/>
      <c r="QGJ34" s="37"/>
      <c r="QGK34" s="37"/>
      <c r="QGL34" s="37"/>
      <c r="QGM34" s="37"/>
      <c r="QGN34" s="37"/>
      <c r="QGO34" s="37"/>
      <c r="QGP34" s="37"/>
      <c r="QGQ34" s="37"/>
      <c r="QGR34" s="37"/>
      <c r="QGS34" s="37"/>
      <c r="QGT34" s="37"/>
      <c r="QGU34" s="37"/>
      <c r="QGV34" s="37"/>
      <c r="QGW34" s="37"/>
      <c r="QGX34" s="37"/>
      <c r="QGY34" s="37"/>
      <c r="QGZ34" s="37"/>
      <c r="QHA34" s="37"/>
      <c r="QHB34" s="37"/>
      <c r="QHC34" s="37"/>
      <c r="QHD34" s="37"/>
      <c r="QHE34" s="37"/>
      <c r="QHF34" s="37"/>
      <c r="QHG34" s="37"/>
      <c r="QHH34" s="37"/>
      <c r="QHI34" s="37"/>
      <c r="QHJ34" s="37"/>
      <c r="QHK34" s="37"/>
      <c r="QHL34" s="37"/>
      <c r="QHM34" s="37"/>
      <c r="QHN34" s="37"/>
      <c r="QHO34" s="37"/>
      <c r="QHP34" s="37"/>
      <c r="QHQ34" s="37"/>
      <c r="QHR34" s="37"/>
      <c r="QHS34" s="37"/>
      <c r="QHT34" s="37"/>
      <c r="QHU34" s="37"/>
      <c r="QHV34" s="37"/>
      <c r="QHW34" s="37"/>
      <c r="QHX34" s="37"/>
      <c r="QHY34" s="37"/>
      <c r="QHZ34" s="37"/>
      <c r="QIA34" s="37"/>
      <c r="QIB34" s="37"/>
      <c r="QIC34" s="37"/>
      <c r="QID34" s="37"/>
      <c r="QIE34" s="37"/>
      <c r="QIF34" s="37"/>
      <c r="QIG34" s="37"/>
      <c r="QIH34" s="37"/>
      <c r="QII34" s="37"/>
      <c r="QIJ34" s="37"/>
      <c r="QIK34" s="37"/>
      <c r="QIL34" s="37"/>
      <c r="QIM34" s="37"/>
      <c r="QIN34" s="37"/>
      <c r="QIO34" s="37"/>
      <c r="QIP34" s="37"/>
      <c r="QIQ34" s="37"/>
      <c r="QIR34" s="37"/>
      <c r="QIS34" s="37"/>
      <c r="QIT34" s="37"/>
      <c r="QIU34" s="37"/>
      <c r="QIV34" s="37"/>
      <c r="QIW34" s="37"/>
      <c r="QIX34" s="37"/>
      <c r="QIY34" s="37"/>
      <c r="QIZ34" s="37"/>
      <c r="QJA34" s="37"/>
      <c r="QJB34" s="37"/>
      <c r="QJC34" s="37"/>
      <c r="QJD34" s="37"/>
      <c r="QJE34" s="37"/>
      <c r="QJF34" s="37"/>
      <c r="QJG34" s="37"/>
      <c r="QJH34" s="37"/>
      <c r="QJI34" s="37"/>
      <c r="QJJ34" s="37"/>
      <c r="QJK34" s="37"/>
      <c r="QJL34" s="37"/>
      <c r="QJM34" s="37"/>
      <c r="QJN34" s="37"/>
      <c r="QJO34" s="37"/>
      <c r="QJP34" s="37"/>
      <c r="QJQ34" s="37"/>
      <c r="QJR34" s="37"/>
      <c r="QJS34" s="37"/>
      <c r="QJT34" s="37"/>
      <c r="QJU34" s="37"/>
      <c r="QJV34" s="37"/>
      <c r="QJW34" s="37"/>
      <c r="QJX34" s="37"/>
      <c r="QJY34" s="37"/>
      <c r="QJZ34" s="37"/>
      <c r="QKA34" s="37"/>
      <c r="QKB34" s="37"/>
      <c r="QKC34" s="37"/>
      <c r="QKD34" s="37"/>
      <c r="QKE34" s="37"/>
      <c r="QKF34" s="37"/>
      <c r="QKG34" s="37"/>
      <c r="QKH34" s="37"/>
      <c r="QKI34" s="37"/>
      <c r="QKJ34" s="37"/>
      <c r="QKK34" s="37"/>
      <c r="QKL34" s="37"/>
      <c r="QKM34" s="37"/>
      <c r="QKN34" s="37"/>
      <c r="QKO34" s="37"/>
      <c r="QKP34" s="37"/>
      <c r="QKQ34" s="37"/>
      <c r="QKR34" s="37"/>
      <c r="QKS34" s="37"/>
      <c r="QKT34" s="37"/>
      <c r="QKU34" s="37"/>
      <c r="QKV34" s="37"/>
      <c r="QKW34" s="37"/>
      <c r="QKX34" s="37"/>
      <c r="QKY34" s="37"/>
      <c r="QKZ34" s="37"/>
      <c r="QLA34" s="37"/>
      <c r="QLB34" s="37"/>
      <c r="QLC34" s="37"/>
      <c r="QLD34" s="37"/>
      <c r="QLE34" s="37"/>
      <c r="QLF34" s="37"/>
      <c r="QLG34" s="37"/>
      <c r="QLH34" s="37"/>
      <c r="QLI34" s="37"/>
      <c r="QLJ34" s="37"/>
      <c r="QLK34" s="37"/>
      <c r="QLL34" s="37"/>
      <c r="QLM34" s="37"/>
      <c r="QLN34" s="37"/>
      <c r="QLO34" s="37"/>
      <c r="QLP34" s="37"/>
      <c r="QLQ34" s="37"/>
      <c r="QLR34" s="37"/>
      <c r="QLS34" s="37"/>
      <c r="QLT34" s="37"/>
      <c r="QLU34" s="37"/>
      <c r="QLV34" s="37"/>
      <c r="QLW34" s="37"/>
      <c r="QLX34" s="37"/>
      <c r="QLY34" s="37"/>
      <c r="QLZ34" s="37"/>
      <c r="QMA34" s="37"/>
      <c r="QMB34" s="37"/>
      <c r="QMC34" s="37"/>
      <c r="QMD34" s="37"/>
      <c r="QME34" s="37"/>
      <c r="QMF34" s="37"/>
      <c r="QMG34" s="37"/>
      <c r="QMH34" s="37"/>
      <c r="QMI34" s="37"/>
      <c r="QMJ34" s="37"/>
      <c r="QMK34" s="37"/>
      <c r="QML34" s="37"/>
      <c r="QMM34" s="37"/>
      <c r="QMN34" s="37"/>
      <c r="QMO34" s="37"/>
      <c r="QMP34" s="37"/>
      <c r="QMQ34" s="37"/>
      <c r="QMR34" s="37"/>
      <c r="QMS34" s="37"/>
      <c r="QMT34" s="37"/>
      <c r="QMU34" s="37"/>
      <c r="QMV34" s="37"/>
      <c r="QMW34" s="37"/>
      <c r="QMX34" s="37"/>
      <c r="QMY34" s="37"/>
      <c r="QMZ34" s="37"/>
      <c r="QNA34" s="37"/>
      <c r="QNB34" s="37"/>
      <c r="QNC34" s="37"/>
      <c r="QND34" s="37"/>
      <c r="QNE34" s="37"/>
      <c r="QNF34" s="37"/>
      <c r="QNG34" s="37"/>
      <c r="QNH34" s="37"/>
      <c r="QNI34" s="37"/>
      <c r="QNJ34" s="37"/>
      <c r="QNK34" s="37"/>
      <c r="QNL34" s="37"/>
      <c r="QNM34" s="37"/>
      <c r="QNN34" s="37"/>
      <c r="QNO34" s="37"/>
      <c r="QNP34" s="37"/>
      <c r="QNQ34" s="37"/>
      <c r="QNR34" s="37"/>
      <c r="QNS34" s="37"/>
      <c r="QNT34" s="37"/>
      <c r="QNU34" s="37"/>
      <c r="QNV34" s="37"/>
      <c r="QNW34" s="37"/>
      <c r="QNX34" s="37"/>
      <c r="QNY34" s="37"/>
      <c r="QNZ34" s="37"/>
      <c r="QOA34" s="37"/>
      <c r="QOB34" s="37"/>
      <c r="QOC34" s="37"/>
      <c r="QOD34" s="37"/>
      <c r="QOE34" s="37"/>
      <c r="QOF34" s="37"/>
      <c r="QOG34" s="37"/>
      <c r="QOH34" s="37"/>
      <c r="QOI34" s="37"/>
      <c r="QOJ34" s="37"/>
      <c r="QOK34" s="37"/>
      <c r="QOL34" s="37"/>
      <c r="QOM34" s="37"/>
      <c r="QON34" s="37"/>
      <c r="QOO34" s="37"/>
      <c r="QOP34" s="37"/>
      <c r="QOQ34" s="37"/>
      <c r="QOR34" s="37"/>
      <c r="QOS34" s="37"/>
      <c r="QOT34" s="37"/>
      <c r="QOU34" s="37"/>
      <c r="QOV34" s="37"/>
      <c r="QOW34" s="37"/>
      <c r="QOX34" s="37"/>
      <c r="QOY34" s="37"/>
      <c r="QOZ34" s="37"/>
      <c r="QPA34" s="37"/>
      <c r="QPB34" s="37"/>
      <c r="QPC34" s="37"/>
      <c r="QPD34" s="37"/>
      <c r="QPE34" s="37"/>
      <c r="QPF34" s="37"/>
      <c r="QPG34" s="37"/>
      <c r="QPH34" s="37"/>
      <c r="QPI34" s="37"/>
      <c r="QPJ34" s="37"/>
      <c r="QPK34" s="37"/>
      <c r="QPL34" s="37"/>
      <c r="QPM34" s="37"/>
      <c r="QPN34" s="37"/>
      <c r="QPO34" s="37"/>
      <c r="QPP34" s="37"/>
      <c r="QPQ34" s="37"/>
      <c r="QPR34" s="37"/>
      <c r="QPS34" s="37"/>
      <c r="QPT34" s="37"/>
      <c r="QPU34" s="37"/>
      <c r="QPV34" s="37"/>
      <c r="QPW34" s="37"/>
      <c r="QPX34" s="37"/>
      <c r="QPY34" s="37"/>
      <c r="QPZ34" s="37"/>
      <c r="QQA34" s="37"/>
      <c r="QQB34" s="37"/>
      <c r="QQC34" s="37"/>
      <c r="QQD34" s="37"/>
      <c r="QQE34" s="37"/>
      <c r="QQF34" s="37"/>
      <c r="QQG34" s="37"/>
      <c r="QQH34" s="37"/>
      <c r="QQI34" s="37"/>
      <c r="QQJ34" s="37"/>
      <c r="QQK34" s="37"/>
      <c r="QQL34" s="37"/>
      <c r="QQM34" s="37"/>
      <c r="QQN34" s="37"/>
      <c r="QQO34" s="37"/>
      <c r="QQP34" s="37"/>
      <c r="QQQ34" s="37"/>
      <c r="QQR34" s="37"/>
      <c r="QQS34" s="37"/>
      <c r="QQT34" s="37"/>
      <c r="QQU34" s="37"/>
      <c r="QQV34" s="37"/>
      <c r="QQW34" s="37"/>
      <c r="QQX34" s="37"/>
      <c r="QQY34" s="37"/>
      <c r="QQZ34" s="37"/>
      <c r="QRA34" s="37"/>
      <c r="QRB34" s="37"/>
      <c r="QRC34" s="37"/>
      <c r="QRD34" s="37"/>
      <c r="QRE34" s="37"/>
      <c r="QRF34" s="37"/>
      <c r="QRG34" s="37"/>
      <c r="QRH34" s="37"/>
      <c r="QRI34" s="37"/>
      <c r="QRJ34" s="37"/>
      <c r="QRK34" s="37"/>
      <c r="QRL34" s="37"/>
      <c r="QRM34" s="37"/>
      <c r="QRN34" s="37"/>
      <c r="QRO34" s="37"/>
      <c r="QRP34" s="37"/>
      <c r="QRQ34" s="37"/>
      <c r="QRR34" s="37"/>
      <c r="QRS34" s="37"/>
      <c r="QRT34" s="37"/>
      <c r="QRU34" s="37"/>
      <c r="QRV34" s="37"/>
      <c r="QRW34" s="37"/>
      <c r="QRX34" s="37"/>
      <c r="QRY34" s="37"/>
      <c r="QRZ34" s="37"/>
      <c r="QSA34" s="37"/>
      <c r="QSB34" s="37"/>
      <c r="QSC34" s="37"/>
      <c r="QSD34" s="37"/>
      <c r="QSE34" s="37"/>
      <c r="QSF34" s="37"/>
      <c r="QSG34" s="37"/>
      <c r="QSH34" s="37"/>
      <c r="QSI34" s="37"/>
      <c r="QSJ34" s="37"/>
      <c r="QSK34" s="37"/>
      <c r="QSL34" s="37"/>
      <c r="QSM34" s="37"/>
      <c r="QSN34" s="37"/>
      <c r="QSO34" s="37"/>
      <c r="QSP34" s="37"/>
      <c r="QSQ34" s="37"/>
      <c r="QSR34" s="37"/>
      <c r="QSS34" s="37"/>
      <c r="QST34" s="37"/>
      <c r="QSU34" s="37"/>
      <c r="QSV34" s="37"/>
      <c r="QSW34" s="37"/>
      <c r="QSX34" s="37"/>
      <c r="QSY34" s="37"/>
      <c r="QSZ34" s="37"/>
      <c r="QTA34" s="37"/>
      <c r="QTB34" s="37"/>
      <c r="QTC34" s="37"/>
      <c r="QTD34" s="37"/>
      <c r="QTE34" s="37"/>
      <c r="QTF34" s="37"/>
      <c r="QTG34" s="37"/>
      <c r="QTH34" s="37"/>
      <c r="QTI34" s="37"/>
      <c r="QTJ34" s="37"/>
      <c r="QTK34" s="37"/>
      <c r="QTL34" s="37"/>
      <c r="QTM34" s="37"/>
      <c r="QTN34" s="37"/>
      <c r="QTO34" s="37"/>
      <c r="QTP34" s="37"/>
      <c r="QTQ34" s="37"/>
      <c r="QTR34" s="37"/>
      <c r="QTS34" s="37"/>
      <c r="QTT34" s="37"/>
      <c r="QTU34" s="37"/>
      <c r="QTV34" s="37"/>
      <c r="QTW34" s="37"/>
      <c r="QTX34" s="37"/>
      <c r="QTY34" s="37"/>
      <c r="QTZ34" s="37"/>
      <c r="QUA34" s="37"/>
      <c r="QUB34" s="37"/>
      <c r="QUC34" s="37"/>
      <c r="QUD34" s="37"/>
      <c r="QUE34" s="37"/>
      <c r="QUF34" s="37"/>
      <c r="QUG34" s="37"/>
      <c r="QUH34" s="37"/>
      <c r="QUI34" s="37"/>
      <c r="QUJ34" s="37"/>
      <c r="QUK34" s="37"/>
      <c r="QUL34" s="37"/>
      <c r="QUM34" s="37"/>
      <c r="QUN34" s="37"/>
      <c r="QUO34" s="37"/>
      <c r="QUP34" s="37"/>
      <c r="QUQ34" s="37"/>
      <c r="QUR34" s="37"/>
      <c r="QUS34" s="37"/>
      <c r="QUT34" s="37"/>
      <c r="QUU34" s="37"/>
      <c r="QUV34" s="37"/>
      <c r="QUW34" s="37"/>
      <c r="QUX34" s="37"/>
      <c r="QUY34" s="37"/>
      <c r="QUZ34" s="37"/>
      <c r="QVA34" s="37"/>
      <c r="QVB34" s="37"/>
      <c r="QVC34" s="37"/>
      <c r="QVD34" s="37"/>
      <c r="QVE34" s="37"/>
      <c r="QVF34" s="37"/>
      <c r="QVG34" s="37"/>
      <c r="QVH34" s="37"/>
      <c r="QVI34" s="37"/>
      <c r="QVJ34" s="37"/>
      <c r="QVK34" s="37"/>
      <c r="QVL34" s="37"/>
      <c r="QVM34" s="37"/>
      <c r="QVN34" s="37"/>
      <c r="QVO34" s="37"/>
      <c r="QVP34" s="37"/>
      <c r="QVQ34" s="37"/>
      <c r="QVR34" s="37"/>
      <c r="QVS34" s="37"/>
      <c r="QVT34" s="37"/>
      <c r="QVU34" s="37"/>
      <c r="QVV34" s="37"/>
      <c r="QVW34" s="37"/>
      <c r="QVX34" s="37"/>
      <c r="QVY34" s="37"/>
      <c r="QVZ34" s="37"/>
      <c r="QWA34" s="37"/>
      <c r="QWB34" s="37"/>
      <c r="QWC34" s="37"/>
      <c r="QWD34" s="37"/>
      <c r="QWE34" s="37"/>
      <c r="QWF34" s="37"/>
      <c r="QWG34" s="37"/>
      <c r="QWH34" s="37"/>
      <c r="QWI34" s="37"/>
      <c r="QWJ34" s="37"/>
      <c r="QWK34" s="37"/>
      <c r="QWL34" s="37"/>
      <c r="QWM34" s="37"/>
      <c r="QWN34" s="37"/>
      <c r="QWO34" s="37"/>
      <c r="QWP34" s="37"/>
      <c r="QWQ34" s="37"/>
      <c r="QWR34" s="37"/>
      <c r="QWS34" s="37"/>
      <c r="QWT34" s="37"/>
      <c r="QWU34" s="37"/>
      <c r="QWV34" s="37"/>
      <c r="QWW34" s="37"/>
      <c r="QWX34" s="37"/>
      <c r="QWY34" s="37"/>
      <c r="QWZ34" s="37"/>
      <c r="QXA34" s="37"/>
      <c r="QXB34" s="37"/>
      <c r="QXC34" s="37"/>
      <c r="QXD34" s="37"/>
      <c r="QXE34" s="37"/>
      <c r="QXF34" s="37"/>
      <c r="QXG34" s="37"/>
      <c r="QXH34" s="37"/>
      <c r="QXI34" s="37"/>
      <c r="QXJ34" s="37"/>
      <c r="QXK34" s="37"/>
      <c r="QXL34" s="37"/>
      <c r="QXM34" s="37"/>
      <c r="QXN34" s="37"/>
      <c r="QXO34" s="37"/>
      <c r="QXP34" s="37"/>
      <c r="QXQ34" s="37"/>
      <c r="QXR34" s="37"/>
      <c r="QXS34" s="37"/>
      <c r="QXT34" s="37"/>
      <c r="QXU34" s="37"/>
      <c r="QXV34" s="37"/>
      <c r="QXW34" s="37"/>
      <c r="QXX34" s="37"/>
      <c r="QXY34" s="37"/>
      <c r="QXZ34" s="37"/>
      <c r="QYA34" s="37"/>
      <c r="QYB34" s="37"/>
      <c r="QYC34" s="37"/>
      <c r="QYD34" s="37"/>
      <c r="QYE34" s="37"/>
      <c r="QYF34" s="37"/>
      <c r="QYG34" s="37"/>
      <c r="QYH34" s="37"/>
      <c r="QYI34" s="37"/>
      <c r="QYJ34" s="37"/>
      <c r="QYK34" s="37"/>
      <c r="QYL34" s="37"/>
      <c r="QYM34" s="37"/>
      <c r="QYN34" s="37"/>
      <c r="QYO34" s="37"/>
      <c r="QYP34" s="37"/>
      <c r="QYQ34" s="37"/>
      <c r="QYR34" s="37"/>
      <c r="QYS34" s="37"/>
      <c r="QYT34" s="37"/>
      <c r="QYU34" s="37"/>
      <c r="QYV34" s="37"/>
      <c r="QYW34" s="37"/>
      <c r="QYX34" s="37"/>
      <c r="QYY34" s="37"/>
      <c r="QYZ34" s="37"/>
      <c r="QZA34" s="37"/>
      <c r="QZB34" s="37"/>
      <c r="QZC34" s="37"/>
      <c r="QZD34" s="37"/>
      <c r="QZE34" s="37"/>
      <c r="QZF34" s="37"/>
      <c r="QZG34" s="37"/>
      <c r="QZH34" s="37"/>
      <c r="QZI34" s="37"/>
      <c r="QZJ34" s="37"/>
      <c r="QZK34" s="37"/>
      <c r="QZL34" s="37"/>
      <c r="QZM34" s="37"/>
      <c r="QZN34" s="37"/>
      <c r="QZO34" s="37"/>
      <c r="QZP34" s="37"/>
      <c r="QZQ34" s="37"/>
      <c r="QZR34" s="37"/>
      <c r="QZS34" s="37"/>
      <c r="QZT34" s="37"/>
      <c r="QZU34" s="37"/>
      <c r="QZV34" s="37"/>
      <c r="QZW34" s="37"/>
      <c r="QZX34" s="37"/>
      <c r="QZY34" s="37"/>
      <c r="QZZ34" s="37"/>
      <c r="RAA34" s="37"/>
      <c r="RAB34" s="37"/>
      <c r="RAC34" s="37"/>
      <c r="RAD34" s="37"/>
      <c r="RAE34" s="37"/>
      <c r="RAF34" s="37"/>
      <c r="RAG34" s="37"/>
      <c r="RAH34" s="37"/>
      <c r="RAI34" s="37"/>
      <c r="RAJ34" s="37"/>
      <c r="RAK34" s="37"/>
      <c r="RAL34" s="37"/>
      <c r="RAM34" s="37"/>
      <c r="RAN34" s="37"/>
      <c r="RAO34" s="37"/>
      <c r="RAP34" s="37"/>
      <c r="RAQ34" s="37"/>
      <c r="RAR34" s="37"/>
      <c r="RAS34" s="37"/>
      <c r="RAT34" s="37"/>
      <c r="RAU34" s="37"/>
      <c r="RAV34" s="37"/>
      <c r="RAW34" s="37"/>
      <c r="RAX34" s="37"/>
      <c r="RAY34" s="37"/>
      <c r="RAZ34" s="37"/>
      <c r="RBA34" s="37"/>
      <c r="RBB34" s="37"/>
      <c r="RBC34" s="37"/>
      <c r="RBD34" s="37"/>
      <c r="RBE34" s="37"/>
      <c r="RBF34" s="37"/>
      <c r="RBG34" s="37"/>
      <c r="RBH34" s="37"/>
      <c r="RBI34" s="37"/>
      <c r="RBJ34" s="37"/>
      <c r="RBK34" s="37"/>
      <c r="RBL34" s="37"/>
      <c r="RBM34" s="37"/>
      <c r="RBN34" s="37"/>
      <c r="RBO34" s="37"/>
      <c r="RBP34" s="37"/>
      <c r="RBQ34" s="37"/>
      <c r="RBR34" s="37"/>
      <c r="RBS34" s="37"/>
      <c r="RBT34" s="37"/>
      <c r="RBU34" s="37"/>
      <c r="RBV34" s="37"/>
      <c r="RBW34" s="37"/>
      <c r="RBX34" s="37"/>
      <c r="RBY34" s="37"/>
      <c r="RBZ34" s="37"/>
      <c r="RCA34" s="37"/>
      <c r="RCB34" s="37"/>
      <c r="RCC34" s="37"/>
      <c r="RCD34" s="37"/>
      <c r="RCE34" s="37"/>
      <c r="RCF34" s="37"/>
      <c r="RCG34" s="37"/>
      <c r="RCH34" s="37"/>
      <c r="RCI34" s="37"/>
      <c r="RCJ34" s="37"/>
      <c r="RCK34" s="37"/>
      <c r="RCL34" s="37"/>
      <c r="RCM34" s="37"/>
      <c r="RCN34" s="37"/>
      <c r="RCO34" s="37"/>
      <c r="RCP34" s="37"/>
      <c r="RCQ34" s="37"/>
      <c r="RCR34" s="37"/>
      <c r="RCS34" s="37"/>
      <c r="RCT34" s="37"/>
      <c r="RCU34" s="37"/>
      <c r="RCV34" s="37"/>
      <c r="RCW34" s="37"/>
      <c r="RCX34" s="37"/>
      <c r="RCY34" s="37"/>
      <c r="RCZ34" s="37"/>
      <c r="RDA34" s="37"/>
      <c r="RDB34" s="37"/>
      <c r="RDC34" s="37"/>
      <c r="RDD34" s="37"/>
      <c r="RDE34" s="37"/>
      <c r="RDF34" s="37"/>
      <c r="RDG34" s="37"/>
      <c r="RDH34" s="37"/>
      <c r="RDI34" s="37"/>
      <c r="RDJ34" s="37"/>
      <c r="RDK34" s="37"/>
      <c r="RDL34" s="37"/>
      <c r="RDM34" s="37"/>
      <c r="RDN34" s="37"/>
      <c r="RDO34" s="37"/>
      <c r="RDP34" s="37"/>
      <c r="RDQ34" s="37"/>
      <c r="RDR34" s="37"/>
      <c r="RDS34" s="37"/>
      <c r="RDT34" s="37"/>
      <c r="RDU34" s="37"/>
      <c r="RDV34" s="37"/>
      <c r="RDW34" s="37"/>
      <c r="RDX34" s="37"/>
      <c r="RDY34" s="37"/>
      <c r="RDZ34" s="37"/>
      <c r="REA34" s="37"/>
      <c r="REB34" s="37"/>
      <c r="REC34" s="37"/>
      <c r="RED34" s="37"/>
      <c r="REE34" s="37"/>
      <c r="REF34" s="37"/>
      <c r="REG34" s="37"/>
      <c r="REH34" s="37"/>
      <c r="REI34" s="37"/>
      <c r="REJ34" s="37"/>
      <c r="REK34" s="37"/>
      <c r="REL34" s="37"/>
      <c r="REM34" s="37"/>
      <c r="REN34" s="37"/>
      <c r="REO34" s="37"/>
      <c r="REP34" s="37"/>
      <c r="REQ34" s="37"/>
      <c r="RER34" s="37"/>
      <c r="RES34" s="37"/>
      <c r="RET34" s="37"/>
      <c r="REU34" s="37"/>
      <c r="REV34" s="37"/>
      <c r="REW34" s="37"/>
      <c r="REX34" s="37"/>
      <c r="REY34" s="37"/>
      <c r="REZ34" s="37"/>
      <c r="RFA34" s="37"/>
      <c r="RFB34" s="37"/>
      <c r="RFC34" s="37"/>
      <c r="RFD34" s="37"/>
      <c r="RFE34" s="37"/>
      <c r="RFF34" s="37"/>
      <c r="RFG34" s="37"/>
      <c r="RFH34" s="37"/>
      <c r="RFI34" s="37"/>
      <c r="RFJ34" s="37"/>
      <c r="RFK34" s="37"/>
      <c r="RFL34" s="37"/>
      <c r="RFM34" s="37"/>
      <c r="RFN34" s="37"/>
      <c r="RFO34" s="37"/>
      <c r="RFP34" s="37"/>
      <c r="RFQ34" s="37"/>
      <c r="RFR34" s="37"/>
      <c r="RFS34" s="37"/>
      <c r="RFT34" s="37"/>
      <c r="RFU34" s="37"/>
      <c r="RFV34" s="37"/>
      <c r="RFW34" s="37"/>
      <c r="RFX34" s="37"/>
      <c r="RFY34" s="37"/>
      <c r="RFZ34" s="37"/>
      <c r="RGA34" s="37"/>
      <c r="RGB34" s="37"/>
      <c r="RGC34" s="37"/>
      <c r="RGD34" s="37"/>
      <c r="RGE34" s="37"/>
      <c r="RGF34" s="37"/>
      <c r="RGG34" s="37"/>
      <c r="RGH34" s="37"/>
      <c r="RGI34" s="37"/>
      <c r="RGJ34" s="37"/>
      <c r="RGK34" s="37"/>
      <c r="RGL34" s="37"/>
      <c r="RGM34" s="37"/>
      <c r="RGN34" s="37"/>
      <c r="RGO34" s="37"/>
      <c r="RGP34" s="37"/>
      <c r="RGQ34" s="37"/>
      <c r="RGR34" s="37"/>
      <c r="RGS34" s="37"/>
      <c r="RGT34" s="37"/>
      <c r="RGU34" s="37"/>
      <c r="RGV34" s="37"/>
      <c r="RGW34" s="37"/>
      <c r="RGX34" s="37"/>
      <c r="RGY34" s="37"/>
      <c r="RGZ34" s="37"/>
      <c r="RHA34" s="37"/>
      <c r="RHB34" s="37"/>
      <c r="RHC34" s="37"/>
      <c r="RHD34" s="37"/>
      <c r="RHE34" s="37"/>
      <c r="RHF34" s="37"/>
      <c r="RHG34" s="37"/>
      <c r="RHH34" s="37"/>
      <c r="RHI34" s="37"/>
      <c r="RHJ34" s="37"/>
      <c r="RHK34" s="37"/>
      <c r="RHL34" s="37"/>
      <c r="RHM34" s="37"/>
      <c r="RHN34" s="37"/>
      <c r="RHO34" s="37"/>
      <c r="RHP34" s="37"/>
      <c r="RHQ34" s="37"/>
      <c r="RHR34" s="37"/>
      <c r="RHS34" s="37"/>
      <c r="RHT34" s="37"/>
      <c r="RHU34" s="37"/>
      <c r="RHV34" s="37"/>
      <c r="RHW34" s="37"/>
      <c r="RHX34" s="37"/>
      <c r="RHY34" s="37"/>
      <c r="RHZ34" s="37"/>
      <c r="RIA34" s="37"/>
      <c r="RIB34" s="37"/>
      <c r="RIC34" s="37"/>
      <c r="RID34" s="37"/>
      <c r="RIE34" s="37"/>
      <c r="RIF34" s="37"/>
      <c r="RIG34" s="37"/>
      <c r="RIH34" s="37"/>
      <c r="RII34" s="37"/>
      <c r="RIJ34" s="37"/>
      <c r="RIK34" s="37"/>
      <c r="RIL34" s="37"/>
      <c r="RIM34" s="37"/>
      <c r="RIN34" s="37"/>
      <c r="RIO34" s="37"/>
      <c r="RIP34" s="37"/>
      <c r="RIQ34" s="37"/>
      <c r="RIR34" s="37"/>
      <c r="RIS34" s="37"/>
      <c r="RIT34" s="37"/>
      <c r="RIU34" s="37"/>
      <c r="RIV34" s="37"/>
      <c r="RIW34" s="37"/>
      <c r="RIX34" s="37"/>
      <c r="RIY34" s="37"/>
      <c r="RIZ34" s="37"/>
      <c r="RJA34" s="37"/>
      <c r="RJB34" s="37"/>
      <c r="RJC34" s="37"/>
      <c r="RJD34" s="37"/>
      <c r="RJE34" s="37"/>
      <c r="RJF34" s="37"/>
      <c r="RJG34" s="37"/>
      <c r="RJH34" s="37"/>
      <c r="RJI34" s="37"/>
      <c r="RJJ34" s="37"/>
      <c r="RJK34" s="37"/>
      <c r="RJL34" s="37"/>
      <c r="RJM34" s="37"/>
      <c r="RJN34" s="37"/>
      <c r="RJO34" s="37"/>
      <c r="RJP34" s="37"/>
      <c r="RJQ34" s="37"/>
      <c r="RJR34" s="37"/>
      <c r="RJS34" s="37"/>
      <c r="RJT34" s="37"/>
      <c r="RJU34" s="37"/>
      <c r="RJV34" s="37"/>
      <c r="RJW34" s="37"/>
      <c r="RJX34" s="37"/>
      <c r="RJY34" s="37"/>
      <c r="RJZ34" s="37"/>
      <c r="RKA34" s="37"/>
      <c r="RKB34" s="37"/>
      <c r="RKC34" s="37"/>
      <c r="RKD34" s="37"/>
      <c r="RKE34" s="37"/>
      <c r="RKF34" s="37"/>
      <c r="RKG34" s="37"/>
      <c r="RKH34" s="37"/>
      <c r="RKI34" s="37"/>
      <c r="RKJ34" s="37"/>
      <c r="RKK34" s="37"/>
      <c r="RKL34" s="37"/>
      <c r="RKM34" s="37"/>
      <c r="RKN34" s="37"/>
      <c r="RKO34" s="37"/>
      <c r="RKP34" s="37"/>
      <c r="RKQ34" s="37"/>
      <c r="RKR34" s="37"/>
      <c r="RKS34" s="37"/>
      <c r="RKT34" s="37"/>
      <c r="RKU34" s="37"/>
      <c r="RKV34" s="37"/>
      <c r="RKW34" s="37"/>
      <c r="RKX34" s="37"/>
      <c r="RKY34" s="37"/>
      <c r="RKZ34" s="37"/>
      <c r="RLA34" s="37"/>
      <c r="RLB34" s="37"/>
      <c r="RLC34" s="37"/>
      <c r="RLD34" s="37"/>
      <c r="RLE34" s="37"/>
      <c r="RLF34" s="37"/>
      <c r="RLG34" s="37"/>
      <c r="RLH34" s="37"/>
      <c r="RLI34" s="37"/>
      <c r="RLJ34" s="37"/>
      <c r="RLK34" s="37"/>
      <c r="RLL34" s="37"/>
      <c r="RLM34" s="37"/>
      <c r="RLN34" s="37"/>
      <c r="RLO34" s="37"/>
      <c r="RLP34" s="37"/>
      <c r="RLQ34" s="37"/>
      <c r="RLR34" s="37"/>
      <c r="RLS34" s="37"/>
      <c r="RLT34" s="37"/>
      <c r="RLU34" s="37"/>
      <c r="RLV34" s="37"/>
      <c r="RLW34" s="37"/>
      <c r="RLX34" s="37"/>
      <c r="RLY34" s="37"/>
      <c r="RLZ34" s="37"/>
      <c r="RMA34" s="37"/>
      <c r="RMB34" s="37"/>
      <c r="RMC34" s="37"/>
      <c r="RMD34" s="37"/>
      <c r="RME34" s="37"/>
      <c r="RMF34" s="37"/>
      <c r="RMG34" s="37"/>
      <c r="RMH34" s="37"/>
      <c r="RMI34" s="37"/>
      <c r="RMJ34" s="37"/>
      <c r="RMK34" s="37"/>
      <c r="RML34" s="37"/>
      <c r="RMM34" s="37"/>
      <c r="RMN34" s="37"/>
      <c r="RMO34" s="37"/>
      <c r="RMP34" s="37"/>
      <c r="RMQ34" s="37"/>
      <c r="RMR34" s="37"/>
      <c r="RMS34" s="37"/>
      <c r="RMT34" s="37"/>
      <c r="RMU34" s="37"/>
      <c r="RMV34" s="37"/>
      <c r="RMW34" s="37"/>
      <c r="RMX34" s="37"/>
      <c r="RMY34" s="37"/>
      <c r="RMZ34" s="37"/>
      <c r="RNA34" s="37"/>
      <c r="RNB34" s="37"/>
      <c r="RNC34" s="37"/>
      <c r="RND34" s="37"/>
      <c r="RNE34" s="37"/>
      <c r="RNF34" s="37"/>
      <c r="RNG34" s="37"/>
      <c r="RNH34" s="37"/>
      <c r="RNI34" s="37"/>
      <c r="RNJ34" s="37"/>
      <c r="RNK34" s="37"/>
      <c r="RNL34" s="37"/>
      <c r="RNM34" s="37"/>
      <c r="RNN34" s="37"/>
      <c r="RNO34" s="37"/>
      <c r="RNP34" s="37"/>
      <c r="RNQ34" s="37"/>
      <c r="RNR34" s="37"/>
      <c r="RNS34" s="37"/>
      <c r="RNT34" s="37"/>
      <c r="RNU34" s="37"/>
      <c r="RNV34" s="37"/>
      <c r="RNW34" s="37"/>
      <c r="RNX34" s="37"/>
      <c r="RNY34" s="37"/>
      <c r="RNZ34" s="37"/>
      <c r="ROA34" s="37"/>
      <c r="ROB34" s="37"/>
      <c r="ROC34" s="37"/>
      <c r="ROD34" s="37"/>
      <c r="ROE34" s="37"/>
      <c r="ROF34" s="37"/>
      <c r="ROG34" s="37"/>
      <c r="ROH34" s="37"/>
      <c r="ROI34" s="37"/>
      <c r="ROJ34" s="37"/>
      <c r="ROK34" s="37"/>
      <c r="ROL34" s="37"/>
      <c r="ROM34" s="37"/>
      <c r="RON34" s="37"/>
      <c r="ROO34" s="37"/>
      <c r="ROP34" s="37"/>
      <c r="ROQ34" s="37"/>
      <c r="ROR34" s="37"/>
      <c r="ROS34" s="37"/>
      <c r="ROT34" s="37"/>
      <c r="ROU34" s="37"/>
      <c r="ROV34" s="37"/>
      <c r="ROW34" s="37"/>
      <c r="ROX34" s="37"/>
      <c r="ROY34" s="37"/>
      <c r="ROZ34" s="37"/>
      <c r="RPA34" s="37"/>
      <c r="RPB34" s="37"/>
      <c r="RPC34" s="37"/>
      <c r="RPD34" s="37"/>
      <c r="RPE34" s="37"/>
      <c r="RPF34" s="37"/>
      <c r="RPG34" s="37"/>
      <c r="RPH34" s="37"/>
      <c r="RPI34" s="37"/>
      <c r="RPJ34" s="37"/>
      <c r="RPK34" s="37"/>
      <c r="RPL34" s="37"/>
      <c r="RPM34" s="37"/>
      <c r="RPN34" s="37"/>
      <c r="RPO34" s="37"/>
      <c r="RPP34" s="37"/>
      <c r="RPQ34" s="37"/>
      <c r="RPR34" s="37"/>
      <c r="RPS34" s="37"/>
      <c r="RPT34" s="37"/>
      <c r="RPU34" s="37"/>
      <c r="RPV34" s="37"/>
      <c r="RPW34" s="37"/>
      <c r="RPX34" s="37"/>
      <c r="RPY34" s="37"/>
      <c r="RPZ34" s="37"/>
      <c r="RQA34" s="37"/>
      <c r="RQB34" s="37"/>
      <c r="RQC34" s="37"/>
      <c r="RQD34" s="37"/>
      <c r="RQE34" s="37"/>
      <c r="RQF34" s="37"/>
      <c r="RQG34" s="37"/>
      <c r="RQH34" s="37"/>
      <c r="RQI34" s="37"/>
      <c r="RQJ34" s="37"/>
      <c r="RQK34" s="37"/>
      <c r="RQL34" s="37"/>
      <c r="RQM34" s="37"/>
      <c r="RQN34" s="37"/>
      <c r="RQO34" s="37"/>
      <c r="RQP34" s="37"/>
      <c r="RQQ34" s="37"/>
      <c r="RQR34" s="37"/>
      <c r="RQS34" s="37"/>
      <c r="RQT34" s="37"/>
      <c r="RQU34" s="37"/>
      <c r="RQV34" s="37"/>
      <c r="RQW34" s="37"/>
      <c r="RQX34" s="37"/>
      <c r="RQY34" s="37"/>
      <c r="RQZ34" s="37"/>
      <c r="RRA34" s="37"/>
      <c r="RRB34" s="37"/>
      <c r="RRC34" s="37"/>
      <c r="RRD34" s="37"/>
      <c r="RRE34" s="37"/>
      <c r="RRF34" s="37"/>
      <c r="RRG34" s="37"/>
      <c r="RRH34" s="37"/>
      <c r="RRI34" s="37"/>
      <c r="RRJ34" s="37"/>
      <c r="RRK34" s="37"/>
      <c r="RRL34" s="37"/>
      <c r="RRM34" s="37"/>
      <c r="RRN34" s="37"/>
      <c r="RRO34" s="37"/>
      <c r="RRP34" s="37"/>
      <c r="RRQ34" s="37"/>
      <c r="RRR34" s="37"/>
      <c r="RRS34" s="37"/>
      <c r="RRT34" s="37"/>
      <c r="RRU34" s="37"/>
      <c r="RRV34" s="37"/>
      <c r="RRW34" s="37"/>
      <c r="RRX34" s="37"/>
      <c r="RRY34" s="37"/>
      <c r="RRZ34" s="37"/>
      <c r="RSA34" s="37"/>
      <c r="RSB34" s="37"/>
      <c r="RSC34" s="37"/>
      <c r="RSD34" s="37"/>
      <c r="RSE34" s="37"/>
      <c r="RSF34" s="37"/>
      <c r="RSG34" s="37"/>
      <c r="RSH34" s="37"/>
      <c r="RSI34" s="37"/>
      <c r="RSJ34" s="37"/>
      <c r="RSK34" s="37"/>
      <c r="RSL34" s="37"/>
      <c r="RSM34" s="37"/>
      <c r="RSN34" s="37"/>
      <c r="RSO34" s="37"/>
      <c r="RSP34" s="37"/>
      <c r="RSQ34" s="37"/>
      <c r="RSR34" s="37"/>
      <c r="RSS34" s="37"/>
      <c r="RST34" s="37"/>
      <c r="RSU34" s="37"/>
      <c r="RSV34" s="37"/>
      <c r="RSW34" s="37"/>
      <c r="RSX34" s="37"/>
      <c r="RSY34" s="37"/>
      <c r="RSZ34" s="37"/>
      <c r="RTA34" s="37"/>
      <c r="RTB34" s="37"/>
      <c r="RTC34" s="37"/>
      <c r="RTD34" s="37"/>
      <c r="RTE34" s="37"/>
      <c r="RTF34" s="37"/>
      <c r="RTG34" s="37"/>
      <c r="RTH34" s="37"/>
      <c r="RTI34" s="37"/>
      <c r="RTJ34" s="37"/>
      <c r="RTK34" s="37"/>
      <c r="RTL34" s="37"/>
      <c r="RTM34" s="37"/>
      <c r="RTN34" s="37"/>
      <c r="RTO34" s="37"/>
      <c r="RTP34" s="37"/>
      <c r="RTQ34" s="37"/>
      <c r="RTR34" s="37"/>
      <c r="RTS34" s="37"/>
      <c r="RTT34" s="37"/>
      <c r="RTU34" s="37"/>
      <c r="RTV34" s="37"/>
      <c r="RTW34" s="37"/>
      <c r="RTX34" s="37"/>
      <c r="RTY34" s="37"/>
      <c r="RTZ34" s="37"/>
      <c r="RUA34" s="37"/>
      <c r="RUB34" s="37"/>
      <c r="RUC34" s="37"/>
      <c r="RUD34" s="37"/>
      <c r="RUE34" s="37"/>
      <c r="RUF34" s="37"/>
      <c r="RUG34" s="37"/>
      <c r="RUH34" s="37"/>
      <c r="RUI34" s="37"/>
      <c r="RUJ34" s="37"/>
      <c r="RUK34" s="37"/>
      <c r="RUL34" s="37"/>
      <c r="RUM34" s="37"/>
      <c r="RUN34" s="37"/>
      <c r="RUO34" s="37"/>
      <c r="RUP34" s="37"/>
      <c r="RUQ34" s="37"/>
      <c r="RUR34" s="37"/>
      <c r="RUS34" s="37"/>
      <c r="RUT34" s="37"/>
      <c r="RUU34" s="37"/>
      <c r="RUV34" s="37"/>
      <c r="RUW34" s="37"/>
      <c r="RUX34" s="37"/>
      <c r="RUY34" s="37"/>
      <c r="RUZ34" s="37"/>
      <c r="RVA34" s="37"/>
      <c r="RVB34" s="37"/>
      <c r="RVC34" s="37"/>
      <c r="RVD34" s="37"/>
      <c r="RVE34" s="37"/>
      <c r="RVF34" s="37"/>
      <c r="RVG34" s="37"/>
      <c r="RVH34" s="37"/>
      <c r="RVI34" s="37"/>
      <c r="RVJ34" s="37"/>
      <c r="RVK34" s="37"/>
      <c r="RVL34" s="37"/>
      <c r="RVM34" s="37"/>
      <c r="RVN34" s="37"/>
      <c r="RVO34" s="37"/>
      <c r="RVP34" s="37"/>
      <c r="RVQ34" s="37"/>
      <c r="RVR34" s="37"/>
      <c r="RVS34" s="37"/>
      <c r="RVT34" s="37"/>
      <c r="RVU34" s="37"/>
      <c r="RVV34" s="37"/>
      <c r="RVW34" s="37"/>
      <c r="RVX34" s="37"/>
      <c r="RVY34" s="37"/>
      <c r="RVZ34" s="37"/>
      <c r="RWA34" s="37"/>
      <c r="RWB34" s="37"/>
      <c r="RWC34" s="37"/>
      <c r="RWD34" s="37"/>
      <c r="RWE34" s="37"/>
      <c r="RWF34" s="37"/>
      <c r="RWG34" s="37"/>
      <c r="RWH34" s="37"/>
      <c r="RWI34" s="37"/>
      <c r="RWJ34" s="37"/>
      <c r="RWK34" s="37"/>
      <c r="RWL34" s="37"/>
      <c r="RWM34" s="37"/>
      <c r="RWN34" s="37"/>
      <c r="RWO34" s="37"/>
      <c r="RWP34" s="37"/>
      <c r="RWQ34" s="37"/>
      <c r="RWR34" s="37"/>
      <c r="RWS34" s="37"/>
      <c r="RWT34" s="37"/>
      <c r="RWU34" s="37"/>
      <c r="RWV34" s="37"/>
      <c r="RWW34" s="37"/>
      <c r="RWX34" s="37"/>
      <c r="RWY34" s="37"/>
      <c r="RWZ34" s="37"/>
      <c r="RXA34" s="37"/>
      <c r="RXB34" s="37"/>
      <c r="RXC34" s="37"/>
      <c r="RXD34" s="37"/>
      <c r="RXE34" s="37"/>
      <c r="RXF34" s="37"/>
      <c r="RXG34" s="37"/>
      <c r="RXH34" s="37"/>
      <c r="RXI34" s="37"/>
      <c r="RXJ34" s="37"/>
      <c r="RXK34" s="37"/>
      <c r="RXL34" s="37"/>
      <c r="RXM34" s="37"/>
      <c r="RXN34" s="37"/>
      <c r="RXO34" s="37"/>
      <c r="RXP34" s="37"/>
      <c r="RXQ34" s="37"/>
      <c r="RXR34" s="37"/>
      <c r="RXS34" s="37"/>
      <c r="RXT34" s="37"/>
      <c r="RXU34" s="37"/>
      <c r="RXV34" s="37"/>
      <c r="RXW34" s="37"/>
      <c r="RXX34" s="37"/>
      <c r="RXY34" s="37"/>
      <c r="RXZ34" s="37"/>
      <c r="RYA34" s="37"/>
      <c r="RYB34" s="37"/>
      <c r="RYC34" s="37"/>
      <c r="RYD34" s="37"/>
      <c r="RYE34" s="37"/>
      <c r="RYF34" s="37"/>
      <c r="RYG34" s="37"/>
      <c r="RYH34" s="37"/>
      <c r="RYI34" s="37"/>
      <c r="RYJ34" s="37"/>
      <c r="RYK34" s="37"/>
      <c r="RYL34" s="37"/>
      <c r="RYM34" s="37"/>
      <c r="RYN34" s="37"/>
      <c r="RYO34" s="37"/>
      <c r="RYP34" s="37"/>
      <c r="RYQ34" s="37"/>
      <c r="RYR34" s="37"/>
      <c r="RYS34" s="37"/>
      <c r="RYT34" s="37"/>
      <c r="RYU34" s="37"/>
      <c r="RYV34" s="37"/>
      <c r="RYW34" s="37"/>
      <c r="RYX34" s="37"/>
      <c r="RYY34" s="37"/>
      <c r="RYZ34" s="37"/>
      <c r="RZA34" s="37"/>
      <c r="RZB34" s="37"/>
      <c r="RZC34" s="37"/>
      <c r="RZD34" s="37"/>
      <c r="RZE34" s="37"/>
      <c r="RZF34" s="37"/>
      <c r="RZG34" s="37"/>
      <c r="RZH34" s="37"/>
      <c r="RZI34" s="37"/>
      <c r="RZJ34" s="37"/>
      <c r="RZK34" s="37"/>
      <c r="RZL34" s="37"/>
      <c r="RZM34" s="37"/>
      <c r="RZN34" s="37"/>
      <c r="RZO34" s="37"/>
      <c r="RZP34" s="37"/>
      <c r="RZQ34" s="37"/>
      <c r="RZR34" s="37"/>
      <c r="RZS34" s="37"/>
      <c r="RZT34" s="37"/>
      <c r="RZU34" s="37"/>
      <c r="RZV34" s="37"/>
      <c r="RZW34" s="37"/>
      <c r="RZX34" s="37"/>
      <c r="RZY34" s="37"/>
      <c r="RZZ34" s="37"/>
      <c r="SAA34" s="37"/>
      <c r="SAB34" s="37"/>
      <c r="SAC34" s="37"/>
      <c r="SAD34" s="37"/>
      <c r="SAE34" s="37"/>
      <c r="SAF34" s="37"/>
      <c r="SAG34" s="37"/>
      <c r="SAH34" s="37"/>
      <c r="SAI34" s="37"/>
      <c r="SAJ34" s="37"/>
      <c r="SAK34" s="37"/>
      <c r="SAL34" s="37"/>
      <c r="SAM34" s="37"/>
      <c r="SAN34" s="37"/>
      <c r="SAO34" s="37"/>
      <c r="SAP34" s="37"/>
      <c r="SAQ34" s="37"/>
      <c r="SAR34" s="37"/>
      <c r="SAS34" s="37"/>
      <c r="SAT34" s="37"/>
      <c r="SAU34" s="37"/>
      <c r="SAV34" s="37"/>
      <c r="SAW34" s="37"/>
      <c r="SAX34" s="37"/>
      <c r="SAY34" s="37"/>
      <c r="SAZ34" s="37"/>
      <c r="SBA34" s="37"/>
      <c r="SBB34" s="37"/>
      <c r="SBC34" s="37"/>
      <c r="SBD34" s="37"/>
      <c r="SBE34" s="37"/>
      <c r="SBF34" s="37"/>
      <c r="SBG34" s="37"/>
      <c r="SBH34" s="37"/>
      <c r="SBI34" s="37"/>
      <c r="SBJ34" s="37"/>
      <c r="SBK34" s="37"/>
      <c r="SBL34" s="37"/>
      <c r="SBM34" s="37"/>
      <c r="SBN34" s="37"/>
      <c r="SBO34" s="37"/>
      <c r="SBP34" s="37"/>
      <c r="SBQ34" s="37"/>
      <c r="SBR34" s="37"/>
      <c r="SBS34" s="37"/>
      <c r="SBT34" s="37"/>
      <c r="SBU34" s="37"/>
      <c r="SBV34" s="37"/>
      <c r="SBW34" s="37"/>
      <c r="SBX34" s="37"/>
      <c r="SBY34" s="37"/>
      <c r="SBZ34" s="37"/>
      <c r="SCA34" s="37"/>
      <c r="SCB34" s="37"/>
      <c r="SCC34" s="37"/>
      <c r="SCD34" s="37"/>
      <c r="SCE34" s="37"/>
      <c r="SCF34" s="37"/>
      <c r="SCG34" s="37"/>
      <c r="SCH34" s="37"/>
      <c r="SCI34" s="37"/>
      <c r="SCJ34" s="37"/>
      <c r="SCK34" s="37"/>
      <c r="SCL34" s="37"/>
      <c r="SCM34" s="37"/>
      <c r="SCN34" s="37"/>
      <c r="SCO34" s="37"/>
      <c r="SCP34" s="37"/>
      <c r="SCQ34" s="37"/>
      <c r="SCR34" s="37"/>
      <c r="SCS34" s="37"/>
      <c r="SCT34" s="37"/>
      <c r="SCU34" s="37"/>
      <c r="SCV34" s="37"/>
      <c r="SCW34" s="37"/>
      <c r="SCX34" s="37"/>
      <c r="SCY34" s="37"/>
      <c r="SCZ34" s="37"/>
      <c r="SDA34" s="37"/>
      <c r="SDB34" s="37"/>
      <c r="SDC34" s="37"/>
      <c r="SDD34" s="37"/>
      <c r="SDE34" s="37"/>
      <c r="SDF34" s="37"/>
      <c r="SDG34" s="37"/>
      <c r="SDH34" s="37"/>
      <c r="SDI34" s="37"/>
      <c r="SDJ34" s="37"/>
      <c r="SDK34" s="37"/>
      <c r="SDL34" s="37"/>
      <c r="SDM34" s="37"/>
      <c r="SDN34" s="37"/>
      <c r="SDO34" s="37"/>
      <c r="SDP34" s="37"/>
      <c r="SDQ34" s="37"/>
      <c r="SDR34" s="37"/>
      <c r="SDS34" s="37"/>
      <c r="SDT34" s="37"/>
      <c r="SDU34" s="37"/>
      <c r="SDV34" s="37"/>
      <c r="SDW34" s="37"/>
      <c r="SDX34" s="37"/>
      <c r="SDY34" s="37"/>
      <c r="SDZ34" s="37"/>
      <c r="SEA34" s="37"/>
      <c r="SEB34" s="37"/>
      <c r="SEC34" s="37"/>
      <c r="SED34" s="37"/>
      <c r="SEE34" s="37"/>
      <c r="SEF34" s="37"/>
      <c r="SEG34" s="37"/>
      <c r="SEH34" s="37"/>
      <c r="SEI34" s="37"/>
      <c r="SEJ34" s="37"/>
      <c r="SEK34" s="37"/>
      <c r="SEL34" s="37"/>
      <c r="SEM34" s="37"/>
      <c r="SEN34" s="37"/>
      <c r="SEO34" s="37"/>
      <c r="SEP34" s="37"/>
      <c r="SEQ34" s="37"/>
      <c r="SER34" s="37"/>
      <c r="SES34" s="37"/>
      <c r="SET34" s="37"/>
      <c r="SEU34" s="37"/>
      <c r="SEV34" s="37"/>
      <c r="SEW34" s="37"/>
      <c r="SEX34" s="37"/>
      <c r="SEY34" s="37"/>
      <c r="SEZ34" s="37"/>
      <c r="SFA34" s="37"/>
      <c r="SFB34" s="37"/>
      <c r="SFC34" s="37"/>
      <c r="SFD34" s="37"/>
      <c r="SFE34" s="37"/>
      <c r="SFF34" s="37"/>
      <c r="SFG34" s="37"/>
      <c r="SFH34" s="37"/>
      <c r="SFI34" s="37"/>
      <c r="SFJ34" s="37"/>
      <c r="SFK34" s="37"/>
      <c r="SFL34" s="37"/>
      <c r="SFM34" s="37"/>
      <c r="SFN34" s="37"/>
      <c r="SFO34" s="37"/>
      <c r="SFP34" s="37"/>
      <c r="SFQ34" s="37"/>
      <c r="SFR34" s="37"/>
      <c r="SFS34" s="37"/>
      <c r="SFT34" s="37"/>
      <c r="SFU34" s="37"/>
      <c r="SFV34" s="37"/>
      <c r="SFW34" s="37"/>
      <c r="SFX34" s="37"/>
      <c r="SFY34" s="37"/>
      <c r="SFZ34" s="37"/>
      <c r="SGA34" s="37"/>
      <c r="SGB34" s="37"/>
      <c r="SGC34" s="37"/>
      <c r="SGD34" s="37"/>
      <c r="SGE34" s="37"/>
      <c r="SGF34" s="37"/>
      <c r="SGG34" s="37"/>
      <c r="SGH34" s="37"/>
      <c r="SGI34" s="37"/>
      <c r="SGJ34" s="37"/>
      <c r="SGK34" s="37"/>
      <c r="SGL34" s="37"/>
      <c r="SGM34" s="37"/>
      <c r="SGN34" s="37"/>
      <c r="SGO34" s="37"/>
      <c r="SGP34" s="37"/>
      <c r="SGQ34" s="37"/>
      <c r="SGR34" s="37"/>
      <c r="SGS34" s="37"/>
      <c r="SGT34" s="37"/>
      <c r="SGU34" s="37"/>
      <c r="SGV34" s="37"/>
      <c r="SGW34" s="37"/>
      <c r="SGX34" s="37"/>
      <c r="SGY34" s="37"/>
      <c r="SGZ34" s="37"/>
      <c r="SHA34" s="37"/>
      <c r="SHB34" s="37"/>
      <c r="SHC34" s="37"/>
      <c r="SHD34" s="37"/>
      <c r="SHE34" s="37"/>
      <c r="SHF34" s="37"/>
      <c r="SHG34" s="37"/>
      <c r="SHH34" s="37"/>
      <c r="SHI34" s="37"/>
      <c r="SHJ34" s="37"/>
      <c r="SHK34" s="37"/>
      <c r="SHL34" s="37"/>
      <c r="SHM34" s="37"/>
      <c r="SHN34" s="37"/>
      <c r="SHO34" s="37"/>
      <c r="SHP34" s="37"/>
      <c r="SHQ34" s="37"/>
      <c r="SHR34" s="37"/>
      <c r="SHS34" s="37"/>
      <c r="SHT34" s="37"/>
      <c r="SHU34" s="37"/>
      <c r="SHV34" s="37"/>
      <c r="SHW34" s="37"/>
      <c r="SHX34" s="37"/>
      <c r="SHY34" s="37"/>
      <c r="SHZ34" s="37"/>
      <c r="SIA34" s="37"/>
      <c r="SIB34" s="37"/>
      <c r="SIC34" s="37"/>
      <c r="SID34" s="37"/>
      <c r="SIE34" s="37"/>
      <c r="SIF34" s="37"/>
      <c r="SIG34" s="37"/>
      <c r="SIH34" s="37"/>
      <c r="SII34" s="37"/>
      <c r="SIJ34" s="37"/>
      <c r="SIK34" s="37"/>
      <c r="SIL34" s="37"/>
      <c r="SIM34" s="37"/>
      <c r="SIN34" s="37"/>
      <c r="SIO34" s="37"/>
      <c r="SIP34" s="37"/>
      <c r="SIQ34" s="37"/>
      <c r="SIR34" s="37"/>
      <c r="SIS34" s="37"/>
      <c r="SIT34" s="37"/>
      <c r="SIU34" s="37"/>
      <c r="SIV34" s="37"/>
      <c r="SIW34" s="37"/>
      <c r="SIX34" s="37"/>
      <c r="SIY34" s="37"/>
      <c r="SIZ34" s="37"/>
      <c r="SJA34" s="37"/>
      <c r="SJB34" s="37"/>
      <c r="SJC34" s="37"/>
      <c r="SJD34" s="37"/>
      <c r="SJE34" s="37"/>
      <c r="SJF34" s="37"/>
      <c r="SJG34" s="37"/>
      <c r="SJH34" s="37"/>
      <c r="SJI34" s="37"/>
      <c r="SJJ34" s="37"/>
      <c r="SJK34" s="37"/>
      <c r="SJL34" s="37"/>
      <c r="SJM34" s="37"/>
      <c r="SJN34" s="37"/>
      <c r="SJO34" s="37"/>
      <c r="SJP34" s="37"/>
      <c r="SJQ34" s="37"/>
      <c r="SJR34" s="37"/>
      <c r="SJS34" s="37"/>
      <c r="SJT34" s="37"/>
      <c r="SJU34" s="37"/>
      <c r="SJV34" s="37"/>
      <c r="SJW34" s="37"/>
      <c r="SJX34" s="37"/>
      <c r="SJY34" s="37"/>
      <c r="SJZ34" s="37"/>
      <c r="SKA34" s="37"/>
      <c r="SKB34" s="37"/>
      <c r="SKC34" s="37"/>
      <c r="SKD34" s="37"/>
      <c r="SKE34" s="37"/>
      <c r="SKF34" s="37"/>
      <c r="SKG34" s="37"/>
      <c r="SKH34" s="37"/>
      <c r="SKI34" s="37"/>
      <c r="SKJ34" s="37"/>
      <c r="SKK34" s="37"/>
      <c r="SKL34" s="37"/>
      <c r="SKM34" s="37"/>
      <c r="SKN34" s="37"/>
      <c r="SKO34" s="37"/>
      <c r="SKP34" s="37"/>
      <c r="SKQ34" s="37"/>
      <c r="SKR34" s="37"/>
      <c r="SKS34" s="37"/>
      <c r="SKT34" s="37"/>
      <c r="SKU34" s="37"/>
      <c r="SKV34" s="37"/>
      <c r="SKW34" s="37"/>
      <c r="SKX34" s="37"/>
      <c r="SKY34" s="37"/>
      <c r="SKZ34" s="37"/>
      <c r="SLA34" s="37"/>
      <c r="SLB34" s="37"/>
      <c r="SLC34" s="37"/>
      <c r="SLD34" s="37"/>
      <c r="SLE34" s="37"/>
      <c r="SLF34" s="37"/>
      <c r="SLG34" s="37"/>
      <c r="SLH34" s="37"/>
      <c r="SLI34" s="37"/>
      <c r="SLJ34" s="37"/>
      <c r="SLK34" s="37"/>
      <c r="SLL34" s="37"/>
      <c r="SLM34" s="37"/>
      <c r="SLN34" s="37"/>
      <c r="SLO34" s="37"/>
      <c r="SLP34" s="37"/>
      <c r="SLQ34" s="37"/>
      <c r="SLR34" s="37"/>
      <c r="SLS34" s="37"/>
      <c r="SLT34" s="37"/>
      <c r="SLU34" s="37"/>
      <c r="SLV34" s="37"/>
      <c r="SLW34" s="37"/>
      <c r="SLX34" s="37"/>
      <c r="SLY34" s="37"/>
      <c r="SLZ34" s="37"/>
      <c r="SMA34" s="37"/>
      <c r="SMB34" s="37"/>
      <c r="SMC34" s="37"/>
      <c r="SMD34" s="37"/>
      <c r="SME34" s="37"/>
      <c r="SMF34" s="37"/>
      <c r="SMG34" s="37"/>
      <c r="SMH34" s="37"/>
      <c r="SMI34" s="37"/>
      <c r="SMJ34" s="37"/>
      <c r="SMK34" s="37"/>
      <c r="SML34" s="37"/>
      <c r="SMM34" s="37"/>
      <c r="SMN34" s="37"/>
      <c r="SMO34" s="37"/>
      <c r="SMP34" s="37"/>
      <c r="SMQ34" s="37"/>
      <c r="SMR34" s="37"/>
      <c r="SMS34" s="37"/>
      <c r="SMT34" s="37"/>
      <c r="SMU34" s="37"/>
      <c r="SMV34" s="37"/>
      <c r="SMW34" s="37"/>
      <c r="SMX34" s="37"/>
      <c r="SMY34" s="37"/>
      <c r="SMZ34" s="37"/>
      <c r="SNA34" s="37"/>
      <c r="SNB34" s="37"/>
      <c r="SNC34" s="37"/>
      <c r="SND34" s="37"/>
      <c r="SNE34" s="37"/>
      <c r="SNF34" s="37"/>
      <c r="SNG34" s="37"/>
      <c r="SNH34" s="37"/>
      <c r="SNI34" s="37"/>
      <c r="SNJ34" s="37"/>
      <c r="SNK34" s="37"/>
      <c r="SNL34" s="37"/>
      <c r="SNM34" s="37"/>
      <c r="SNN34" s="37"/>
      <c r="SNO34" s="37"/>
      <c r="SNP34" s="37"/>
      <c r="SNQ34" s="37"/>
      <c r="SNR34" s="37"/>
      <c r="SNS34" s="37"/>
      <c r="SNT34" s="37"/>
      <c r="SNU34" s="37"/>
      <c r="SNV34" s="37"/>
      <c r="SNW34" s="37"/>
      <c r="SNX34" s="37"/>
      <c r="SNY34" s="37"/>
      <c r="SNZ34" s="37"/>
      <c r="SOA34" s="37"/>
      <c r="SOB34" s="37"/>
      <c r="SOC34" s="37"/>
      <c r="SOD34" s="37"/>
      <c r="SOE34" s="37"/>
      <c r="SOF34" s="37"/>
      <c r="SOG34" s="37"/>
      <c r="SOH34" s="37"/>
      <c r="SOI34" s="37"/>
      <c r="SOJ34" s="37"/>
      <c r="SOK34" s="37"/>
      <c r="SOL34" s="37"/>
      <c r="SOM34" s="37"/>
      <c r="SON34" s="37"/>
      <c r="SOO34" s="37"/>
      <c r="SOP34" s="37"/>
      <c r="SOQ34" s="37"/>
      <c r="SOR34" s="37"/>
      <c r="SOS34" s="37"/>
      <c r="SOT34" s="37"/>
      <c r="SOU34" s="37"/>
      <c r="SOV34" s="37"/>
      <c r="SOW34" s="37"/>
      <c r="SOX34" s="37"/>
      <c r="SOY34" s="37"/>
      <c r="SOZ34" s="37"/>
      <c r="SPA34" s="37"/>
      <c r="SPB34" s="37"/>
      <c r="SPC34" s="37"/>
      <c r="SPD34" s="37"/>
      <c r="SPE34" s="37"/>
      <c r="SPF34" s="37"/>
      <c r="SPG34" s="37"/>
      <c r="SPH34" s="37"/>
      <c r="SPI34" s="37"/>
      <c r="SPJ34" s="37"/>
      <c r="SPK34" s="37"/>
      <c r="SPL34" s="37"/>
      <c r="SPM34" s="37"/>
      <c r="SPN34" s="37"/>
      <c r="SPO34" s="37"/>
      <c r="SPP34" s="37"/>
      <c r="SPQ34" s="37"/>
      <c r="SPR34" s="37"/>
      <c r="SPS34" s="37"/>
      <c r="SPT34" s="37"/>
      <c r="SPU34" s="37"/>
      <c r="SPV34" s="37"/>
      <c r="SPW34" s="37"/>
      <c r="SPX34" s="37"/>
      <c r="SPY34" s="37"/>
      <c r="SPZ34" s="37"/>
      <c r="SQA34" s="37"/>
      <c r="SQB34" s="37"/>
      <c r="SQC34" s="37"/>
      <c r="SQD34" s="37"/>
      <c r="SQE34" s="37"/>
      <c r="SQF34" s="37"/>
      <c r="SQG34" s="37"/>
      <c r="SQH34" s="37"/>
      <c r="SQI34" s="37"/>
      <c r="SQJ34" s="37"/>
      <c r="SQK34" s="37"/>
      <c r="SQL34" s="37"/>
      <c r="SQM34" s="37"/>
      <c r="SQN34" s="37"/>
      <c r="SQO34" s="37"/>
      <c r="SQP34" s="37"/>
      <c r="SQQ34" s="37"/>
      <c r="SQR34" s="37"/>
      <c r="SQS34" s="37"/>
      <c r="SQT34" s="37"/>
      <c r="SQU34" s="37"/>
      <c r="SQV34" s="37"/>
      <c r="SQW34" s="37"/>
      <c r="SQX34" s="37"/>
      <c r="SQY34" s="37"/>
      <c r="SQZ34" s="37"/>
      <c r="SRA34" s="37"/>
      <c r="SRB34" s="37"/>
      <c r="SRC34" s="37"/>
      <c r="SRD34" s="37"/>
      <c r="SRE34" s="37"/>
      <c r="SRF34" s="37"/>
      <c r="SRG34" s="37"/>
      <c r="SRH34" s="37"/>
      <c r="SRI34" s="37"/>
      <c r="SRJ34" s="37"/>
      <c r="SRK34" s="37"/>
      <c r="SRL34" s="37"/>
      <c r="SRM34" s="37"/>
      <c r="SRN34" s="37"/>
      <c r="SRO34" s="37"/>
      <c r="SRP34" s="37"/>
      <c r="SRQ34" s="37"/>
      <c r="SRR34" s="37"/>
      <c r="SRS34" s="37"/>
      <c r="SRT34" s="37"/>
      <c r="SRU34" s="37"/>
      <c r="SRV34" s="37"/>
      <c r="SRW34" s="37"/>
      <c r="SRX34" s="37"/>
      <c r="SRY34" s="37"/>
      <c r="SRZ34" s="37"/>
      <c r="SSA34" s="37"/>
      <c r="SSB34" s="37"/>
      <c r="SSC34" s="37"/>
      <c r="SSD34" s="37"/>
      <c r="SSE34" s="37"/>
      <c r="SSF34" s="37"/>
      <c r="SSG34" s="37"/>
      <c r="SSH34" s="37"/>
      <c r="SSI34" s="37"/>
      <c r="SSJ34" s="37"/>
      <c r="SSK34" s="37"/>
      <c r="SSL34" s="37"/>
      <c r="SSM34" s="37"/>
      <c r="SSN34" s="37"/>
      <c r="SSO34" s="37"/>
      <c r="SSP34" s="37"/>
      <c r="SSQ34" s="37"/>
      <c r="SSR34" s="37"/>
      <c r="SSS34" s="37"/>
      <c r="SST34" s="37"/>
      <c r="SSU34" s="37"/>
      <c r="SSV34" s="37"/>
      <c r="SSW34" s="37"/>
      <c r="SSX34" s="37"/>
      <c r="SSY34" s="37"/>
      <c r="SSZ34" s="37"/>
      <c r="STA34" s="37"/>
      <c r="STB34" s="37"/>
      <c r="STC34" s="37"/>
      <c r="STD34" s="37"/>
      <c r="STE34" s="37"/>
      <c r="STF34" s="37"/>
      <c r="STG34" s="37"/>
      <c r="STH34" s="37"/>
      <c r="STI34" s="37"/>
      <c r="STJ34" s="37"/>
      <c r="STK34" s="37"/>
      <c r="STL34" s="37"/>
      <c r="STM34" s="37"/>
      <c r="STN34" s="37"/>
      <c r="STO34" s="37"/>
      <c r="STP34" s="37"/>
      <c r="STQ34" s="37"/>
      <c r="STR34" s="37"/>
      <c r="STS34" s="37"/>
      <c r="STT34" s="37"/>
      <c r="STU34" s="37"/>
      <c r="STV34" s="37"/>
      <c r="STW34" s="37"/>
      <c r="STX34" s="37"/>
      <c r="STY34" s="37"/>
      <c r="STZ34" s="37"/>
      <c r="SUA34" s="37"/>
      <c r="SUB34" s="37"/>
      <c r="SUC34" s="37"/>
      <c r="SUD34" s="37"/>
      <c r="SUE34" s="37"/>
      <c r="SUF34" s="37"/>
      <c r="SUG34" s="37"/>
      <c r="SUH34" s="37"/>
      <c r="SUI34" s="37"/>
      <c r="SUJ34" s="37"/>
      <c r="SUK34" s="37"/>
      <c r="SUL34" s="37"/>
      <c r="SUM34" s="37"/>
      <c r="SUN34" s="37"/>
      <c r="SUO34" s="37"/>
      <c r="SUP34" s="37"/>
      <c r="SUQ34" s="37"/>
      <c r="SUR34" s="37"/>
      <c r="SUS34" s="37"/>
      <c r="SUT34" s="37"/>
      <c r="SUU34" s="37"/>
      <c r="SUV34" s="37"/>
      <c r="SUW34" s="37"/>
      <c r="SUX34" s="37"/>
      <c r="SUY34" s="37"/>
      <c r="SUZ34" s="37"/>
      <c r="SVA34" s="37"/>
      <c r="SVB34" s="37"/>
      <c r="SVC34" s="37"/>
      <c r="SVD34" s="37"/>
      <c r="SVE34" s="37"/>
      <c r="SVF34" s="37"/>
      <c r="SVG34" s="37"/>
      <c r="SVH34" s="37"/>
      <c r="SVI34" s="37"/>
      <c r="SVJ34" s="37"/>
      <c r="SVK34" s="37"/>
      <c r="SVL34" s="37"/>
      <c r="SVM34" s="37"/>
      <c r="SVN34" s="37"/>
      <c r="SVO34" s="37"/>
      <c r="SVP34" s="37"/>
      <c r="SVQ34" s="37"/>
      <c r="SVR34" s="37"/>
      <c r="SVS34" s="37"/>
      <c r="SVT34" s="37"/>
      <c r="SVU34" s="37"/>
      <c r="SVV34" s="37"/>
      <c r="SVW34" s="37"/>
      <c r="SVX34" s="37"/>
      <c r="SVY34" s="37"/>
      <c r="SVZ34" s="37"/>
      <c r="SWA34" s="37"/>
      <c r="SWB34" s="37"/>
      <c r="SWC34" s="37"/>
      <c r="SWD34" s="37"/>
      <c r="SWE34" s="37"/>
      <c r="SWF34" s="37"/>
      <c r="SWG34" s="37"/>
      <c r="SWH34" s="37"/>
      <c r="SWI34" s="37"/>
      <c r="SWJ34" s="37"/>
      <c r="SWK34" s="37"/>
      <c r="SWL34" s="37"/>
      <c r="SWM34" s="37"/>
      <c r="SWN34" s="37"/>
      <c r="SWO34" s="37"/>
      <c r="SWP34" s="37"/>
      <c r="SWQ34" s="37"/>
      <c r="SWR34" s="37"/>
      <c r="SWS34" s="37"/>
      <c r="SWT34" s="37"/>
      <c r="SWU34" s="37"/>
      <c r="SWV34" s="37"/>
      <c r="SWW34" s="37"/>
      <c r="SWX34" s="37"/>
      <c r="SWY34" s="37"/>
      <c r="SWZ34" s="37"/>
      <c r="SXA34" s="37"/>
      <c r="SXB34" s="37"/>
      <c r="SXC34" s="37"/>
      <c r="SXD34" s="37"/>
      <c r="SXE34" s="37"/>
      <c r="SXF34" s="37"/>
      <c r="SXG34" s="37"/>
      <c r="SXH34" s="37"/>
      <c r="SXI34" s="37"/>
      <c r="SXJ34" s="37"/>
      <c r="SXK34" s="37"/>
      <c r="SXL34" s="37"/>
      <c r="SXM34" s="37"/>
      <c r="SXN34" s="37"/>
      <c r="SXO34" s="37"/>
      <c r="SXP34" s="37"/>
      <c r="SXQ34" s="37"/>
      <c r="SXR34" s="37"/>
      <c r="SXS34" s="37"/>
      <c r="SXT34" s="37"/>
      <c r="SXU34" s="37"/>
      <c r="SXV34" s="37"/>
      <c r="SXW34" s="37"/>
      <c r="SXX34" s="37"/>
      <c r="SXY34" s="37"/>
      <c r="SXZ34" s="37"/>
      <c r="SYA34" s="37"/>
      <c r="SYB34" s="37"/>
      <c r="SYC34" s="37"/>
      <c r="SYD34" s="37"/>
      <c r="SYE34" s="37"/>
      <c r="SYF34" s="37"/>
      <c r="SYG34" s="37"/>
      <c r="SYH34" s="37"/>
      <c r="SYI34" s="37"/>
      <c r="SYJ34" s="37"/>
      <c r="SYK34" s="37"/>
      <c r="SYL34" s="37"/>
      <c r="SYM34" s="37"/>
      <c r="SYN34" s="37"/>
      <c r="SYO34" s="37"/>
      <c r="SYP34" s="37"/>
      <c r="SYQ34" s="37"/>
      <c r="SYR34" s="37"/>
      <c r="SYS34" s="37"/>
      <c r="SYT34" s="37"/>
      <c r="SYU34" s="37"/>
      <c r="SYV34" s="37"/>
      <c r="SYW34" s="37"/>
      <c r="SYX34" s="37"/>
      <c r="SYY34" s="37"/>
      <c r="SYZ34" s="37"/>
      <c r="SZA34" s="37"/>
      <c r="SZB34" s="37"/>
      <c r="SZC34" s="37"/>
      <c r="SZD34" s="37"/>
      <c r="SZE34" s="37"/>
      <c r="SZF34" s="37"/>
      <c r="SZG34" s="37"/>
      <c r="SZH34" s="37"/>
      <c r="SZI34" s="37"/>
      <c r="SZJ34" s="37"/>
      <c r="SZK34" s="37"/>
      <c r="SZL34" s="37"/>
      <c r="SZM34" s="37"/>
      <c r="SZN34" s="37"/>
      <c r="SZO34" s="37"/>
      <c r="SZP34" s="37"/>
      <c r="SZQ34" s="37"/>
      <c r="SZR34" s="37"/>
      <c r="SZS34" s="37"/>
      <c r="SZT34" s="37"/>
      <c r="SZU34" s="37"/>
      <c r="SZV34" s="37"/>
      <c r="SZW34" s="37"/>
      <c r="SZX34" s="37"/>
      <c r="SZY34" s="37"/>
      <c r="SZZ34" s="37"/>
      <c r="TAA34" s="37"/>
      <c r="TAB34" s="37"/>
      <c r="TAC34" s="37"/>
      <c r="TAD34" s="37"/>
      <c r="TAE34" s="37"/>
      <c r="TAF34" s="37"/>
      <c r="TAG34" s="37"/>
      <c r="TAH34" s="37"/>
      <c r="TAI34" s="37"/>
      <c r="TAJ34" s="37"/>
      <c r="TAK34" s="37"/>
      <c r="TAL34" s="37"/>
      <c r="TAM34" s="37"/>
      <c r="TAN34" s="37"/>
      <c r="TAO34" s="37"/>
      <c r="TAP34" s="37"/>
      <c r="TAQ34" s="37"/>
      <c r="TAR34" s="37"/>
      <c r="TAS34" s="37"/>
      <c r="TAT34" s="37"/>
      <c r="TAU34" s="37"/>
      <c r="TAV34" s="37"/>
      <c r="TAW34" s="37"/>
      <c r="TAX34" s="37"/>
      <c r="TAY34" s="37"/>
      <c r="TAZ34" s="37"/>
      <c r="TBA34" s="37"/>
      <c r="TBB34" s="37"/>
      <c r="TBC34" s="37"/>
      <c r="TBD34" s="37"/>
      <c r="TBE34" s="37"/>
      <c r="TBF34" s="37"/>
      <c r="TBG34" s="37"/>
      <c r="TBH34" s="37"/>
      <c r="TBI34" s="37"/>
      <c r="TBJ34" s="37"/>
      <c r="TBK34" s="37"/>
      <c r="TBL34" s="37"/>
      <c r="TBM34" s="37"/>
      <c r="TBN34" s="37"/>
      <c r="TBO34" s="37"/>
      <c r="TBP34" s="37"/>
      <c r="TBQ34" s="37"/>
      <c r="TBR34" s="37"/>
      <c r="TBS34" s="37"/>
      <c r="TBT34" s="37"/>
      <c r="TBU34" s="37"/>
      <c r="TBV34" s="37"/>
      <c r="TBW34" s="37"/>
      <c r="TBX34" s="37"/>
      <c r="TBY34" s="37"/>
      <c r="TBZ34" s="37"/>
      <c r="TCA34" s="37"/>
      <c r="TCB34" s="37"/>
      <c r="TCC34" s="37"/>
      <c r="TCD34" s="37"/>
      <c r="TCE34" s="37"/>
      <c r="TCF34" s="37"/>
      <c r="TCG34" s="37"/>
      <c r="TCH34" s="37"/>
      <c r="TCI34" s="37"/>
      <c r="TCJ34" s="37"/>
      <c r="TCK34" s="37"/>
      <c r="TCL34" s="37"/>
      <c r="TCM34" s="37"/>
      <c r="TCN34" s="37"/>
      <c r="TCO34" s="37"/>
      <c r="TCP34" s="37"/>
      <c r="TCQ34" s="37"/>
      <c r="TCR34" s="37"/>
      <c r="TCS34" s="37"/>
      <c r="TCT34" s="37"/>
      <c r="TCU34" s="37"/>
      <c r="TCV34" s="37"/>
      <c r="TCW34" s="37"/>
      <c r="TCX34" s="37"/>
      <c r="TCY34" s="37"/>
      <c r="TCZ34" s="37"/>
      <c r="TDA34" s="37"/>
      <c r="TDB34" s="37"/>
      <c r="TDC34" s="37"/>
      <c r="TDD34" s="37"/>
      <c r="TDE34" s="37"/>
      <c r="TDF34" s="37"/>
      <c r="TDG34" s="37"/>
      <c r="TDH34" s="37"/>
      <c r="TDI34" s="37"/>
      <c r="TDJ34" s="37"/>
      <c r="TDK34" s="37"/>
      <c r="TDL34" s="37"/>
      <c r="TDM34" s="37"/>
      <c r="TDN34" s="37"/>
      <c r="TDO34" s="37"/>
      <c r="TDP34" s="37"/>
      <c r="TDQ34" s="37"/>
      <c r="TDR34" s="37"/>
      <c r="TDS34" s="37"/>
      <c r="TDT34" s="37"/>
      <c r="TDU34" s="37"/>
      <c r="TDV34" s="37"/>
      <c r="TDW34" s="37"/>
      <c r="TDX34" s="37"/>
      <c r="TDY34" s="37"/>
      <c r="TDZ34" s="37"/>
      <c r="TEA34" s="37"/>
      <c r="TEB34" s="37"/>
      <c r="TEC34" s="37"/>
      <c r="TED34" s="37"/>
      <c r="TEE34" s="37"/>
      <c r="TEF34" s="37"/>
      <c r="TEG34" s="37"/>
      <c r="TEH34" s="37"/>
      <c r="TEI34" s="37"/>
      <c r="TEJ34" s="37"/>
      <c r="TEK34" s="37"/>
      <c r="TEL34" s="37"/>
      <c r="TEM34" s="37"/>
      <c r="TEN34" s="37"/>
      <c r="TEO34" s="37"/>
      <c r="TEP34" s="37"/>
      <c r="TEQ34" s="37"/>
      <c r="TER34" s="37"/>
      <c r="TES34" s="37"/>
      <c r="TET34" s="37"/>
      <c r="TEU34" s="37"/>
      <c r="TEV34" s="37"/>
      <c r="TEW34" s="37"/>
      <c r="TEX34" s="37"/>
      <c r="TEY34" s="37"/>
      <c r="TEZ34" s="37"/>
      <c r="TFA34" s="37"/>
      <c r="TFB34" s="37"/>
      <c r="TFC34" s="37"/>
      <c r="TFD34" s="37"/>
      <c r="TFE34" s="37"/>
      <c r="TFF34" s="37"/>
      <c r="TFG34" s="37"/>
      <c r="TFH34" s="37"/>
      <c r="TFI34" s="37"/>
      <c r="TFJ34" s="37"/>
      <c r="TFK34" s="37"/>
      <c r="TFL34" s="37"/>
      <c r="TFM34" s="37"/>
      <c r="TFN34" s="37"/>
      <c r="TFO34" s="37"/>
      <c r="TFP34" s="37"/>
      <c r="TFQ34" s="37"/>
      <c r="TFR34" s="37"/>
      <c r="TFS34" s="37"/>
      <c r="TFT34" s="37"/>
      <c r="TFU34" s="37"/>
      <c r="TFV34" s="37"/>
      <c r="TFW34" s="37"/>
      <c r="TFX34" s="37"/>
      <c r="TFY34" s="37"/>
      <c r="TFZ34" s="37"/>
      <c r="TGA34" s="37"/>
      <c r="TGB34" s="37"/>
      <c r="TGC34" s="37"/>
      <c r="TGD34" s="37"/>
      <c r="TGE34" s="37"/>
      <c r="TGF34" s="37"/>
      <c r="TGG34" s="37"/>
      <c r="TGH34" s="37"/>
      <c r="TGI34" s="37"/>
      <c r="TGJ34" s="37"/>
      <c r="TGK34" s="37"/>
      <c r="TGL34" s="37"/>
      <c r="TGM34" s="37"/>
      <c r="TGN34" s="37"/>
      <c r="TGO34" s="37"/>
      <c r="TGP34" s="37"/>
      <c r="TGQ34" s="37"/>
      <c r="TGR34" s="37"/>
      <c r="TGS34" s="37"/>
      <c r="TGT34" s="37"/>
      <c r="TGU34" s="37"/>
      <c r="TGV34" s="37"/>
      <c r="TGW34" s="37"/>
      <c r="TGX34" s="37"/>
      <c r="TGY34" s="37"/>
      <c r="TGZ34" s="37"/>
      <c r="THA34" s="37"/>
      <c r="THB34" s="37"/>
      <c r="THC34" s="37"/>
      <c r="THD34" s="37"/>
      <c r="THE34" s="37"/>
      <c r="THF34" s="37"/>
      <c r="THG34" s="37"/>
      <c r="THH34" s="37"/>
      <c r="THI34" s="37"/>
      <c r="THJ34" s="37"/>
      <c r="THK34" s="37"/>
      <c r="THL34" s="37"/>
      <c r="THM34" s="37"/>
      <c r="THN34" s="37"/>
      <c r="THO34" s="37"/>
      <c r="THP34" s="37"/>
      <c r="THQ34" s="37"/>
      <c r="THR34" s="37"/>
      <c r="THS34" s="37"/>
      <c r="THT34" s="37"/>
      <c r="THU34" s="37"/>
      <c r="THV34" s="37"/>
      <c r="THW34" s="37"/>
      <c r="THX34" s="37"/>
      <c r="THY34" s="37"/>
      <c r="THZ34" s="37"/>
      <c r="TIA34" s="37"/>
      <c r="TIB34" s="37"/>
      <c r="TIC34" s="37"/>
      <c r="TID34" s="37"/>
      <c r="TIE34" s="37"/>
      <c r="TIF34" s="37"/>
      <c r="TIG34" s="37"/>
      <c r="TIH34" s="37"/>
      <c r="TII34" s="37"/>
      <c r="TIJ34" s="37"/>
      <c r="TIK34" s="37"/>
      <c r="TIL34" s="37"/>
      <c r="TIM34" s="37"/>
      <c r="TIN34" s="37"/>
      <c r="TIO34" s="37"/>
      <c r="TIP34" s="37"/>
      <c r="TIQ34" s="37"/>
      <c r="TIR34" s="37"/>
      <c r="TIS34" s="37"/>
      <c r="TIT34" s="37"/>
      <c r="TIU34" s="37"/>
      <c r="TIV34" s="37"/>
      <c r="TIW34" s="37"/>
      <c r="TIX34" s="37"/>
      <c r="TIY34" s="37"/>
      <c r="TIZ34" s="37"/>
      <c r="TJA34" s="37"/>
      <c r="TJB34" s="37"/>
      <c r="TJC34" s="37"/>
      <c r="TJD34" s="37"/>
      <c r="TJE34" s="37"/>
      <c r="TJF34" s="37"/>
      <c r="TJG34" s="37"/>
      <c r="TJH34" s="37"/>
      <c r="TJI34" s="37"/>
      <c r="TJJ34" s="37"/>
      <c r="TJK34" s="37"/>
      <c r="TJL34" s="37"/>
      <c r="TJM34" s="37"/>
      <c r="TJN34" s="37"/>
      <c r="TJO34" s="37"/>
      <c r="TJP34" s="37"/>
      <c r="TJQ34" s="37"/>
      <c r="TJR34" s="37"/>
      <c r="TJS34" s="37"/>
      <c r="TJT34" s="37"/>
      <c r="TJU34" s="37"/>
      <c r="TJV34" s="37"/>
      <c r="TJW34" s="37"/>
      <c r="TJX34" s="37"/>
      <c r="TJY34" s="37"/>
      <c r="TJZ34" s="37"/>
      <c r="TKA34" s="37"/>
      <c r="TKB34" s="37"/>
      <c r="TKC34" s="37"/>
      <c r="TKD34" s="37"/>
      <c r="TKE34" s="37"/>
      <c r="TKF34" s="37"/>
      <c r="TKG34" s="37"/>
      <c r="TKH34" s="37"/>
      <c r="TKI34" s="37"/>
      <c r="TKJ34" s="37"/>
      <c r="TKK34" s="37"/>
      <c r="TKL34" s="37"/>
      <c r="TKM34" s="37"/>
      <c r="TKN34" s="37"/>
      <c r="TKO34" s="37"/>
      <c r="TKP34" s="37"/>
      <c r="TKQ34" s="37"/>
      <c r="TKR34" s="37"/>
      <c r="TKS34" s="37"/>
      <c r="TKT34" s="37"/>
      <c r="TKU34" s="37"/>
      <c r="TKV34" s="37"/>
      <c r="TKW34" s="37"/>
      <c r="TKX34" s="37"/>
      <c r="TKY34" s="37"/>
      <c r="TKZ34" s="37"/>
      <c r="TLA34" s="37"/>
      <c r="TLB34" s="37"/>
      <c r="TLC34" s="37"/>
      <c r="TLD34" s="37"/>
      <c r="TLE34" s="37"/>
      <c r="TLF34" s="37"/>
      <c r="TLG34" s="37"/>
      <c r="TLH34" s="37"/>
      <c r="TLI34" s="37"/>
      <c r="TLJ34" s="37"/>
      <c r="TLK34" s="37"/>
      <c r="TLL34" s="37"/>
      <c r="TLM34" s="37"/>
      <c r="TLN34" s="37"/>
      <c r="TLO34" s="37"/>
      <c r="TLP34" s="37"/>
      <c r="TLQ34" s="37"/>
      <c r="TLR34" s="37"/>
      <c r="TLS34" s="37"/>
      <c r="TLT34" s="37"/>
      <c r="TLU34" s="37"/>
      <c r="TLV34" s="37"/>
      <c r="TLW34" s="37"/>
      <c r="TLX34" s="37"/>
      <c r="TLY34" s="37"/>
      <c r="TLZ34" s="37"/>
      <c r="TMA34" s="37"/>
      <c r="TMB34" s="37"/>
      <c r="TMC34" s="37"/>
      <c r="TMD34" s="37"/>
      <c r="TME34" s="37"/>
      <c r="TMF34" s="37"/>
      <c r="TMG34" s="37"/>
      <c r="TMH34" s="37"/>
      <c r="TMI34" s="37"/>
      <c r="TMJ34" s="37"/>
      <c r="TMK34" s="37"/>
      <c r="TML34" s="37"/>
      <c r="TMM34" s="37"/>
      <c r="TMN34" s="37"/>
      <c r="TMO34" s="37"/>
      <c r="TMP34" s="37"/>
      <c r="TMQ34" s="37"/>
      <c r="TMR34" s="37"/>
      <c r="TMS34" s="37"/>
      <c r="TMT34" s="37"/>
      <c r="TMU34" s="37"/>
      <c r="TMV34" s="37"/>
      <c r="TMW34" s="37"/>
      <c r="TMX34" s="37"/>
      <c r="TMY34" s="37"/>
      <c r="TMZ34" s="37"/>
      <c r="TNA34" s="37"/>
      <c r="TNB34" s="37"/>
      <c r="TNC34" s="37"/>
      <c r="TND34" s="37"/>
      <c r="TNE34" s="37"/>
      <c r="TNF34" s="37"/>
      <c r="TNG34" s="37"/>
      <c r="TNH34" s="37"/>
      <c r="TNI34" s="37"/>
      <c r="TNJ34" s="37"/>
      <c r="TNK34" s="37"/>
      <c r="TNL34" s="37"/>
      <c r="TNM34" s="37"/>
      <c r="TNN34" s="37"/>
      <c r="TNO34" s="37"/>
      <c r="TNP34" s="37"/>
      <c r="TNQ34" s="37"/>
      <c r="TNR34" s="37"/>
      <c r="TNS34" s="37"/>
      <c r="TNT34" s="37"/>
      <c r="TNU34" s="37"/>
      <c r="TNV34" s="37"/>
      <c r="TNW34" s="37"/>
      <c r="TNX34" s="37"/>
      <c r="TNY34" s="37"/>
      <c r="TNZ34" s="37"/>
      <c r="TOA34" s="37"/>
      <c r="TOB34" s="37"/>
      <c r="TOC34" s="37"/>
      <c r="TOD34" s="37"/>
      <c r="TOE34" s="37"/>
      <c r="TOF34" s="37"/>
      <c r="TOG34" s="37"/>
      <c r="TOH34" s="37"/>
      <c r="TOI34" s="37"/>
      <c r="TOJ34" s="37"/>
      <c r="TOK34" s="37"/>
      <c r="TOL34" s="37"/>
      <c r="TOM34" s="37"/>
      <c r="TON34" s="37"/>
      <c r="TOO34" s="37"/>
      <c r="TOP34" s="37"/>
      <c r="TOQ34" s="37"/>
      <c r="TOR34" s="37"/>
      <c r="TOS34" s="37"/>
      <c r="TOT34" s="37"/>
      <c r="TOU34" s="37"/>
      <c r="TOV34" s="37"/>
      <c r="TOW34" s="37"/>
      <c r="TOX34" s="37"/>
      <c r="TOY34" s="37"/>
      <c r="TOZ34" s="37"/>
      <c r="TPA34" s="37"/>
      <c r="TPB34" s="37"/>
      <c r="TPC34" s="37"/>
      <c r="TPD34" s="37"/>
      <c r="TPE34" s="37"/>
      <c r="TPF34" s="37"/>
      <c r="TPG34" s="37"/>
      <c r="TPH34" s="37"/>
      <c r="TPI34" s="37"/>
      <c r="TPJ34" s="37"/>
      <c r="TPK34" s="37"/>
      <c r="TPL34" s="37"/>
      <c r="TPM34" s="37"/>
      <c r="TPN34" s="37"/>
      <c r="TPO34" s="37"/>
      <c r="TPP34" s="37"/>
      <c r="TPQ34" s="37"/>
      <c r="TPR34" s="37"/>
      <c r="TPS34" s="37"/>
      <c r="TPT34" s="37"/>
      <c r="TPU34" s="37"/>
      <c r="TPV34" s="37"/>
      <c r="TPW34" s="37"/>
      <c r="TPX34" s="37"/>
      <c r="TPY34" s="37"/>
      <c r="TPZ34" s="37"/>
      <c r="TQA34" s="37"/>
      <c r="TQB34" s="37"/>
      <c r="TQC34" s="37"/>
      <c r="TQD34" s="37"/>
      <c r="TQE34" s="37"/>
      <c r="TQF34" s="37"/>
      <c r="TQG34" s="37"/>
      <c r="TQH34" s="37"/>
      <c r="TQI34" s="37"/>
      <c r="TQJ34" s="37"/>
      <c r="TQK34" s="37"/>
      <c r="TQL34" s="37"/>
      <c r="TQM34" s="37"/>
      <c r="TQN34" s="37"/>
      <c r="TQO34" s="37"/>
      <c r="TQP34" s="37"/>
      <c r="TQQ34" s="37"/>
      <c r="TQR34" s="37"/>
      <c r="TQS34" s="37"/>
      <c r="TQT34" s="37"/>
      <c r="TQU34" s="37"/>
      <c r="TQV34" s="37"/>
      <c r="TQW34" s="37"/>
      <c r="TQX34" s="37"/>
      <c r="TQY34" s="37"/>
      <c r="TQZ34" s="37"/>
      <c r="TRA34" s="37"/>
      <c r="TRB34" s="37"/>
      <c r="TRC34" s="37"/>
      <c r="TRD34" s="37"/>
      <c r="TRE34" s="37"/>
      <c r="TRF34" s="37"/>
      <c r="TRG34" s="37"/>
      <c r="TRH34" s="37"/>
      <c r="TRI34" s="37"/>
      <c r="TRJ34" s="37"/>
      <c r="TRK34" s="37"/>
      <c r="TRL34" s="37"/>
      <c r="TRM34" s="37"/>
      <c r="TRN34" s="37"/>
      <c r="TRO34" s="37"/>
      <c r="TRP34" s="37"/>
      <c r="TRQ34" s="37"/>
      <c r="TRR34" s="37"/>
      <c r="TRS34" s="37"/>
      <c r="TRT34" s="37"/>
      <c r="TRU34" s="37"/>
      <c r="TRV34" s="37"/>
      <c r="TRW34" s="37"/>
      <c r="TRX34" s="37"/>
      <c r="TRY34" s="37"/>
      <c r="TRZ34" s="37"/>
      <c r="TSA34" s="37"/>
      <c r="TSB34" s="37"/>
      <c r="TSC34" s="37"/>
      <c r="TSD34" s="37"/>
      <c r="TSE34" s="37"/>
      <c r="TSF34" s="37"/>
      <c r="TSG34" s="37"/>
      <c r="TSH34" s="37"/>
      <c r="TSI34" s="37"/>
      <c r="TSJ34" s="37"/>
      <c r="TSK34" s="37"/>
      <c r="TSL34" s="37"/>
      <c r="TSM34" s="37"/>
      <c r="TSN34" s="37"/>
      <c r="TSO34" s="37"/>
      <c r="TSP34" s="37"/>
      <c r="TSQ34" s="37"/>
      <c r="TSR34" s="37"/>
      <c r="TSS34" s="37"/>
      <c r="TST34" s="37"/>
      <c r="TSU34" s="37"/>
      <c r="TSV34" s="37"/>
      <c r="TSW34" s="37"/>
      <c r="TSX34" s="37"/>
      <c r="TSY34" s="37"/>
      <c r="TSZ34" s="37"/>
      <c r="TTA34" s="37"/>
      <c r="TTB34" s="37"/>
      <c r="TTC34" s="37"/>
      <c r="TTD34" s="37"/>
      <c r="TTE34" s="37"/>
      <c r="TTF34" s="37"/>
      <c r="TTG34" s="37"/>
      <c r="TTH34" s="37"/>
      <c r="TTI34" s="37"/>
      <c r="TTJ34" s="37"/>
      <c r="TTK34" s="37"/>
      <c r="TTL34" s="37"/>
      <c r="TTM34" s="37"/>
      <c r="TTN34" s="37"/>
      <c r="TTO34" s="37"/>
      <c r="TTP34" s="37"/>
      <c r="TTQ34" s="37"/>
      <c r="TTR34" s="37"/>
      <c r="TTS34" s="37"/>
      <c r="TTT34" s="37"/>
      <c r="TTU34" s="37"/>
      <c r="TTV34" s="37"/>
      <c r="TTW34" s="37"/>
      <c r="TTX34" s="37"/>
      <c r="TTY34" s="37"/>
      <c r="TTZ34" s="37"/>
      <c r="TUA34" s="37"/>
      <c r="TUB34" s="37"/>
      <c r="TUC34" s="37"/>
      <c r="TUD34" s="37"/>
      <c r="TUE34" s="37"/>
      <c r="TUF34" s="37"/>
      <c r="TUG34" s="37"/>
      <c r="TUH34" s="37"/>
      <c r="TUI34" s="37"/>
      <c r="TUJ34" s="37"/>
      <c r="TUK34" s="37"/>
      <c r="TUL34" s="37"/>
      <c r="TUM34" s="37"/>
      <c r="TUN34" s="37"/>
      <c r="TUO34" s="37"/>
      <c r="TUP34" s="37"/>
      <c r="TUQ34" s="37"/>
      <c r="TUR34" s="37"/>
      <c r="TUS34" s="37"/>
      <c r="TUT34" s="37"/>
      <c r="TUU34" s="37"/>
      <c r="TUV34" s="37"/>
      <c r="TUW34" s="37"/>
      <c r="TUX34" s="37"/>
      <c r="TUY34" s="37"/>
      <c r="TUZ34" s="37"/>
      <c r="TVA34" s="37"/>
      <c r="TVB34" s="37"/>
      <c r="TVC34" s="37"/>
      <c r="TVD34" s="37"/>
      <c r="TVE34" s="37"/>
      <c r="TVF34" s="37"/>
      <c r="TVG34" s="37"/>
      <c r="TVH34" s="37"/>
      <c r="TVI34" s="37"/>
      <c r="TVJ34" s="37"/>
      <c r="TVK34" s="37"/>
      <c r="TVL34" s="37"/>
      <c r="TVM34" s="37"/>
      <c r="TVN34" s="37"/>
      <c r="TVO34" s="37"/>
      <c r="TVP34" s="37"/>
      <c r="TVQ34" s="37"/>
      <c r="TVR34" s="37"/>
      <c r="TVS34" s="37"/>
      <c r="TVT34" s="37"/>
      <c r="TVU34" s="37"/>
      <c r="TVV34" s="37"/>
      <c r="TVW34" s="37"/>
      <c r="TVX34" s="37"/>
      <c r="TVY34" s="37"/>
      <c r="TVZ34" s="37"/>
      <c r="TWA34" s="37"/>
      <c r="TWB34" s="37"/>
      <c r="TWC34" s="37"/>
      <c r="TWD34" s="37"/>
      <c r="TWE34" s="37"/>
      <c r="TWF34" s="37"/>
      <c r="TWG34" s="37"/>
      <c r="TWH34" s="37"/>
      <c r="TWI34" s="37"/>
      <c r="TWJ34" s="37"/>
      <c r="TWK34" s="37"/>
      <c r="TWL34" s="37"/>
      <c r="TWM34" s="37"/>
      <c r="TWN34" s="37"/>
      <c r="TWO34" s="37"/>
      <c r="TWP34" s="37"/>
      <c r="TWQ34" s="37"/>
      <c r="TWR34" s="37"/>
      <c r="TWS34" s="37"/>
      <c r="TWT34" s="37"/>
      <c r="TWU34" s="37"/>
      <c r="TWV34" s="37"/>
      <c r="TWW34" s="37"/>
      <c r="TWX34" s="37"/>
      <c r="TWY34" s="37"/>
      <c r="TWZ34" s="37"/>
      <c r="TXA34" s="37"/>
      <c r="TXB34" s="37"/>
      <c r="TXC34" s="37"/>
      <c r="TXD34" s="37"/>
      <c r="TXE34" s="37"/>
      <c r="TXF34" s="37"/>
      <c r="TXG34" s="37"/>
      <c r="TXH34" s="37"/>
      <c r="TXI34" s="37"/>
      <c r="TXJ34" s="37"/>
      <c r="TXK34" s="37"/>
      <c r="TXL34" s="37"/>
      <c r="TXM34" s="37"/>
      <c r="TXN34" s="37"/>
      <c r="TXO34" s="37"/>
      <c r="TXP34" s="37"/>
      <c r="TXQ34" s="37"/>
      <c r="TXR34" s="37"/>
      <c r="TXS34" s="37"/>
      <c r="TXT34" s="37"/>
      <c r="TXU34" s="37"/>
      <c r="TXV34" s="37"/>
      <c r="TXW34" s="37"/>
      <c r="TXX34" s="37"/>
      <c r="TXY34" s="37"/>
      <c r="TXZ34" s="37"/>
      <c r="TYA34" s="37"/>
      <c r="TYB34" s="37"/>
      <c r="TYC34" s="37"/>
      <c r="TYD34" s="37"/>
      <c r="TYE34" s="37"/>
      <c r="TYF34" s="37"/>
      <c r="TYG34" s="37"/>
      <c r="TYH34" s="37"/>
      <c r="TYI34" s="37"/>
      <c r="TYJ34" s="37"/>
      <c r="TYK34" s="37"/>
      <c r="TYL34" s="37"/>
      <c r="TYM34" s="37"/>
      <c r="TYN34" s="37"/>
      <c r="TYO34" s="37"/>
      <c r="TYP34" s="37"/>
      <c r="TYQ34" s="37"/>
      <c r="TYR34" s="37"/>
      <c r="TYS34" s="37"/>
      <c r="TYT34" s="37"/>
      <c r="TYU34" s="37"/>
      <c r="TYV34" s="37"/>
      <c r="TYW34" s="37"/>
      <c r="TYX34" s="37"/>
      <c r="TYY34" s="37"/>
      <c r="TYZ34" s="37"/>
      <c r="TZA34" s="37"/>
      <c r="TZB34" s="37"/>
      <c r="TZC34" s="37"/>
      <c r="TZD34" s="37"/>
      <c r="TZE34" s="37"/>
      <c r="TZF34" s="37"/>
      <c r="TZG34" s="37"/>
      <c r="TZH34" s="37"/>
      <c r="TZI34" s="37"/>
      <c r="TZJ34" s="37"/>
      <c r="TZK34" s="37"/>
      <c r="TZL34" s="37"/>
      <c r="TZM34" s="37"/>
      <c r="TZN34" s="37"/>
      <c r="TZO34" s="37"/>
      <c r="TZP34" s="37"/>
      <c r="TZQ34" s="37"/>
      <c r="TZR34" s="37"/>
      <c r="TZS34" s="37"/>
      <c r="TZT34" s="37"/>
      <c r="TZU34" s="37"/>
      <c r="TZV34" s="37"/>
      <c r="TZW34" s="37"/>
      <c r="TZX34" s="37"/>
      <c r="TZY34" s="37"/>
      <c r="TZZ34" s="37"/>
      <c r="UAA34" s="37"/>
      <c r="UAB34" s="37"/>
      <c r="UAC34" s="37"/>
      <c r="UAD34" s="37"/>
      <c r="UAE34" s="37"/>
      <c r="UAF34" s="37"/>
      <c r="UAG34" s="37"/>
      <c r="UAH34" s="37"/>
      <c r="UAI34" s="37"/>
      <c r="UAJ34" s="37"/>
      <c r="UAK34" s="37"/>
      <c r="UAL34" s="37"/>
      <c r="UAM34" s="37"/>
      <c r="UAN34" s="37"/>
      <c r="UAO34" s="37"/>
      <c r="UAP34" s="37"/>
      <c r="UAQ34" s="37"/>
      <c r="UAR34" s="37"/>
      <c r="UAS34" s="37"/>
      <c r="UAT34" s="37"/>
      <c r="UAU34" s="37"/>
      <c r="UAV34" s="37"/>
      <c r="UAW34" s="37"/>
      <c r="UAX34" s="37"/>
      <c r="UAY34" s="37"/>
      <c r="UAZ34" s="37"/>
      <c r="UBA34" s="37"/>
      <c r="UBB34" s="37"/>
      <c r="UBC34" s="37"/>
      <c r="UBD34" s="37"/>
      <c r="UBE34" s="37"/>
      <c r="UBF34" s="37"/>
      <c r="UBG34" s="37"/>
      <c r="UBH34" s="37"/>
      <c r="UBI34" s="37"/>
      <c r="UBJ34" s="37"/>
      <c r="UBK34" s="37"/>
      <c r="UBL34" s="37"/>
      <c r="UBM34" s="37"/>
      <c r="UBN34" s="37"/>
      <c r="UBO34" s="37"/>
      <c r="UBP34" s="37"/>
      <c r="UBQ34" s="37"/>
      <c r="UBR34" s="37"/>
      <c r="UBS34" s="37"/>
      <c r="UBT34" s="37"/>
      <c r="UBU34" s="37"/>
      <c r="UBV34" s="37"/>
      <c r="UBW34" s="37"/>
      <c r="UBX34" s="37"/>
      <c r="UBY34" s="37"/>
      <c r="UBZ34" s="37"/>
      <c r="UCA34" s="37"/>
      <c r="UCB34" s="37"/>
      <c r="UCC34" s="37"/>
      <c r="UCD34" s="37"/>
      <c r="UCE34" s="37"/>
      <c r="UCF34" s="37"/>
      <c r="UCG34" s="37"/>
      <c r="UCH34" s="37"/>
      <c r="UCI34" s="37"/>
      <c r="UCJ34" s="37"/>
      <c r="UCK34" s="37"/>
      <c r="UCL34" s="37"/>
      <c r="UCM34" s="37"/>
      <c r="UCN34" s="37"/>
      <c r="UCO34" s="37"/>
      <c r="UCP34" s="37"/>
      <c r="UCQ34" s="37"/>
      <c r="UCR34" s="37"/>
      <c r="UCS34" s="37"/>
      <c r="UCT34" s="37"/>
      <c r="UCU34" s="37"/>
      <c r="UCV34" s="37"/>
      <c r="UCW34" s="37"/>
      <c r="UCX34" s="37"/>
      <c r="UCY34" s="37"/>
      <c r="UCZ34" s="37"/>
      <c r="UDA34" s="37"/>
      <c r="UDB34" s="37"/>
      <c r="UDC34" s="37"/>
      <c r="UDD34" s="37"/>
      <c r="UDE34" s="37"/>
      <c r="UDF34" s="37"/>
      <c r="UDG34" s="37"/>
      <c r="UDH34" s="37"/>
      <c r="UDI34" s="37"/>
      <c r="UDJ34" s="37"/>
      <c r="UDK34" s="37"/>
      <c r="UDL34" s="37"/>
      <c r="UDM34" s="37"/>
      <c r="UDN34" s="37"/>
      <c r="UDO34" s="37"/>
      <c r="UDP34" s="37"/>
      <c r="UDQ34" s="37"/>
      <c r="UDR34" s="37"/>
      <c r="UDS34" s="37"/>
      <c r="UDT34" s="37"/>
      <c r="UDU34" s="37"/>
      <c r="UDV34" s="37"/>
      <c r="UDW34" s="37"/>
      <c r="UDX34" s="37"/>
      <c r="UDY34" s="37"/>
      <c r="UDZ34" s="37"/>
      <c r="UEA34" s="37"/>
      <c r="UEB34" s="37"/>
      <c r="UEC34" s="37"/>
      <c r="UED34" s="37"/>
      <c r="UEE34" s="37"/>
      <c r="UEF34" s="37"/>
      <c r="UEG34" s="37"/>
      <c r="UEH34" s="37"/>
      <c r="UEI34" s="37"/>
      <c r="UEJ34" s="37"/>
      <c r="UEK34" s="37"/>
      <c r="UEL34" s="37"/>
      <c r="UEM34" s="37"/>
      <c r="UEN34" s="37"/>
      <c r="UEO34" s="37"/>
      <c r="UEP34" s="37"/>
      <c r="UEQ34" s="37"/>
      <c r="UER34" s="37"/>
      <c r="UES34" s="37"/>
      <c r="UET34" s="37"/>
      <c r="UEU34" s="37"/>
      <c r="UEV34" s="37"/>
      <c r="UEW34" s="37"/>
      <c r="UEX34" s="37"/>
      <c r="UEY34" s="37"/>
      <c r="UEZ34" s="37"/>
      <c r="UFA34" s="37"/>
      <c r="UFB34" s="37"/>
      <c r="UFC34" s="37"/>
      <c r="UFD34" s="37"/>
      <c r="UFE34" s="37"/>
      <c r="UFF34" s="37"/>
      <c r="UFG34" s="37"/>
      <c r="UFH34" s="37"/>
      <c r="UFI34" s="37"/>
      <c r="UFJ34" s="37"/>
      <c r="UFK34" s="37"/>
      <c r="UFL34" s="37"/>
      <c r="UFM34" s="37"/>
      <c r="UFN34" s="37"/>
      <c r="UFO34" s="37"/>
      <c r="UFP34" s="37"/>
      <c r="UFQ34" s="37"/>
      <c r="UFR34" s="37"/>
      <c r="UFS34" s="37"/>
      <c r="UFT34" s="37"/>
      <c r="UFU34" s="37"/>
      <c r="UFV34" s="37"/>
      <c r="UFW34" s="37"/>
      <c r="UFX34" s="37"/>
      <c r="UFY34" s="37"/>
      <c r="UFZ34" s="37"/>
      <c r="UGA34" s="37"/>
      <c r="UGB34" s="37"/>
      <c r="UGC34" s="37"/>
      <c r="UGD34" s="37"/>
      <c r="UGE34" s="37"/>
      <c r="UGF34" s="37"/>
      <c r="UGG34" s="37"/>
      <c r="UGH34" s="37"/>
      <c r="UGI34" s="37"/>
      <c r="UGJ34" s="37"/>
      <c r="UGK34" s="37"/>
      <c r="UGL34" s="37"/>
      <c r="UGM34" s="37"/>
      <c r="UGN34" s="37"/>
      <c r="UGO34" s="37"/>
      <c r="UGP34" s="37"/>
      <c r="UGQ34" s="37"/>
      <c r="UGR34" s="37"/>
      <c r="UGS34" s="37"/>
      <c r="UGT34" s="37"/>
      <c r="UGU34" s="37"/>
      <c r="UGV34" s="37"/>
      <c r="UGW34" s="37"/>
      <c r="UGX34" s="37"/>
      <c r="UGY34" s="37"/>
      <c r="UGZ34" s="37"/>
      <c r="UHA34" s="37"/>
      <c r="UHB34" s="37"/>
      <c r="UHC34" s="37"/>
      <c r="UHD34" s="37"/>
      <c r="UHE34" s="37"/>
      <c r="UHF34" s="37"/>
      <c r="UHG34" s="37"/>
      <c r="UHH34" s="37"/>
      <c r="UHI34" s="37"/>
      <c r="UHJ34" s="37"/>
      <c r="UHK34" s="37"/>
      <c r="UHL34" s="37"/>
      <c r="UHM34" s="37"/>
      <c r="UHN34" s="37"/>
      <c r="UHO34" s="37"/>
      <c r="UHP34" s="37"/>
      <c r="UHQ34" s="37"/>
      <c r="UHR34" s="37"/>
      <c r="UHS34" s="37"/>
      <c r="UHT34" s="37"/>
      <c r="UHU34" s="37"/>
      <c r="UHV34" s="37"/>
      <c r="UHW34" s="37"/>
      <c r="UHX34" s="37"/>
      <c r="UHY34" s="37"/>
      <c r="UHZ34" s="37"/>
      <c r="UIA34" s="37"/>
      <c r="UIB34" s="37"/>
      <c r="UIC34" s="37"/>
      <c r="UID34" s="37"/>
      <c r="UIE34" s="37"/>
      <c r="UIF34" s="37"/>
      <c r="UIG34" s="37"/>
      <c r="UIH34" s="37"/>
      <c r="UII34" s="37"/>
      <c r="UIJ34" s="37"/>
      <c r="UIK34" s="37"/>
      <c r="UIL34" s="37"/>
      <c r="UIM34" s="37"/>
      <c r="UIN34" s="37"/>
      <c r="UIO34" s="37"/>
      <c r="UIP34" s="37"/>
      <c r="UIQ34" s="37"/>
      <c r="UIR34" s="37"/>
      <c r="UIS34" s="37"/>
      <c r="UIT34" s="37"/>
      <c r="UIU34" s="37"/>
      <c r="UIV34" s="37"/>
      <c r="UIW34" s="37"/>
      <c r="UIX34" s="37"/>
      <c r="UIY34" s="37"/>
      <c r="UIZ34" s="37"/>
      <c r="UJA34" s="37"/>
      <c r="UJB34" s="37"/>
      <c r="UJC34" s="37"/>
      <c r="UJD34" s="37"/>
      <c r="UJE34" s="37"/>
      <c r="UJF34" s="37"/>
      <c r="UJG34" s="37"/>
      <c r="UJH34" s="37"/>
      <c r="UJI34" s="37"/>
      <c r="UJJ34" s="37"/>
      <c r="UJK34" s="37"/>
      <c r="UJL34" s="37"/>
      <c r="UJM34" s="37"/>
      <c r="UJN34" s="37"/>
      <c r="UJO34" s="37"/>
      <c r="UJP34" s="37"/>
      <c r="UJQ34" s="37"/>
      <c r="UJR34" s="37"/>
      <c r="UJS34" s="37"/>
      <c r="UJT34" s="37"/>
      <c r="UJU34" s="37"/>
      <c r="UJV34" s="37"/>
      <c r="UJW34" s="37"/>
      <c r="UJX34" s="37"/>
      <c r="UJY34" s="37"/>
      <c r="UJZ34" s="37"/>
      <c r="UKA34" s="37"/>
      <c r="UKB34" s="37"/>
      <c r="UKC34" s="37"/>
      <c r="UKD34" s="37"/>
      <c r="UKE34" s="37"/>
      <c r="UKF34" s="37"/>
      <c r="UKG34" s="37"/>
      <c r="UKH34" s="37"/>
      <c r="UKI34" s="37"/>
      <c r="UKJ34" s="37"/>
      <c r="UKK34" s="37"/>
      <c r="UKL34" s="37"/>
      <c r="UKM34" s="37"/>
      <c r="UKN34" s="37"/>
      <c r="UKO34" s="37"/>
      <c r="UKP34" s="37"/>
      <c r="UKQ34" s="37"/>
      <c r="UKR34" s="37"/>
      <c r="UKS34" s="37"/>
      <c r="UKT34" s="37"/>
      <c r="UKU34" s="37"/>
      <c r="UKV34" s="37"/>
      <c r="UKW34" s="37"/>
      <c r="UKX34" s="37"/>
      <c r="UKY34" s="37"/>
      <c r="UKZ34" s="37"/>
      <c r="ULA34" s="37"/>
      <c r="ULB34" s="37"/>
      <c r="ULC34" s="37"/>
      <c r="ULD34" s="37"/>
      <c r="ULE34" s="37"/>
      <c r="ULF34" s="37"/>
      <c r="ULG34" s="37"/>
      <c r="ULH34" s="37"/>
      <c r="ULI34" s="37"/>
      <c r="ULJ34" s="37"/>
      <c r="ULK34" s="37"/>
      <c r="ULL34" s="37"/>
      <c r="ULM34" s="37"/>
      <c r="ULN34" s="37"/>
      <c r="ULO34" s="37"/>
      <c r="ULP34" s="37"/>
      <c r="ULQ34" s="37"/>
      <c r="ULR34" s="37"/>
      <c r="ULS34" s="37"/>
      <c r="ULT34" s="37"/>
      <c r="ULU34" s="37"/>
      <c r="ULV34" s="37"/>
      <c r="ULW34" s="37"/>
      <c r="ULX34" s="37"/>
      <c r="ULY34" s="37"/>
      <c r="ULZ34" s="37"/>
      <c r="UMA34" s="37"/>
      <c r="UMB34" s="37"/>
      <c r="UMC34" s="37"/>
      <c r="UMD34" s="37"/>
      <c r="UME34" s="37"/>
      <c r="UMF34" s="37"/>
      <c r="UMG34" s="37"/>
      <c r="UMH34" s="37"/>
      <c r="UMI34" s="37"/>
      <c r="UMJ34" s="37"/>
      <c r="UMK34" s="37"/>
      <c r="UML34" s="37"/>
      <c r="UMM34" s="37"/>
      <c r="UMN34" s="37"/>
      <c r="UMO34" s="37"/>
      <c r="UMP34" s="37"/>
      <c r="UMQ34" s="37"/>
      <c r="UMR34" s="37"/>
      <c r="UMS34" s="37"/>
      <c r="UMT34" s="37"/>
      <c r="UMU34" s="37"/>
      <c r="UMV34" s="37"/>
      <c r="UMW34" s="37"/>
      <c r="UMX34" s="37"/>
      <c r="UMY34" s="37"/>
      <c r="UMZ34" s="37"/>
      <c r="UNA34" s="37"/>
      <c r="UNB34" s="37"/>
      <c r="UNC34" s="37"/>
      <c r="UND34" s="37"/>
      <c r="UNE34" s="37"/>
      <c r="UNF34" s="37"/>
      <c r="UNG34" s="37"/>
      <c r="UNH34" s="37"/>
      <c r="UNI34" s="37"/>
      <c r="UNJ34" s="37"/>
      <c r="UNK34" s="37"/>
      <c r="UNL34" s="37"/>
      <c r="UNM34" s="37"/>
      <c r="UNN34" s="37"/>
      <c r="UNO34" s="37"/>
      <c r="UNP34" s="37"/>
      <c r="UNQ34" s="37"/>
      <c r="UNR34" s="37"/>
      <c r="UNS34" s="37"/>
      <c r="UNT34" s="37"/>
      <c r="UNU34" s="37"/>
      <c r="UNV34" s="37"/>
      <c r="UNW34" s="37"/>
      <c r="UNX34" s="37"/>
      <c r="UNY34" s="37"/>
      <c r="UNZ34" s="37"/>
      <c r="UOA34" s="37"/>
      <c r="UOB34" s="37"/>
      <c r="UOC34" s="37"/>
      <c r="UOD34" s="37"/>
      <c r="UOE34" s="37"/>
      <c r="UOF34" s="37"/>
      <c r="UOG34" s="37"/>
      <c r="UOH34" s="37"/>
      <c r="UOI34" s="37"/>
      <c r="UOJ34" s="37"/>
      <c r="UOK34" s="37"/>
      <c r="UOL34" s="37"/>
      <c r="UOM34" s="37"/>
      <c r="UON34" s="37"/>
      <c r="UOO34" s="37"/>
      <c r="UOP34" s="37"/>
      <c r="UOQ34" s="37"/>
      <c r="UOR34" s="37"/>
      <c r="UOS34" s="37"/>
      <c r="UOT34" s="37"/>
      <c r="UOU34" s="37"/>
      <c r="UOV34" s="37"/>
      <c r="UOW34" s="37"/>
      <c r="UOX34" s="37"/>
      <c r="UOY34" s="37"/>
      <c r="UOZ34" s="37"/>
      <c r="UPA34" s="37"/>
      <c r="UPB34" s="37"/>
      <c r="UPC34" s="37"/>
      <c r="UPD34" s="37"/>
      <c r="UPE34" s="37"/>
      <c r="UPF34" s="37"/>
      <c r="UPG34" s="37"/>
      <c r="UPH34" s="37"/>
      <c r="UPI34" s="37"/>
      <c r="UPJ34" s="37"/>
      <c r="UPK34" s="37"/>
      <c r="UPL34" s="37"/>
      <c r="UPM34" s="37"/>
      <c r="UPN34" s="37"/>
      <c r="UPO34" s="37"/>
      <c r="UPP34" s="37"/>
      <c r="UPQ34" s="37"/>
      <c r="UPR34" s="37"/>
      <c r="UPS34" s="37"/>
      <c r="UPT34" s="37"/>
      <c r="UPU34" s="37"/>
      <c r="UPV34" s="37"/>
      <c r="UPW34" s="37"/>
      <c r="UPX34" s="37"/>
      <c r="UPY34" s="37"/>
      <c r="UPZ34" s="37"/>
      <c r="UQA34" s="37"/>
      <c r="UQB34" s="37"/>
      <c r="UQC34" s="37"/>
      <c r="UQD34" s="37"/>
      <c r="UQE34" s="37"/>
      <c r="UQF34" s="37"/>
      <c r="UQG34" s="37"/>
      <c r="UQH34" s="37"/>
      <c r="UQI34" s="37"/>
      <c r="UQJ34" s="37"/>
      <c r="UQK34" s="37"/>
      <c r="UQL34" s="37"/>
      <c r="UQM34" s="37"/>
      <c r="UQN34" s="37"/>
      <c r="UQO34" s="37"/>
      <c r="UQP34" s="37"/>
      <c r="UQQ34" s="37"/>
      <c r="UQR34" s="37"/>
      <c r="UQS34" s="37"/>
      <c r="UQT34" s="37"/>
      <c r="UQU34" s="37"/>
      <c r="UQV34" s="37"/>
      <c r="UQW34" s="37"/>
      <c r="UQX34" s="37"/>
      <c r="UQY34" s="37"/>
      <c r="UQZ34" s="37"/>
      <c r="URA34" s="37"/>
      <c r="URB34" s="37"/>
      <c r="URC34" s="37"/>
      <c r="URD34" s="37"/>
      <c r="URE34" s="37"/>
      <c r="URF34" s="37"/>
      <c r="URG34" s="37"/>
      <c r="URH34" s="37"/>
      <c r="URI34" s="37"/>
      <c r="URJ34" s="37"/>
      <c r="URK34" s="37"/>
      <c r="URL34" s="37"/>
      <c r="URM34" s="37"/>
      <c r="URN34" s="37"/>
      <c r="URO34" s="37"/>
      <c r="URP34" s="37"/>
      <c r="URQ34" s="37"/>
      <c r="URR34" s="37"/>
      <c r="URS34" s="37"/>
      <c r="URT34" s="37"/>
      <c r="URU34" s="37"/>
      <c r="URV34" s="37"/>
      <c r="URW34" s="37"/>
      <c r="URX34" s="37"/>
      <c r="URY34" s="37"/>
      <c r="URZ34" s="37"/>
      <c r="USA34" s="37"/>
      <c r="USB34" s="37"/>
      <c r="USC34" s="37"/>
      <c r="USD34" s="37"/>
      <c r="USE34" s="37"/>
      <c r="USF34" s="37"/>
      <c r="USG34" s="37"/>
      <c r="USH34" s="37"/>
      <c r="USI34" s="37"/>
      <c r="USJ34" s="37"/>
      <c r="USK34" s="37"/>
      <c r="USL34" s="37"/>
      <c r="USM34" s="37"/>
      <c r="USN34" s="37"/>
      <c r="USO34" s="37"/>
      <c r="USP34" s="37"/>
      <c r="USQ34" s="37"/>
      <c r="USR34" s="37"/>
      <c r="USS34" s="37"/>
      <c r="UST34" s="37"/>
      <c r="USU34" s="37"/>
      <c r="USV34" s="37"/>
      <c r="USW34" s="37"/>
      <c r="USX34" s="37"/>
      <c r="USY34" s="37"/>
      <c r="USZ34" s="37"/>
      <c r="UTA34" s="37"/>
      <c r="UTB34" s="37"/>
      <c r="UTC34" s="37"/>
      <c r="UTD34" s="37"/>
      <c r="UTE34" s="37"/>
      <c r="UTF34" s="37"/>
      <c r="UTG34" s="37"/>
      <c r="UTH34" s="37"/>
      <c r="UTI34" s="37"/>
      <c r="UTJ34" s="37"/>
      <c r="UTK34" s="37"/>
      <c r="UTL34" s="37"/>
      <c r="UTM34" s="37"/>
      <c r="UTN34" s="37"/>
      <c r="UTO34" s="37"/>
      <c r="UTP34" s="37"/>
      <c r="UTQ34" s="37"/>
      <c r="UTR34" s="37"/>
      <c r="UTS34" s="37"/>
      <c r="UTT34" s="37"/>
      <c r="UTU34" s="37"/>
      <c r="UTV34" s="37"/>
      <c r="UTW34" s="37"/>
      <c r="UTX34" s="37"/>
      <c r="UTY34" s="37"/>
      <c r="UTZ34" s="37"/>
      <c r="UUA34" s="37"/>
      <c r="UUB34" s="37"/>
      <c r="UUC34" s="37"/>
      <c r="UUD34" s="37"/>
      <c r="UUE34" s="37"/>
      <c r="UUF34" s="37"/>
      <c r="UUG34" s="37"/>
      <c r="UUH34" s="37"/>
      <c r="UUI34" s="37"/>
      <c r="UUJ34" s="37"/>
      <c r="UUK34" s="37"/>
      <c r="UUL34" s="37"/>
      <c r="UUM34" s="37"/>
      <c r="UUN34" s="37"/>
      <c r="UUO34" s="37"/>
      <c r="UUP34" s="37"/>
      <c r="UUQ34" s="37"/>
      <c r="UUR34" s="37"/>
      <c r="UUS34" s="37"/>
      <c r="UUT34" s="37"/>
      <c r="UUU34" s="37"/>
      <c r="UUV34" s="37"/>
      <c r="UUW34" s="37"/>
      <c r="UUX34" s="37"/>
      <c r="UUY34" s="37"/>
      <c r="UUZ34" s="37"/>
      <c r="UVA34" s="37"/>
      <c r="UVB34" s="37"/>
      <c r="UVC34" s="37"/>
      <c r="UVD34" s="37"/>
      <c r="UVE34" s="37"/>
      <c r="UVF34" s="37"/>
      <c r="UVG34" s="37"/>
      <c r="UVH34" s="37"/>
      <c r="UVI34" s="37"/>
      <c r="UVJ34" s="37"/>
      <c r="UVK34" s="37"/>
      <c r="UVL34" s="37"/>
      <c r="UVM34" s="37"/>
      <c r="UVN34" s="37"/>
      <c r="UVO34" s="37"/>
      <c r="UVP34" s="37"/>
      <c r="UVQ34" s="37"/>
      <c r="UVR34" s="37"/>
      <c r="UVS34" s="37"/>
      <c r="UVT34" s="37"/>
      <c r="UVU34" s="37"/>
      <c r="UVV34" s="37"/>
      <c r="UVW34" s="37"/>
      <c r="UVX34" s="37"/>
      <c r="UVY34" s="37"/>
      <c r="UVZ34" s="37"/>
      <c r="UWA34" s="37"/>
      <c r="UWB34" s="37"/>
      <c r="UWC34" s="37"/>
      <c r="UWD34" s="37"/>
      <c r="UWE34" s="37"/>
      <c r="UWF34" s="37"/>
      <c r="UWG34" s="37"/>
      <c r="UWH34" s="37"/>
      <c r="UWI34" s="37"/>
      <c r="UWJ34" s="37"/>
      <c r="UWK34" s="37"/>
      <c r="UWL34" s="37"/>
      <c r="UWM34" s="37"/>
      <c r="UWN34" s="37"/>
      <c r="UWO34" s="37"/>
      <c r="UWP34" s="37"/>
      <c r="UWQ34" s="37"/>
      <c r="UWR34" s="37"/>
      <c r="UWS34" s="37"/>
      <c r="UWT34" s="37"/>
      <c r="UWU34" s="37"/>
      <c r="UWV34" s="37"/>
      <c r="UWW34" s="37"/>
      <c r="UWX34" s="37"/>
      <c r="UWY34" s="37"/>
      <c r="UWZ34" s="37"/>
      <c r="UXA34" s="37"/>
      <c r="UXB34" s="37"/>
      <c r="UXC34" s="37"/>
      <c r="UXD34" s="37"/>
      <c r="UXE34" s="37"/>
      <c r="UXF34" s="37"/>
      <c r="UXG34" s="37"/>
      <c r="UXH34" s="37"/>
      <c r="UXI34" s="37"/>
      <c r="UXJ34" s="37"/>
      <c r="UXK34" s="37"/>
      <c r="UXL34" s="37"/>
      <c r="UXM34" s="37"/>
      <c r="UXN34" s="37"/>
      <c r="UXO34" s="37"/>
      <c r="UXP34" s="37"/>
      <c r="UXQ34" s="37"/>
      <c r="UXR34" s="37"/>
      <c r="UXS34" s="37"/>
      <c r="UXT34" s="37"/>
      <c r="UXU34" s="37"/>
      <c r="UXV34" s="37"/>
      <c r="UXW34" s="37"/>
      <c r="UXX34" s="37"/>
      <c r="UXY34" s="37"/>
      <c r="UXZ34" s="37"/>
      <c r="UYA34" s="37"/>
      <c r="UYB34" s="37"/>
      <c r="UYC34" s="37"/>
      <c r="UYD34" s="37"/>
      <c r="UYE34" s="37"/>
      <c r="UYF34" s="37"/>
      <c r="UYG34" s="37"/>
      <c r="UYH34" s="37"/>
      <c r="UYI34" s="37"/>
      <c r="UYJ34" s="37"/>
      <c r="UYK34" s="37"/>
      <c r="UYL34" s="37"/>
      <c r="UYM34" s="37"/>
      <c r="UYN34" s="37"/>
      <c r="UYO34" s="37"/>
      <c r="UYP34" s="37"/>
      <c r="UYQ34" s="37"/>
      <c r="UYR34" s="37"/>
      <c r="UYS34" s="37"/>
      <c r="UYT34" s="37"/>
      <c r="UYU34" s="37"/>
      <c r="UYV34" s="37"/>
      <c r="UYW34" s="37"/>
      <c r="UYX34" s="37"/>
      <c r="UYY34" s="37"/>
      <c r="UYZ34" s="37"/>
      <c r="UZA34" s="37"/>
      <c r="UZB34" s="37"/>
      <c r="UZC34" s="37"/>
      <c r="UZD34" s="37"/>
      <c r="UZE34" s="37"/>
      <c r="UZF34" s="37"/>
      <c r="UZG34" s="37"/>
      <c r="UZH34" s="37"/>
      <c r="UZI34" s="37"/>
      <c r="UZJ34" s="37"/>
      <c r="UZK34" s="37"/>
      <c r="UZL34" s="37"/>
      <c r="UZM34" s="37"/>
      <c r="UZN34" s="37"/>
      <c r="UZO34" s="37"/>
      <c r="UZP34" s="37"/>
      <c r="UZQ34" s="37"/>
      <c r="UZR34" s="37"/>
      <c r="UZS34" s="37"/>
      <c r="UZT34" s="37"/>
      <c r="UZU34" s="37"/>
      <c r="UZV34" s="37"/>
      <c r="UZW34" s="37"/>
      <c r="UZX34" s="37"/>
      <c r="UZY34" s="37"/>
      <c r="UZZ34" s="37"/>
      <c r="VAA34" s="37"/>
      <c r="VAB34" s="37"/>
      <c r="VAC34" s="37"/>
      <c r="VAD34" s="37"/>
      <c r="VAE34" s="37"/>
      <c r="VAF34" s="37"/>
      <c r="VAG34" s="37"/>
      <c r="VAH34" s="37"/>
      <c r="VAI34" s="37"/>
      <c r="VAJ34" s="37"/>
      <c r="VAK34" s="37"/>
      <c r="VAL34" s="37"/>
      <c r="VAM34" s="37"/>
      <c r="VAN34" s="37"/>
      <c r="VAO34" s="37"/>
      <c r="VAP34" s="37"/>
      <c r="VAQ34" s="37"/>
      <c r="VAR34" s="37"/>
      <c r="VAS34" s="37"/>
      <c r="VAT34" s="37"/>
      <c r="VAU34" s="37"/>
      <c r="VAV34" s="37"/>
      <c r="VAW34" s="37"/>
      <c r="VAX34" s="37"/>
      <c r="VAY34" s="37"/>
      <c r="VAZ34" s="37"/>
      <c r="VBA34" s="37"/>
      <c r="VBB34" s="37"/>
      <c r="VBC34" s="37"/>
      <c r="VBD34" s="37"/>
      <c r="VBE34" s="37"/>
      <c r="VBF34" s="37"/>
      <c r="VBG34" s="37"/>
      <c r="VBH34" s="37"/>
      <c r="VBI34" s="37"/>
      <c r="VBJ34" s="37"/>
      <c r="VBK34" s="37"/>
      <c r="VBL34" s="37"/>
      <c r="VBM34" s="37"/>
      <c r="VBN34" s="37"/>
      <c r="VBO34" s="37"/>
      <c r="VBP34" s="37"/>
      <c r="VBQ34" s="37"/>
      <c r="VBR34" s="37"/>
      <c r="VBS34" s="37"/>
      <c r="VBT34" s="37"/>
      <c r="VBU34" s="37"/>
      <c r="VBV34" s="37"/>
      <c r="VBW34" s="37"/>
      <c r="VBX34" s="37"/>
      <c r="VBY34" s="37"/>
      <c r="VBZ34" s="37"/>
      <c r="VCA34" s="37"/>
      <c r="VCB34" s="37"/>
      <c r="VCC34" s="37"/>
      <c r="VCD34" s="37"/>
      <c r="VCE34" s="37"/>
      <c r="VCF34" s="37"/>
      <c r="VCG34" s="37"/>
      <c r="VCH34" s="37"/>
      <c r="VCI34" s="37"/>
      <c r="VCJ34" s="37"/>
      <c r="VCK34" s="37"/>
      <c r="VCL34" s="37"/>
      <c r="VCM34" s="37"/>
      <c r="VCN34" s="37"/>
      <c r="VCO34" s="37"/>
      <c r="VCP34" s="37"/>
      <c r="VCQ34" s="37"/>
      <c r="VCR34" s="37"/>
      <c r="VCS34" s="37"/>
      <c r="VCT34" s="37"/>
      <c r="VCU34" s="37"/>
      <c r="VCV34" s="37"/>
      <c r="VCW34" s="37"/>
      <c r="VCX34" s="37"/>
      <c r="VCY34" s="37"/>
      <c r="VCZ34" s="37"/>
      <c r="VDA34" s="37"/>
      <c r="VDB34" s="37"/>
      <c r="VDC34" s="37"/>
      <c r="VDD34" s="37"/>
      <c r="VDE34" s="37"/>
      <c r="VDF34" s="37"/>
      <c r="VDG34" s="37"/>
      <c r="VDH34" s="37"/>
      <c r="VDI34" s="37"/>
      <c r="VDJ34" s="37"/>
      <c r="VDK34" s="37"/>
      <c r="VDL34" s="37"/>
      <c r="VDM34" s="37"/>
      <c r="VDN34" s="37"/>
      <c r="VDO34" s="37"/>
      <c r="VDP34" s="37"/>
      <c r="VDQ34" s="37"/>
      <c r="VDR34" s="37"/>
      <c r="VDS34" s="37"/>
      <c r="VDT34" s="37"/>
      <c r="VDU34" s="37"/>
      <c r="VDV34" s="37"/>
      <c r="VDW34" s="37"/>
      <c r="VDX34" s="37"/>
      <c r="VDY34" s="37"/>
      <c r="VDZ34" s="37"/>
      <c r="VEA34" s="37"/>
      <c r="VEB34" s="37"/>
      <c r="VEC34" s="37"/>
      <c r="VED34" s="37"/>
      <c r="VEE34" s="37"/>
      <c r="VEF34" s="37"/>
      <c r="VEG34" s="37"/>
      <c r="VEH34" s="37"/>
      <c r="VEI34" s="37"/>
      <c r="VEJ34" s="37"/>
      <c r="VEK34" s="37"/>
      <c r="VEL34" s="37"/>
      <c r="VEM34" s="37"/>
      <c r="VEN34" s="37"/>
      <c r="VEO34" s="37"/>
      <c r="VEP34" s="37"/>
      <c r="VEQ34" s="37"/>
      <c r="VER34" s="37"/>
      <c r="VES34" s="37"/>
      <c r="VET34" s="37"/>
      <c r="VEU34" s="37"/>
      <c r="VEV34" s="37"/>
      <c r="VEW34" s="37"/>
      <c r="VEX34" s="37"/>
      <c r="VEY34" s="37"/>
      <c r="VEZ34" s="37"/>
      <c r="VFA34" s="37"/>
      <c r="VFB34" s="37"/>
      <c r="VFC34" s="37"/>
      <c r="VFD34" s="37"/>
      <c r="VFE34" s="37"/>
      <c r="VFF34" s="37"/>
      <c r="VFG34" s="37"/>
      <c r="VFH34" s="37"/>
      <c r="VFI34" s="37"/>
      <c r="VFJ34" s="37"/>
      <c r="VFK34" s="37"/>
      <c r="VFL34" s="37"/>
      <c r="VFM34" s="37"/>
      <c r="VFN34" s="37"/>
      <c r="VFO34" s="37"/>
      <c r="VFP34" s="37"/>
      <c r="VFQ34" s="37"/>
      <c r="VFR34" s="37"/>
      <c r="VFS34" s="37"/>
      <c r="VFT34" s="37"/>
      <c r="VFU34" s="37"/>
      <c r="VFV34" s="37"/>
      <c r="VFW34" s="37"/>
      <c r="VFX34" s="37"/>
      <c r="VFY34" s="37"/>
      <c r="VFZ34" s="37"/>
      <c r="VGA34" s="37"/>
      <c r="VGB34" s="37"/>
      <c r="VGC34" s="37"/>
      <c r="VGD34" s="37"/>
      <c r="VGE34" s="37"/>
      <c r="VGF34" s="37"/>
      <c r="VGG34" s="37"/>
      <c r="VGH34" s="37"/>
      <c r="VGI34" s="37"/>
      <c r="VGJ34" s="37"/>
      <c r="VGK34" s="37"/>
      <c r="VGL34" s="37"/>
      <c r="VGM34" s="37"/>
      <c r="VGN34" s="37"/>
      <c r="VGO34" s="37"/>
      <c r="VGP34" s="37"/>
      <c r="VGQ34" s="37"/>
      <c r="VGR34" s="37"/>
      <c r="VGS34" s="37"/>
      <c r="VGT34" s="37"/>
      <c r="VGU34" s="37"/>
      <c r="VGV34" s="37"/>
      <c r="VGW34" s="37"/>
      <c r="VGX34" s="37"/>
      <c r="VGY34" s="37"/>
      <c r="VGZ34" s="37"/>
      <c r="VHA34" s="37"/>
      <c r="VHB34" s="37"/>
      <c r="VHC34" s="37"/>
      <c r="VHD34" s="37"/>
      <c r="VHE34" s="37"/>
      <c r="VHF34" s="37"/>
      <c r="VHG34" s="37"/>
      <c r="VHH34" s="37"/>
      <c r="VHI34" s="37"/>
      <c r="VHJ34" s="37"/>
      <c r="VHK34" s="37"/>
      <c r="VHL34" s="37"/>
      <c r="VHM34" s="37"/>
      <c r="VHN34" s="37"/>
      <c r="VHO34" s="37"/>
      <c r="VHP34" s="37"/>
      <c r="VHQ34" s="37"/>
      <c r="VHR34" s="37"/>
      <c r="VHS34" s="37"/>
      <c r="VHT34" s="37"/>
      <c r="VHU34" s="37"/>
      <c r="VHV34" s="37"/>
      <c r="VHW34" s="37"/>
      <c r="VHX34" s="37"/>
      <c r="VHY34" s="37"/>
      <c r="VHZ34" s="37"/>
      <c r="VIA34" s="37"/>
      <c r="VIB34" s="37"/>
      <c r="VIC34" s="37"/>
      <c r="VID34" s="37"/>
      <c r="VIE34" s="37"/>
      <c r="VIF34" s="37"/>
      <c r="VIG34" s="37"/>
      <c r="VIH34" s="37"/>
      <c r="VII34" s="37"/>
      <c r="VIJ34" s="37"/>
      <c r="VIK34" s="37"/>
      <c r="VIL34" s="37"/>
      <c r="VIM34" s="37"/>
      <c r="VIN34" s="37"/>
      <c r="VIO34" s="37"/>
      <c r="VIP34" s="37"/>
      <c r="VIQ34" s="37"/>
      <c r="VIR34" s="37"/>
      <c r="VIS34" s="37"/>
      <c r="VIT34" s="37"/>
      <c r="VIU34" s="37"/>
      <c r="VIV34" s="37"/>
      <c r="VIW34" s="37"/>
      <c r="VIX34" s="37"/>
      <c r="VIY34" s="37"/>
      <c r="VIZ34" s="37"/>
      <c r="VJA34" s="37"/>
      <c r="VJB34" s="37"/>
      <c r="VJC34" s="37"/>
      <c r="VJD34" s="37"/>
      <c r="VJE34" s="37"/>
      <c r="VJF34" s="37"/>
      <c r="VJG34" s="37"/>
      <c r="VJH34" s="37"/>
      <c r="VJI34" s="37"/>
      <c r="VJJ34" s="37"/>
      <c r="VJK34" s="37"/>
      <c r="VJL34" s="37"/>
      <c r="VJM34" s="37"/>
      <c r="VJN34" s="37"/>
      <c r="VJO34" s="37"/>
      <c r="VJP34" s="37"/>
      <c r="VJQ34" s="37"/>
      <c r="VJR34" s="37"/>
      <c r="VJS34" s="37"/>
      <c r="VJT34" s="37"/>
      <c r="VJU34" s="37"/>
      <c r="VJV34" s="37"/>
      <c r="VJW34" s="37"/>
      <c r="VJX34" s="37"/>
      <c r="VJY34" s="37"/>
      <c r="VJZ34" s="37"/>
      <c r="VKA34" s="37"/>
      <c r="VKB34" s="37"/>
      <c r="VKC34" s="37"/>
      <c r="VKD34" s="37"/>
      <c r="VKE34" s="37"/>
      <c r="VKF34" s="37"/>
      <c r="VKG34" s="37"/>
      <c r="VKH34" s="37"/>
      <c r="VKI34" s="37"/>
      <c r="VKJ34" s="37"/>
      <c r="VKK34" s="37"/>
      <c r="VKL34" s="37"/>
      <c r="VKM34" s="37"/>
      <c r="VKN34" s="37"/>
      <c r="VKO34" s="37"/>
      <c r="VKP34" s="37"/>
      <c r="VKQ34" s="37"/>
      <c r="VKR34" s="37"/>
      <c r="VKS34" s="37"/>
      <c r="VKT34" s="37"/>
      <c r="VKU34" s="37"/>
      <c r="VKV34" s="37"/>
      <c r="VKW34" s="37"/>
      <c r="VKX34" s="37"/>
      <c r="VKY34" s="37"/>
      <c r="VKZ34" s="37"/>
      <c r="VLA34" s="37"/>
      <c r="VLB34" s="37"/>
      <c r="VLC34" s="37"/>
      <c r="VLD34" s="37"/>
      <c r="VLE34" s="37"/>
      <c r="VLF34" s="37"/>
      <c r="VLG34" s="37"/>
      <c r="VLH34" s="37"/>
      <c r="VLI34" s="37"/>
      <c r="VLJ34" s="37"/>
      <c r="VLK34" s="37"/>
      <c r="VLL34" s="37"/>
      <c r="VLM34" s="37"/>
      <c r="VLN34" s="37"/>
      <c r="VLO34" s="37"/>
      <c r="VLP34" s="37"/>
      <c r="VLQ34" s="37"/>
      <c r="VLR34" s="37"/>
      <c r="VLS34" s="37"/>
      <c r="VLT34" s="37"/>
      <c r="VLU34" s="37"/>
      <c r="VLV34" s="37"/>
      <c r="VLW34" s="37"/>
      <c r="VLX34" s="37"/>
      <c r="VLY34" s="37"/>
      <c r="VLZ34" s="37"/>
      <c r="VMA34" s="37"/>
      <c r="VMB34" s="37"/>
      <c r="VMC34" s="37"/>
      <c r="VMD34" s="37"/>
      <c r="VME34" s="37"/>
      <c r="VMF34" s="37"/>
      <c r="VMG34" s="37"/>
      <c r="VMH34" s="37"/>
      <c r="VMI34" s="37"/>
      <c r="VMJ34" s="37"/>
      <c r="VMK34" s="37"/>
      <c r="VML34" s="37"/>
      <c r="VMM34" s="37"/>
      <c r="VMN34" s="37"/>
      <c r="VMO34" s="37"/>
      <c r="VMP34" s="37"/>
      <c r="VMQ34" s="37"/>
      <c r="VMR34" s="37"/>
      <c r="VMS34" s="37"/>
      <c r="VMT34" s="37"/>
      <c r="VMU34" s="37"/>
      <c r="VMV34" s="37"/>
      <c r="VMW34" s="37"/>
      <c r="VMX34" s="37"/>
      <c r="VMY34" s="37"/>
      <c r="VMZ34" s="37"/>
      <c r="VNA34" s="37"/>
      <c r="VNB34" s="37"/>
      <c r="VNC34" s="37"/>
      <c r="VND34" s="37"/>
      <c r="VNE34" s="37"/>
      <c r="VNF34" s="37"/>
      <c r="VNG34" s="37"/>
      <c r="VNH34" s="37"/>
      <c r="VNI34" s="37"/>
      <c r="VNJ34" s="37"/>
      <c r="VNK34" s="37"/>
      <c r="VNL34" s="37"/>
      <c r="VNM34" s="37"/>
      <c r="VNN34" s="37"/>
      <c r="VNO34" s="37"/>
      <c r="VNP34" s="37"/>
      <c r="VNQ34" s="37"/>
      <c r="VNR34" s="37"/>
      <c r="VNS34" s="37"/>
      <c r="VNT34" s="37"/>
      <c r="VNU34" s="37"/>
      <c r="VNV34" s="37"/>
      <c r="VNW34" s="37"/>
      <c r="VNX34" s="37"/>
      <c r="VNY34" s="37"/>
      <c r="VNZ34" s="37"/>
      <c r="VOA34" s="37"/>
      <c r="VOB34" s="37"/>
      <c r="VOC34" s="37"/>
      <c r="VOD34" s="37"/>
      <c r="VOE34" s="37"/>
      <c r="VOF34" s="37"/>
      <c r="VOG34" s="37"/>
      <c r="VOH34" s="37"/>
      <c r="VOI34" s="37"/>
      <c r="VOJ34" s="37"/>
      <c r="VOK34" s="37"/>
      <c r="VOL34" s="37"/>
      <c r="VOM34" s="37"/>
      <c r="VON34" s="37"/>
      <c r="VOO34" s="37"/>
      <c r="VOP34" s="37"/>
      <c r="VOQ34" s="37"/>
      <c r="VOR34" s="37"/>
      <c r="VOS34" s="37"/>
      <c r="VOT34" s="37"/>
      <c r="VOU34" s="37"/>
      <c r="VOV34" s="37"/>
      <c r="VOW34" s="37"/>
      <c r="VOX34" s="37"/>
      <c r="VOY34" s="37"/>
      <c r="VOZ34" s="37"/>
      <c r="VPA34" s="37"/>
      <c r="VPB34" s="37"/>
      <c r="VPC34" s="37"/>
      <c r="VPD34" s="37"/>
      <c r="VPE34" s="37"/>
      <c r="VPF34" s="37"/>
      <c r="VPG34" s="37"/>
      <c r="VPH34" s="37"/>
      <c r="VPI34" s="37"/>
      <c r="VPJ34" s="37"/>
      <c r="VPK34" s="37"/>
      <c r="VPL34" s="37"/>
      <c r="VPM34" s="37"/>
      <c r="VPN34" s="37"/>
      <c r="VPO34" s="37"/>
      <c r="VPP34" s="37"/>
      <c r="VPQ34" s="37"/>
      <c r="VPR34" s="37"/>
      <c r="VPS34" s="37"/>
      <c r="VPT34" s="37"/>
      <c r="VPU34" s="37"/>
      <c r="VPV34" s="37"/>
      <c r="VPW34" s="37"/>
      <c r="VPX34" s="37"/>
      <c r="VPY34" s="37"/>
      <c r="VPZ34" s="37"/>
      <c r="VQA34" s="37"/>
      <c r="VQB34" s="37"/>
      <c r="VQC34" s="37"/>
      <c r="VQD34" s="37"/>
      <c r="VQE34" s="37"/>
      <c r="VQF34" s="37"/>
      <c r="VQG34" s="37"/>
      <c r="VQH34" s="37"/>
      <c r="VQI34" s="37"/>
      <c r="VQJ34" s="37"/>
      <c r="VQK34" s="37"/>
      <c r="VQL34" s="37"/>
      <c r="VQM34" s="37"/>
      <c r="VQN34" s="37"/>
      <c r="VQO34" s="37"/>
      <c r="VQP34" s="37"/>
      <c r="VQQ34" s="37"/>
      <c r="VQR34" s="37"/>
      <c r="VQS34" s="37"/>
      <c r="VQT34" s="37"/>
      <c r="VQU34" s="37"/>
      <c r="VQV34" s="37"/>
      <c r="VQW34" s="37"/>
      <c r="VQX34" s="37"/>
      <c r="VQY34" s="37"/>
      <c r="VQZ34" s="37"/>
      <c r="VRA34" s="37"/>
      <c r="VRB34" s="37"/>
      <c r="VRC34" s="37"/>
      <c r="VRD34" s="37"/>
      <c r="VRE34" s="37"/>
      <c r="VRF34" s="37"/>
      <c r="VRG34" s="37"/>
      <c r="VRH34" s="37"/>
      <c r="VRI34" s="37"/>
      <c r="VRJ34" s="37"/>
      <c r="VRK34" s="37"/>
      <c r="VRL34" s="37"/>
      <c r="VRM34" s="37"/>
      <c r="VRN34" s="37"/>
      <c r="VRO34" s="37"/>
      <c r="VRP34" s="37"/>
      <c r="VRQ34" s="37"/>
      <c r="VRR34" s="37"/>
      <c r="VRS34" s="37"/>
      <c r="VRT34" s="37"/>
      <c r="VRU34" s="37"/>
      <c r="VRV34" s="37"/>
      <c r="VRW34" s="37"/>
      <c r="VRX34" s="37"/>
      <c r="VRY34" s="37"/>
      <c r="VRZ34" s="37"/>
      <c r="VSA34" s="37"/>
      <c r="VSB34" s="37"/>
      <c r="VSC34" s="37"/>
      <c r="VSD34" s="37"/>
      <c r="VSE34" s="37"/>
      <c r="VSF34" s="37"/>
      <c r="VSG34" s="37"/>
      <c r="VSH34" s="37"/>
      <c r="VSI34" s="37"/>
      <c r="VSJ34" s="37"/>
      <c r="VSK34" s="37"/>
      <c r="VSL34" s="37"/>
      <c r="VSM34" s="37"/>
      <c r="VSN34" s="37"/>
      <c r="VSO34" s="37"/>
      <c r="VSP34" s="37"/>
      <c r="VSQ34" s="37"/>
      <c r="VSR34" s="37"/>
      <c r="VSS34" s="37"/>
      <c r="VST34" s="37"/>
      <c r="VSU34" s="37"/>
      <c r="VSV34" s="37"/>
      <c r="VSW34" s="37"/>
      <c r="VSX34" s="37"/>
      <c r="VSY34" s="37"/>
      <c r="VSZ34" s="37"/>
      <c r="VTA34" s="37"/>
      <c r="VTB34" s="37"/>
      <c r="VTC34" s="37"/>
      <c r="VTD34" s="37"/>
      <c r="VTE34" s="37"/>
      <c r="VTF34" s="37"/>
      <c r="VTG34" s="37"/>
      <c r="VTH34" s="37"/>
      <c r="VTI34" s="37"/>
      <c r="VTJ34" s="37"/>
      <c r="VTK34" s="37"/>
      <c r="VTL34" s="37"/>
      <c r="VTM34" s="37"/>
      <c r="VTN34" s="37"/>
      <c r="VTO34" s="37"/>
      <c r="VTP34" s="37"/>
      <c r="VTQ34" s="37"/>
      <c r="VTR34" s="37"/>
      <c r="VTS34" s="37"/>
      <c r="VTT34" s="37"/>
      <c r="VTU34" s="37"/>
      <c r="VTV34" s="37"/>
      <c r="VTW34" s="37"/>
      <c r="VTX34" s="37"/>
      <c r="VTY34" s="37"/>
      <c r="VTZ34" s="37"/>
      <c r="VUA34" s="37"/>
      <c r="VUB34" s="37"/>
      <c r="VUC34" s="37"/>
      <c r="VUD34" s="37"/>
      <c r="VUE34" s="37"/>
      <c r="VUF34" s="37"/>
      <c r="VUG34" s="37"/>
      <c r="VUH34" s="37"/>
      <c r="VUI34" s="37"/>
      <c r="VUJ34" s="37"/>
      <c r="VUK34" s="37"/>
      <c r="VUL34" s="37"/>
      <c r="VUM34" s="37"/>
      <c r="VUN34" s="37"/>
      <c r="VUO34" s="37"/>
      <c r="VUP34" s="37"/>
      <c r="VUQ34" s="37"/>
      <c r="VUR34" s="37"/>
      <c r="VUS34" s="37"/>
      <c r="VUT34" s="37"/>
      <c r="VUU34" s="37"/>
      <c r="VUV34" s="37"/>
      <c r="VUW34" s="37"/>
      <c r="VUX34" s="37"/>
      <c r="VUY34" s="37"/>
      <c r="VUZ34" s="37"/>
      <c r="VVA34" s="37"/>
      <c r="VVB34" s="37"/>
      <c r="VVC34" s="37"/>
      <c r="VVD34" s="37"/>
      <c r="VVE34" s="37"/>
      <c r="VVF34" s="37"/>
      <c r="VVG34" s="37"/>
      <c r="VVH34" s="37"/>
      <c r="VVI34" s="37"/>
      <c r="VVJ34" s="37"/>
      <c r="VVK34" s="37"/>
      <c r="VVL34" s="37"/>
      <c r="VVM34" s="37"/>
      <c r="VVN34" s="37"/>
      <c r="VVO34" s="37"/>
      <c r="VVP34" s="37"/>
      <c r="VVQ34" s="37"/>
      <c r="VVR34" s="37"/>
      <c r="VVS34" s="37"/>
      <c r="VVT34" s="37"/>
      <c r="VVU34" s="37"/>
      <c r="VVV34" s="37"/>
      <c r="VVW34" s="37"/>
      <c r="VVX34" s="37"/>
      <c r="VVY34" s="37"/>
      <c r="VVZ34" s="37"/>
      <c r="VWA34" s="37"/>
      <c r="VWB34" s="37"/>
      <c r="VWC34" s="37"/>
      <c r="VWD34" s="37"/>
      <c r="VWE34" s="37"/>
      <c r="VWF34" s="37"/>
      <c r="VWG34" s="37"/>
      <c r="VWH34" s="37"/>
      <c r="VWI34" s="37"/>
      <c r="VWJ34" s="37"/>
      <c r="VWK34" s="37"/>
      <c r="VWL34" s="37"/>
      <c r="VWM34" s="37"/>
      <c r="VWN34" s="37"/>
      <c r="VWO34" s="37"/>
      <c r="VWP34" s="37"/>
      <c r="VWQ34" s="37"/>
      <c r="VWR34" s="37"/>
      <c r="VWS34" s="37"/>
      <c r="VWT34" s="37"/>
      <c r="VWU34" s="37"/>
      <c r="VWV34" s="37"/>
      <c r="VWW34" s="37"/>
      <c r="VWX34" s="37"/>
      <c r="VWY34" s="37"/>
      <c r="VWZ34" s="37"/>
      <c r="VXA34" s="37"/>
      <c r="VXB34" s="37"/>
      <c r="VXC34" s="37"/>
      <c r="VXD34" s="37"/>
      <c r="VXE34" s="37"/>
      <c r="VXF34" s="37"/>
      <c r="VXG34" s="37"/>
      <c r="VXH34" s="37"/>
      <c r="VXI34" s="37"/>
      <c r="VXJ34" s="37"/>
      <c r="VXK34" s="37"/>
      <c r="VXL34" s="37"/>
      <c r="VXM34" s="37"/>
      <c r="VXN34" s="37"/>
      <c r="VXO34" s="37"/>
      <c r="VXP34" s="37"/>
      <c r="VXQ34" s="37"/>
      <c r="VXR34" s="37"/>
      <c r="VXS34" s="37"/>
      <c r="VXT34" s="37"/>
      <c r="VXU34" s="37"/>
      <c r="VXV34" s="37"/>
      <c r="VXW34" s="37"/>
      <c r="VXX34" s="37"/>
      <c r="VXY34" s="37"/>
      <c r="VXZ34" s="37"/>
      <c r="VYA34" s="37"/>
      <c r="VYB34" s="37"/>
      <c r="VYC34" s="37"/>
      <c r="VYD34" s="37"/>
      <c r="VYE34" s="37"/>
      <c r="VYF34" s="37"/>
      <c r="VYG34" s="37"/>
      <c r="VYH34" s="37"/>
      <c r="VYI34" s="37"/>
      <c r="VYJ34" s="37"/>
      <c r="VYK34" s="37"/>
      <c r="VYL34" s="37"/>
      <c r="VYM34" s="37"/>
      <c r="VYN34" s="37"/>
      <c r="VYO34" s="37"/>
      <c r="VYP34" s="37"/>
      <c r="VYQ34" s="37"/>
      <c r="VYR34" s="37"/>
      <c r="VYS34" s="37"/>
      <c r="VYT34" s="37"/>
      <c r="VYU34" s="37"/>
      <c r="VYV34" s="37"/>
      <c r="VYW34" s="37"/>
      <c r="VYX34" s="37"/>
      <c r="VYY34" s="37"/>
      <c r="VYZ34" s="37"/>
      <c r="VZA34" s="37"/>
      <c r="VZB34" s="37"/>
      <c r="VZC34" s="37"/>
      <c r="VZD34" s="37"/>
      <c r="VZE34" s="37"/>
      <c r="VZF34" s="37"/>
      <c r="VZG34" s="37"/>
      <c r="VZH34" s="37"/>
      <c r="VZI34" s="37"/>
      <c r="VZJ34" s="37"/>
      <c r="VZK34" s="37"/>
      <c r="VZL34" s="37"/>
      <c r="VZM34" s="37"/>
      <c r="VZN34" s="37"/>
      <c r="VZO34" s="37"/>
      <c r="VZP34" s="37"/>
      <c r="VZQ34" s="37"/>
      <c r="VZR34" s="37"/>
      <c r="VZS34" s="37"/>
      <c r="VZT34" s="37"/>
      <c r="VZU34" s="37"/>
      <c r="VZV34" s="37"/>
      <c r="VZW34" s="37"/>
      <c r="VZX34" s="37"/>
      <c r="VZY34" s="37"/>
      <c r="VZZ34" s="37"/>
      <c r="WAA34" s="37"/>
      <c r="WAB34" s="37"/>
      <c r="WAC34" s="37"/>
      <c r="WAD34" s="37"/>
      <c r="WAE34" s="37"/>
      <c r="WAF34" s="37"/>
      <c r="WAG34" s="37"/>
      <c r="WAH34" s="37"/>
      <c r="WAI34" s="37"/>
      <c r="WAJ34" s="37"/>
      <c r="WAK34" s="37"/>
      <c r="WAL34" s="37"/>
      <c r="WAM34" s="37"/>
      <c r="WAN34" s="37"/>
      <c r="WAO34" s="37"/>
      <c r="WAP34" s="37"/>
      <c r="WAQ34" s="37"/>
      <c r="WAR34" s="37"/>
      <c r="WAS34" s="37"/>
      <c r="WAT34" s="37"/>
      <c r="WAU34" s="37"/>
      <c r="WAV34" s="37"/>
      <c r="WAW34" s="37"/>
      <c r="WAX34" s="37"/>
      <c r="WAY34" s="37"/>
      <c r="WAZ34" s="37"/>
      <c r="WBA34" s="37"/>
      <c r="WBB34" s="37"/>
      <c r="WBC34" s="37"/>
      <c r="WBD34" s="37"/>
      <c r="WBE34" s="37"/>
      <c r="WBF34" s="37"/>
      <c r="WBG34" s="37"/>
      <c r="WBH34" s="37"/>
      <c r="WBI34" s="37"/>
      <c r="WBJ34" s="37"/>
      <c r="WBK34" s="37"/>
      <c r="WBL34" s="37"/>
      <c r="WBM34" s="37"/>
      <c r="WBN34" s="37"/>
      <c r="WBO34" s="37"/>
      <c r="WBP34" s="37"/>
      <c r="WBQ34" s="37"/>
      <c r="WBR34" s="37"/>
      <c r="WBS34" s="37"/>
      <c r="WBT34" s="37"/>
      <c r="WBU34" s="37"/>
      <c r="WBV34" s="37"/>
      <c r="WBW34" s="37"/>
      <c r="WBX34" s="37"/>
      <c r="WBY34" s="37"/>
      <c r="WBZ34" s="37"/>
      <c r="WCA34" s="37"/>
      <c r="WCB34" s="37"/>
      <c r="WCC34" s="37"/>
      <c r="WCD34" s="37"/>
      <c r="WCE34" s="37"/>
      <c r="WCF34" s="37"/>
      <c r="WCG34" s="37"/>
      <c r="WCH34" s="37"/>
      <c r="WCI34" s="37"/>
      <c r="WCJ34" s="37"/>
      <c r="WCK34" s="37"/>
      <c r="WCL34" s="37"/>
      <c r="WCM34" s="37"/>
      <c r="WCN34" s="37"/>
      <c r="WCO34" s="37"/>
      <c r="WCP34" s="37"/>
      <c r="WCQ34" s="37"/>
      <c r="WCR34" s="37"/>
      <c r="WCS34" s="37"/>
      <c r="WCT34" s="37"/>
      <c r="WCU34" s="37"/>
      <c r="WCV34" s="37"/>
      <c r="WCW34" s="37"/>
      <c r="WCX34" s="37"/>
      <c r="WCY34" s="37"/>
      <c r="WCZ34" s="37"/>
      <c r="WDA34" s="37"/>
      <c r="WDB34" s="37"/>
      <c r="WDC34" s="37"/>
      <c r="WDD34" s="37"/>
      <c r="WDE34" s="37"/>
      <c r="WDF34" s="37"/>
      <c r="WDG34" s="37"/>
      <c r="WDH34" s="37"/>
      <c r="WDI34" s="37"/>
      <c r="WDJ34" s="37"/>
      <c r="WDK34" s="37"/>
      <c r="WDL34" s="37"/>
      <c r="WDM34" s="37"/>
      <c r="WDN34" s="37"/>
      <c r="WDO34" s="37"/>
      <c r="WDP34" s="37"/>
      <c r="WDQ34" s="37"/>
      <c r="WDR34" s="37"/>
      <c r="WDS34" s="37"/>
      <c r="WDT34" s="37"/>
      <c r="WDU34" s="37"/>
      <c r="WDV34" s="37"/>
      <c r="WDW34" s="37"/>
      <c r="WDX34" s="37"/>
      <c r="WDY34" s="37"/>
      <c r="WDZ34" s="37"/>
      <c r="WEA34" s="37"/>
      <c r="WEB34" s="37"/>
      <c r="WEC34" s="37"/>
      <c r="WED34" s="37"/>
      <c r="WEE34" s="37"/>
      <c r="WEF34" s="37"/>
      <c r="WEG34" s="37"/>
      <c r="WEH34" s="37"/>
      <c r="WEI34" s="37"/>
      <c r="WEJ34" s="37"/>
      <c r="WEK34" s="37"/>
      <c r="WEL34" s="37"/>
      <c r="WEM34" s="37"/>
      <c r="WEN34" s="37"/>
      <c r="WEO34" s="37"/>
      <c r="WEP34" s="37"/>
      <c r="WEQ34" s="37"/>
      <c r="WER34" s="37"/>
      <c r="WES34" s="37"/>
      <c r="WET34" s="37"/>
      <c r="WEU34" s="37"/>
      <c r="WEV34" s="37"/>
      <c r="WEW34" s="37"/>
      <c r="WEX34" s="37"/>
      <c r="WEY34" s="37"/>
      <c r="WEZ34" s="37"/>
      <c r="WFA34" s="37"/>
      <c r="WFB34" s="37"/>
      <c r="WFC34" s="37"/>
      <c r="WFD34" s="37"/>
      <c r="WFE34" s="37"/>
      <c r="WFF34" s="37"/>
      <c r="WFG34" s="37"/>
      <c r="WFH34" s="37"/>
      <c r="WFI34" s="37"/>
      <c r="WFJ34" s="37"/>
      <c r="WFK34" s="37"/>
      <c r="WFL34" s="37"/>
      <c r="WFM34" s="37"/>
      <c r="WFN34" s="37"/>
      <c r="WFO34" s="37"/>
      <c r="WFP34" s="37"/>
      <c r="WFQ34" s="37"/>
      <c r="WFR34" s="37"/>
      <c r="WFS34" s="37"/>
      <c r="WFT34" s="37"/>
      <c r="WFU34" s="37"/>
      <c r="WFV34" s="37"/>
      <c r="WFW34" s="37"/>
      <c r="WFX34" s="37"/>
      <c r="WFY34" s="37"/>
      <c r="WFZ34" s="37"/>
      <c r="WGA34" s="37"/>
      <c r="WGB34" s="37"/>
      <c r="WGC34" s="37"/>
      <c r="WGD34" s="37"/>
      <c r="WGE34" s="37"/>
      <c r="WGF34" s="37"/>
      <c r="WGG34" s="37"/>
      <c r="WGH34" s="37"/>
      <c r="WGI34" s="37"/>
      <c r="WGJ34" s="37"/>
      <c r="WGK34" s="37"/>
      <c r="WGL34" s="37"/>
      <c r="WGM34" s="37"/>
      <c r="WGN34" s="37"/>
      <c r="WGO34" s="37"/>
      <c r="WGP34" s="37"/>
      <c r="WGQ34" s="37"/>
      <c r="WGR34" s="37"/>
      <c r="WGS34" s="37"/>
      <c r="WGT34" s="37"/>
      <c r="WGU34" s="37"/>
      <c r="WGV34" s="37"/>
      <c r="WGW34" s="37"/>
      <c r="WGX34" s="37"/>
      <c r="WGY34" s="37"/>
      <c r="WGZ34" s="37"/>
      <c r="WHA34" s="37"/>
      <c r="WHB34" s="37"/>
      <c r="WHC34" s="37"/>
      <c r="WHD34" s="37"/>
      <c r="WHE34" s="37"/>
      <c r="WHF34" s="37"/>
      <c r="WHG34" s="37"/>
      <c r="WHH34" s="37"/>
      <c r="WHI34" s="37"/>
      <c r="WHJ34" s="37"/>
      <c r="WHK34" s="37"/>
      <c r="WHL34" s="37"/>
      <c r="WHM34" s="37"/>
      <c r="WHN34" s="37"/>
      <c r="WHO34" s="37"/>
      <c r="WHP34" s="37"/>
      <c r="WHQ34" s="37"/>
      <c r="WHR34" s="37"/>
      <c r="WHS34" s="37"/>
      <c r="WHT34" s="37"/>
      <c r="WHU34" s="37"/>
      <c r="WHV34" s="37"/>
      <c r="WHW34" s="37"/>
      <c r="WHX34" s="37"/>
      <c r="WHY34" s="37"/>
      <c r="WHZ34" s="37"/>
      <c r="WIA34" s="37"/>
      <c r="WIB34" s="37"/>
      <c r="WIC34" s="37"/>
      <c r="WID34" s="37"/>
      <c r="WIE34" s="37"/>
      <c r="WIF34" s="37"/>
      <c r="WIG34" s="37"/>
      <c r="WIH34" s="37"/>
      <c r="WII34" s="37"/>
      <c r="WIJ34" s="37"/>
      <c r="WIK34" s="37"/>
      <c r="WIL34" s="37"/>
      <c r="WIM34" s="37"/>
      <c r="WIN34" s="37"/>
      <c r="WIO34" s="37"/>
      <c r="WIP34" s="37"/>
      <c r="WIQ34" s="37"/>
      <c r="WIR34" s="37"/>
      <c r="WIS34" s="37"/>
      <c r="WIT34" s="37"/>
      <c r="WIU34" s="37"/>
      <c r="WIV34" s="37"/>
      <c r="WIW34" s="37"/>
      <c r="WIX34" s="37"/>
      <c r="WIY34" s="37"/>
      <c r="WIZ34" s="37"/>
      <c r="WJA34" s="37"/>
      <c r="WJB34" s="37"/>
      <c r="WJC34" s="37"/>
      <c r="WJD34" s="37"/>
      <c r="WJE34" s="37"/>
      <c r="WJF34" s="37"/>
      <c r="WJG34" s="37"/>
      <c r="WJH34" s="37"/>
      <c r="WJI34" s="37"/>
      <c r="WJJ34" s="37"/>
      <c r="WJK34" s="37"/>
      <c r="WJL34" s="37"/>
      <c r="WJM34" s="37"/>
      <c r="WJN34" s="37"/>
      <c r="WJO34" s="37"/>
      <c r="WJP34" s="37"/>
      <c r="WJQ34" s="37"/>
      <c r="WJR34" s="37"/>
      <c r="WJS34" s="37"/>
      <c r="WJT34" s="37"/>
      <c r="WJU34" s="37"/>
      <c r="WJV34" s="37"/>
      <c r="WJW34" s="37"/>
      <c r="WJX34" s="37"/>
      <c r="WJY34" s="37"/>
      <c r="WJZ34" s="37"/>
      <c r="WKA34" s="37"/>
      <c r="WKB34" s="37"/>
      <c r="WKC34" s="37"/>
      <c r="WKD34" s="37"/>
      <c r="WKE34" s="37"/>
      <c r="WKF34" s="37"/>
      <c r="WKG34" s="37"/>
      <c r="WKH34" s="37"/>
      <c r="WKI34" s="37"/>
      <c r="WKJ34" s="37"/>
      <c r="WKK34" s="37"/>
      <c r="WKL34" s="37"/>
      <c r="WKM34" s="37"/>
      <c r="WKN34" s="37"/>
      <c r="WKO34" s="37"/>
      <c r="WKP34" s="37"/>
      <c r="WKQ34" s="37"/>
      <c r="WKR34" s="37"/>
      <c r="WKS34" s="37"/>
      <c r="WKT34" s="37"/>
      <c r="WKU34" s="37"/>
      <c r="WKV34" s="37"/>
      <c r="WKW34" s="37"/>
      <c r="WKX34" s="37"/>
      <c r="WKY34" s="37"/>
      <c r="WKZ34" s="37"/>
      <c r="WLA34" s="37"/>
      <c r="WLB34" s="37"/>
      <c r="WLC34" s="37"/>
      <c r="WLD34" s="37"/>
      <c r="WLE34" s="37"/>
      <c r="WLF34" s="37"/>
      <c r="WLG34" s="37"/>
      <c r="WLH34" s="37"/>
      <c r="WLI34" s="37"/>
      <c r="WLJ34" s="37"/>
      <c r="WLK34" s="37"/>
      <c r="WLL34" s="37"/>
      <c r="WLM34" s="37"/>
      <c r="WLN34" s="37"/>
      <c r="WLO34" s="37"/>
      <c r="WLP34" s="37"/>
      <c r="WLQ34" s="37"/>
      <c r="WLR34" s="37"/>
      <c r="WLS34" s="37"/>
      <c r="WLT34" s="37"/>
      <c r="WLU34" s="37"/>
      <c r="WLV34" s="37"/>
      <c r="WLW34" s="37"/>
      <c r="WLX34" s="37"/>
      <c r="WLY34" s="37"/>
      <c r="WLZ34" s="37"/>
      <c r="WMA34" s="37"/>
      <c r="WMB34" s="37"/>
      <c r="WMC34" s="37"/>
      <c r="WMD34" s="37"/>
      <c r="WME34" s="37"/>
      <c r="WMF34" s="37"/>
      <c r="WMG34" s="37"/>
      <c r="WMH34" s="37"/>
      <c r="WMI34" s="37"/>
      <c r="WMJ34" s="37"/>
      <c r="WMK34" s="37"/>
      <c r="WML34" s="37"/>
      <c r="WMM34" s="37"/>
      <c r="WMN34" s="37"/>
      <c r="WMO34" s="37"/>
      <c r="WMP34" s="37"/>
      <c r="WMQ34" s="37"/>
      <c r="WMR34" s="37"/>
      <c r="WMS34" s="37"/>
      <c r="WMT34" s="37"/>
      <c r="WMU34" s="37"/>
      <c r="WMV34" s="37"/>
      <c r="WMW34" s="37"/>
      <c r="WMX34" s="37"/>
      <c r="WMY34" s="37"/>
      <c r="WMZ34" s="37"/>
      <c r="WNA34" s="37"/>
      <c r="WNB34" s="37"/>
      <c r="WNC34" s="37"/>
      <c r="WND34" s="37"/>
      <c r="WNE34" s="37"/>
      <c r="WNF34" s="37"/>
      <c r="WNG34" s="37"/>
      <c r="WNH34" s="37"/>
      <c r="WNI34" s="37"/>
      <c r="WNJ34" s="37"/>
      <c r="WNK34" s="37"/>
      <c r="WNL34" s="37"/>
      <c r="WNM34" s="37"/>
      <c r="WNN34" s="37"/>
      <c r="WNO34" s="37"/>
      <c r="WNP34" s="37"/>
      <c r="WNQ34" s="37"/>
      <c r="WNR34" s="37"/>
      <c r="WNS34" s="37"/>
      <c r="WNT34" s="37"/>
      <c r="WNU34" s="37"/>
      <c r="WNV34" s="37"/>
      <c r="WNW34" s="37"/>
      <c r="WNX34" s="37"/>
      <c r="WNY34" s="37"/>
      <c r="WNZ34" s="37"/>
      <c r="WOA34" s="37"/>
      <c r="WOB34" s="37"/>
      <c r="WOC34" s="37"/>
      <c r="WOD34" s="37"/>
      <c r="WOE34" s="37"/>
      <c r="WOF34" s="37"/>
      <c r="WOG34" s="37"/>
      <c r="WOH34" s="37"/>
      <c r="WOI34" s="37"/>
      <c r="WOJ34" s="37"/>
      <c r="WOK34" s="37"/>
      <c r="WOL34" s="37"/>
      <c r="WOM34" s="37"/>
      <c r="WON34" s="37"/>
      <c r="WOO34" s="37"/>
      <c r="WOP34" s="37"/>
      <c r="WOQ34" s="37"/>
      <c r="WOR34" s="37"/>
      <c r="WOS34" s="37"/>
      <c r="WOT34" s="37"/>
      <c r="WOU34" s="37"/>
      <c r="WOV34" s="37"/>
      <c r="WOW34" s="37"/>
      <c r="WOX34" s="37"/>
      <c r="WOY34" s="37"/>
      <c r="WOZ34" s="37"/>
      <c r="WPA34" s="37"/>
      <c r="WPB34" s="37"/>
      <c r="WPC34" s="37"/>
      <c r="WPD34" s="37"/>
      <c r="WPE34" s="37"/>
      <c r="WPF34" s="37"/>
      <c r="WPG34" s="37"/>
      <c r="WPH34" s="37"/>
      <c r="WPI34" s="37"/>
      <c r="WPJ34" s="37"/>
      <c r="WPK34" s="37"/>
      <c r="WPL34" s="37"/>
      <c r="WPM34" s="37"/>
      <c r="WPN34" s="37"/>
      <c r="WPO34" s="37"/>
      <c r="WPP34" s="37"/>
      <c r="WPQ34" s="37"/>
      <c r="WPR34" s="37"/>
      <c r="WPS34" s="37"/>
      <c r="WPT34" s="37"/>
      <c r="WPU34" s="37"/>
      <c r="WPV34" s="37"/>
      <c r="WPW34" s="37"/>
      <c r="WPX34" s="37"/>
      <c r="WPY34" s="37"/>
      <c r="WPZ34" s="37"/>
      <c r="WQA34" s="37"/>
      <c r="WQB34" s="37"/>
      <c r="WQC34" s="37"/>
      <c r="WQD34" s="37"/>
      <c r="WQE34" s="37"/>
      <c r="WQF34" s="37"/>
      <c r="WQG34" s="37"/>
      <c r="WQH34" s="37"/>
      <c r="WQI34" s="37"/>
      <c r="WQJ34" s="37"/>
      <c r="WQK34" s="37"/>
      <c r="WQL34" s="37"/>
      <c r="WQM34" s="37"/>
      <c r="WQN34" s="37"/>
      <c r="WQO34" s="37"/>
      <c r="WQP34" s="37"/>
      <c r="WQQ34" s="37"/>
      <c r="WQR34" s="37"/>
      <c r="WQS34" s="37"/>
      <c r="WQT34" s="37"/>
      <c r="WQU34" s="37"/>
      <c r="WQV34" s="37"/>
      <c r="WQW34" s="37"/>
      <c r="WQX34" s="37"/>
      <c r="WQY34" s="37"/>
      <c r="WQZ34" s="37"/>
      <c r="WRA34" s="37"/>
      <c r="WRB34" s="37"/>
      <c r="WRC34" s="37"/>
      <c r="WRD34" s="37"/>
      <c r="WRE34" s="37"/>
      <c r="WRF34" s="37"/>
      <c r="WRG34" s="37"/>
      <c r="WRH34" s="37"/>
      <c r="WRI34" s="37"/>
      <c r="WRJ34" s="37"/>
      <c r="WRK34" s="37"/>
      <c r="WRL34" s="37"/>
      <c r="WRM34" s="37"/>
      <c r="WRN34" s="37"/>
      <c r="WRO34" s="37"/>
      <c r="WRP34" s="37"/>
      <c r="WRQ34" s="37"/>
      <c r="WRR34" s="37"/>
      <c r="WRS34" s="37"/>
      <c r="WRT34" s="37"/>
      <c r="WRU34" s="37"/>
      <c r="WRV34" s="37"/>
      <c r="WRW34" s="37"/>
      <c r="WRX34" s="37"/>
      <c r="WRY34" s="37"/>
      <c r="WRZ34" s="37"/>
      <c r="WSA34" s="37"/>
      <c r="WSB34" s="37"/>
      <c r="WSC34" s="37"/>
      <c r="WSD34" s="37"/>
      <c r="WSE34" s="37"/>
      <c r="WSF34" s="37"/>
      <c r="WSG34" s="37"/>
      <c r="WSH34" s="37"/>
      <c r="WSI34" s="37"/>
      <c r="WSJ34" s="37"/>
      <c r="WSK34" s="37"/>
      <c r="WSL34" s="37"/>
      <c r="WSM34" s="37"/>
      <c r="WSN34" s="37"/>
      <c r="WSO34" s="37"/>
      <c r="WSP34" s="37"/>
      <c r="WSQ34" s="37"/>
      <c r="WSR34" s="37"/>
      <c r="WSS34" s="37"/>
      <c r="WST34" s="37"/>
      <c r="WSU34" s="37"/>
      <c r="WSV34" s="37"/>
      <c r="WSW34" s="37"/>
      <c r="WSX34" s="37"/>
      <c r="WSY34" s="37"/>
      <c r="WSZ34" s="37"/>
      <c r="WTA34" s="37"/>
      <c r="WTB34" s="37"/>
      <c r="WTC34" s="37"/>
      <c r="WTD34" s="37"/>
      <c r="WTE34" s="37"/>
      <c r="WTF34" s="37"/>
      <c r="WTG34" s="37"/>
      <c r="WTH34" s="37"/>
      <c r="WTI34" s="37"/>
      <c r="WTJ34" s="37"/>
      <c r="WTK34" s="37"/>
      <c r="WTL34" s="37"/>
      <c r="WTM34" s="37"/>
      <c r="WTN34" s="37"/>
      <c r="WTO34" s="37"/>
      <c r="WTP34" s="37"/>
      <c r="WTQ34" s="37"/>
      <c r="WTR34" s="37"/>
      <c r="WTS34" s="37"/>
      <c r="WTT34" s="37"/>
      <c r="WTU34" s="37"/>
      <c r="WTV34" s="37"/>
      <c r="WTW34" s="37"/>
      <c r="WTX34" s="37"/>
      <c r="WTY34" s="37"/>
      <c r="WTZ34" s="37"/>
      <c r="WUA34" s="37"/>
      <c r="WUB34" s="37"/>
      <c r="WUC34" s="37"/>
      <c r="WUD34" s="37"/>
      <c r="WUE34" s="37"/>
      <c r="WUF34" s="37"/>
      <c r="WUG34" s="37"/>
      <c r="WUH34" s="37"/>
      <c r="WUI34" s="37"/>
      <c r="WUJ34" s="37"/>
      <c r="WUK34" s="37"/>
      <c r="WUL34" s="37"/>
      <c r="WUM34" s="37"/>
      <c r="WUN34" s="37"/>
      <c r="WUO34" s="37"/>
      <c r="WUP34" s="37"/>
      <c r="WUQ34" s="37"/>
      <c r="WUR34" s="37"/>
      <c r="WUS34" s="37"/>
      <c r="WUT34" s="37"/>
      <c r="WUU34" s="37"/>
      <c r="WUV34" s="37"/>
      <c r="WUW34" s="37"/>
      <c r="WUX34" s="37"/>
      <c r="WUY34" s="37"/>
      <c r="WUZ34" s="37"/>
      <c r="WVA34" s="37"/>
      <c r="WVB34" s="37"/>
      <c r="WVC34" s="37"/>
      <c r="WVD34" s="37"/>
      <c r="WVE34" s="37"/>
      <c r="WVF34" s="37"/>
      <c r="WVG34" s="37"/>
      <c r="WVH34" s="37"/>
      <c r="WVI34" s="37"/>
      <c r="WVJ34" s="37"/>
      <c r="WVK34" s="37"/>
      <c r="WVL34" s="37"/>
      <c r="WVM34" s="37"/>
      <c r="WVN34" s="37"/>
      <c r="WVO34" s="37"/>
      <c r="WVP34" s="37"/>
      <c r="WVQ34" s="37"/>
      <c r="WVR34" s="37"/>
      <c r="WVS34" s="37"/>
      <c r="WVT34" s="37"/>
      <c r="WVU34" s="37"/>
      <c r="WVV34" s="37"/>
      <c r="WVW34" s="37"/>
      <c r="WVX34" s="37"/>
      <c r="WVY34" s="37"/>
      <c r="WVZ34" s="37"/>
      <c r="WWA34" s="37"/>
      <c r="WWB34" s="37"/>
      <c r="WWC34" s="37"/>
      <c r="WWD34" s="37"/>
      <c r="WWE34" s="37"/>
      <c r="WWF34" s="37"/>
      <c r="WWG34" s="37"/>
      <c r="WWH34" s="37"/>
      <c r="WWI34" s="37"/>
      <c r="WWJ34" s="37"/>
      <c r="WWK34" s="37"/>
      <c r="WWL34" s="37"/>
      <c r="WWM34" s="37"/>
      <c r="WWN34" s="37"/>
      <c r="WWO34" s="37"/>
      <c r="WWP34" s="37"/>
      <c r="WWQ34" s="37"/>
      <c r="WWR34" s="37"/>
      <c r="WWS34" s="37"/>
      <c r="WWT34" s="37"/>
      <c r="WWU34" s="37"/>
      <c r="WWV34" s="37"/>
      <c r="WWW34" s="37"/>
      <c r="WWX34" s="37"/>
      <c r="WWY34" s="37"/>
      <c r="WWZ34" s="37"/>
      <c r="WXA34" s="37"/>
      <c r="WXB34" s="37"/>
      <c r="WXC34" s="37"/>
      <c r="WXD34" s="37"/>
      <c r="WXE34" s="37"/>
      <c r="WXF34" s="37"/>
      <c r="WXG34" s="37"/>
      <c r="WXH34" s="37"/>
      <c r="WXI34" s="37"/>
      <c r="WXJ34" s="37"/>
      <c r="WXK34" s="37"/>
      <c r="WXL34" s="37"/>
      <c r="WXM34" s="37"/>
      <c r="WXN34" s="37"/>
      <c r="WXO34" s="37"/>
      <c r="WXP34" s="37"/>
      <c r="WXQ34" s="37"/>
      <c r="WXR34" s="37"/>
      <c r="WXS34" s="37"/>
      <c r="WXT34" s="37"/>
      <c r="WXU34" s="37"/>
      <c r="WXV34" s="37"/>
      <c r="WXW34" s="37"/>
      <c r="WXX34" s="37"/>
      <c r="WXY34" s="37"/>
      <c r="WXZ34" s="37"/>
      <c r="WYA34" s="37"/>
      <c r="WYB34" s="37"/>
      <c r="WYC34" s="37"/>
      <c r="WYD34" s="37"/>
      <c r="WYE34" s="37"/>
      <c r="WYF34" s="37"/>
      <c r="WYG34" s="37"/>
      <c r="WYH34" s="37"/>
      <c r="WYI34" s="37"/>
      <c r="WYJ34" s="37"/>
      <c r="WYK34" s="37"/>
      <c r="WYL34" s="37"/>
      <c r="WYM34" s="37"/>
      <c r="WYN34" s="37"/>
      <c r="WYO34" s="37"/>
      <c r="WYP34" s="37"/>
      <c r="WYQ34" s="37"/>
      <c r="WYR34" s="37"/>
      <c r="WYS34" s="37"/>
      <c r="WYT34" s="37"/>
      <c r="WYU34" s="37"/>
      <c r="WYV34" s="37"/>
      <c r="WYW34" s="37"/>
      <c r="WYX34" s="37"/>
      <c r="WYY34" s="37"/>
      <c r="WYZ34" s="37"/>
      <c r="WZA34" s="37"/>
      <c r="WZB34" s="37"/>
      <c r="WZC34" s="37"/>
      <c r="WZD34" s="37"/>
      <c r="WZE34" s="37"/>
      <c r="WZF34" s="37"/>
      <c r="WZG34" s="37"/>
      <c r="WZH34" s="37"/>
      <c r="WZI34" s="37"/>
      <c r="WZJ34" s="37"/>
      <c r="WZK34" s="37"/>
      <c r="WZL34" s="37"/>
      <c r="WZM34" s="37"/>
      <c r="WZN34" s="37"/>
      <c r="WZO34" s="37"/>
      <c r="WZP34" s="37"/>
      <c r="WZQ34" s="37"/>
      <c r="WZR34" s="37"/>
      <c r="WZS34" s="37"/>
      <c r="WZT34" s="37"/>
      <c r="WZU34" s="37"/>
      <c r="WZV34" s="37"/>
      <c r="WZW34" s="37"/>
      <c r="WZX34" s="37"/>
      <c r="WZY34" s="37"/>
      <c r="WZZ34" s="37"/>
      <c r="XAA34" s="37"/>
      <c r="XAB34" s="37"/>
      <c r="XAC34" s="37"/>
      <c r="XAD34" s="37"/>
      <c r="XAE34" s="37"/>
      <c r="XAF34" s="37"/>
      <c r="XAG34" s="37"/>
      <c r="XAH34" s="37"/>
      <c r="XAI34" s="37"/>
      <c r="XAJ34" s="37"/>
      <c r="XAK34" s="37"/>
      <c r="XAL34" s="37"/>
      <c r="XAM34" s="37"/>
      <c r="XAN34" s="37"/>
      <c r="XAO34" s="37"/>
      <c r="XAP34" s="37"/>
      <c r="XAQ34" s="37"/>
      <c r="XAR34" s="37"/>
      <c r="XAS34" s="37"/>
      <c r="XAT34" s="37"/>
      <c r="XAU34" s="37"/>
      <c r="XAV34" s="37"/>
      <c r="XAW34" s="37"/>
      <c r="XAX34" s="37"/>
      <c r="XAY34" s="37"/>
      <c r="XAZ34" s="37"/>
      <c r="XBA34" s="37"/>
      <c r="XBB34" s="37"/>
      <c r="XBC34" s="37"/>
      <c r="XBD34" s="37"/>
      <c r="XBE34" s="37"/>
      <c r="XBF34" s="37"/>
      <c r="XBG34" s="37"/>
      <c r="XBH34" s="37"/>
      <c r="XBI34" s="37"/>
      <c r="XBJ34" s="37"/>
      <c r="XBK34" s="37"/>
      <c r="XBL34" s="37"/>
      <c r="XBM34" s="37"/>
      <c r="XBN34" s="37"/>
      <c r="XBO34" s="37"/>
      <c r="XBP34" s="37"/>
      <c r="XBQ34" s="37"/>
      <c r="XBR34" s="37"/>
      <c r="XBS34" s="37"/>
      <c r="XBT34" s="37"/>
      <c r="XBU34" s="37"/>
      <c r="XBV34" s="37"/>
      <c r="XBW34" s="37"/>
      <c r="XBX34" s="37"/>
      <c r="XBY34" s="37"/>
      <c r="XBZ34" s="37"/>
      <c r="XCA34" s="37"/>
      <c r="XCB34" s="37"/>
      <c r="XCC34" s="37"/>
      <c r="XCD34" s="37"/>
      <c r="XCE34" s="37"/>
      <c r="XCF34" s="37"/>
      <c r="XCG34" s="37"/>
      <c r="XCH34" s="37"/>
      <c r="XCI34" s="37"/>
      <c r="XCJ34" s="37"/>
      <c r="XCK34" s="37"/>
      <c r="XCL34" s="37"/>
      <c r="XCM34" s="37"/>
      <c r="XCN34" s="37"/>
      <c r="XCO34" s="37"/>
      <c r="XCP34" s="37"/>
      <c r="XCQ34" s="37"/>
      <c r="XCR34" s="37"/>
      <c r="XCS34" s="37"/>
      <c r="XCT34" s="37"/>
      <c r="XCU34" s="37"/>
      <c r="XCV34" s="37"/>
      <c r="XCW34" s="37"/>
      <c r="XCX34" s="37"/>
      <c r="XCY34" s="37"/>
      <c r="XCZ34" s="37"/>
      <c r="XDA34" s="37"/>
      <c r="XDB34" s="37"/>
      <c r="XDC34" s="37"/>
      <c r="XDD34" s="37"/>
      <c r="XDE34" s="37"/>
      <c r="XDF34" s="37"/>
      <c r="XDG34" s="37"/>
      <c r="XDH34" s="37"/>
      <c r="XDI34" s="37"/>
      <c r="XDJ34" s="37"/>
      <c r="XDK34" s="37"/>
      <c r="XDL34" s="37"/>
      <c r="XDM34" s="37"/>
      <c r="XDN34" s="37"/>
      <c r="XDO34" s="37"/>
      <c r="XDP34" s="37"/>
      <c r="XDQ34" s="37"/>
      <c r="XDR34" s="37"/>
      <c r="XDS34" s="37"/>
      <c r="XDT34" s="37"/>
      <c r="XDU34" s="37"/>
      <c r="XDV34" s="37"/>
      <c r="XDW34" s="37"/>
      <c r="XDX34" s="37"/>
      <c r="XDY34" s="37"/>
      <c r="XDZ34" s="37"/>
      <c r="XEA34" s="37"/>
      <c r="XEB34" s="37"/>
      <c r="XEC34" s="37"/>
      <c r="XED34" s="37"/>
      <c r="XEE34" s="37"/>
      <c r="XEF34" s="37"/>
      <c r="XEG34" s="37"/>
      <c r="XEH34" s="37"/>
      <c r="XEI34" s="37"/>
      <c r="XEJ34" s="37"/>
      <c r="XEK34" s="37"/>
      <c r="XEL34" s="37"/>
      <c r="XEM34" s="37"/>
      <c r="XEN34" s="37"/>
      <c r="XEO34" s="37"/>
      <c r="XEP34" s="37"/>
      <c r="XEQ34" s="37"/>
      <c r="XER34" s="37"/>
      <c r="XES34" s="37"/>
      <c r="XET34" s="37"/>
      <c r="XEU34" s="37"/>
      <c r="XEV34" s="37"/>
      <c r="XEW34" s="37"/>
      <c r="XEX34" s="37"/>
      <c r="XEY34" s="37"/>
      <c r="XEZ34" s="37"/>
      <c r="XFA34" s="37"/>
      <c r="XFB34" s="37"/>
      <c r="XFC34" s="37"/>
      <c r="XFD34" s="37"/>
    </row>
    <row r="35" spans="2:16384" ht="21" thickTop="1">
      <c r="B35" s="78"/>
    </row>
    <row r="36" spans="2:16384">
      <c r="B36" s="77" t="s">
        <v>199</v>
      </c>
      <c r="C36" s="330" t="s">
        <v>196</v>
      </c>
      <c r="D36" s="330"/>
      <c r="E36" s="330"/>
      <c r="F36" s="330"/>
      <c r="G36" s="330"/>
      <c r="H36" s="330"/>
      <c r="I36" s="330"/>
      <c r="J36" s="330"/>
      <c r="K36" s="330"/>
      <c r="L36" s="330"/>
    </row>
    <row r="37" spans="2:16384">
      <c r="B37" s="85" t="s">
        <v>202</v>
      </c>
      <c r="C37" s="76">
        <f t="shared" ref="C37:L37" si="0">IF(C5&lt;&gt;"",C5,"")</f>
        <v>45291</v>
      </c>
      <c r="D37" s="76">
        <f t="shared" si="0"/>
        <v>44926</v>
      </c>
      <c r="E37" s="76">
        <f t="shared" si="0"/>
        <v>44561</v>
      </c>
      <c r="F37" s="76">
        <f t="shared" si="0"/>
        <v>44196</v>
      </c>
      <c r="G37" s="76">
        <f t="shared" si="0"/>
        <v>43830</v>
      </c>
      <c r="H37" s="76" t="str">
        <f t="shared" si="0"/>
        <v/>
      </c>
      <c r="I37" s="76" t="str">
        <f t="shared" si="0"/>
        <v/>
      </c>
      <c r="J37" s="76" t="str">
        <f t="shared" si="0"/>
        <v/>
      </c>
      <c r="K37" s="76" t="str">
        <f t="shared" si="0"/>
        <v/>
      </c>
      <c r="L37" s="76" t="str">
        <f t="shared" si="0"/>
        <v/>
      </c>
    </row>
    <row r="38" spans="2:16384">
      <c r="B38" t="s">
        <v>40</v>
      </c>
      <c r="C38" s="80">
        <f t="shared" ref="C38:L38" si="1">IF(C8&lt;&gt;"",C8,"")</f>
        <v>13626</v>
      </c>
      <c r="D38" s="80">
        <f t="shared" si="1"/>
        <v>12839</v>
      </c>
      <c r="E38" s="80">
        <f t="shared" si="1"/>
        <v>5757</v>
      </c>
      <c r="F38" s="80">
        <f t="shared" si="1"/>
        <v>4101</v>
      </c>
      <c r="G38" s="80">
        <f t="shared" si="1"/>
        <v>3552</v>
      </c>
      <c r="H38" s="80" t="str">
        <f t="shared" si="1"/>
        <v/>
      </c>
      <c r="I38" s="80" t="str">
        <f t="shared" si="1"/>
        <v/>
      </c>
      <c r="J38" s="80" t="str">
        <f t="shared" si="1"/>
        <v/>
      </c>
      <c r="K38" s="80" t="str">
        <f t="shared" si="1"/>
        <v/>
      </c>
      <c r="L38" s="80" t="str">
        <f t="shared" si="1"/>
        <v/>
      </c>
    </row>
    <row r="39" spans="2:16384">
      <c r="B39" t="s">
        <v>41</v>
      </c>
      <c r="C39" s="80">
        <f t="shared" ref="C39:L39" si="2">IF(C7&lt;&gt;"",C7,"")</f>
        <v>3702</v>
      </c>
      <c r="D39" s="80">
        <f t="shared" si="2"/>
        <v>3123</v>
      </c>
      <c r="E39" s="80">
        <f t="shared" si="2"/>
        <v>1997</v>
      </c>
      <c r="F39" s="80">
        <f t="shared" si="2"/>
        <v>1912</v>
      </c>
      <c r="G39" s="80">
        <f t="shared" si="2"/>
        <v>1324</v>
      </c>
      <c r="H39" s="80" t="str">
        <f t="shared" si="2"/>
        <v/>
      </c>
      <c r="I39" s="80" t="str">
        <f t="shared" si="2"/>
        <v/>
      </c>
      <c r="J39" s="80" t="str">
        <f t="shared" si="2"/>
        <v/>
      </c>
      <c r="K39" s="80" t="str">
        <f t="shared" si="2"/>
        <v/>
      </c>
      <c r="L39" s="80" t="str">
        <f t="shared" si="2"/>
        <v/>
      </c>
    </row>
    <row r="40" spans="2:16384" ht="17" customHeight="1">
      <c r="B40" t="s">
        <v>42</v>
      </c>
      <c r="C40" s="80">
        <f t="shared" ref="C40:L40" si="3">IF(C19&lt;&gt;"",-C19,"")</f>
        <v>-14431</v>
      </c>
      <c r="D40" s="80">
        <f t="shared" si="3"/>
        <v>-15255</v>
      </c>
      <c r="E40" s="80">
        <f t="shared" si="3"/>
        <v>-10025</v>
      </c>
      <c r="F40" s="80">
        <f t="shared" si="3"/>
        <v>-6051</v>
      </c>
      <c r="G40" s="80">
        <f t="shared" si="3"/>
        <v>-3771</v>
      </c>
      <c r="H40" s="80" t="str">
        <f t="shared" si="3"/>
        <v/>
      </c>
      <c r="I40" s="80" t="str">
        <f t="shared" si="3"/>
        <v/>
      </c>
      <c r="J40" s="80" t="str">
        <f t="shared" si="3"/>
        <v/>
      </c>
      <c r="K40" s="80" t="str">
        <f t="shared" si="3"/>
        <v/>
      </c>
      <c r="L40" s="80" t="str">
        <f t="shared" si="3"/>
        <v/>
      </c>
    </row>
    <row r="41" spans="2:16384" ht="17" customHeight="1">
      <c r="C41" s="80"/>
      <c r="D41" s="80"/>
      <c r="E41" s="80"/>
      <c r="F41" s="80"/>
      <c r="G41" s="80"/>
      <c r="H41" s="80"/>
      <c r="I41" s="80"/>
      <c r="J41" s="80"/>
      <c r="K41" s="80"/>
      <c r="L41" s="80"/>
    </row>
    <row r="42" spans="2:16384" ht="17" customHeight="1" thickBot="1">
      <c r="B42" s="71" t="s">
        <v>39</v>
      </c>
      <c r="C42" s="81">
        <f t="shared" ref="C42:L42" si="4">IF(SUM(C38:C40)=0,"",SUM(C38:C40))</f>
        <v>2897</v>
      </c>
      <c r="D42" s="81">
        <f t="shared" si="4"/>
        <v>707</v>
      </c>
      <c r="E42" s="81">
        <f t="shared" si="4"/>
        <v>-2271</v>
      </c>
      <c r="F42" s="81">
        <f t="shared" si="4"/>
        <v>-38</v>
      </c>
      <c r="G42" s="81">
        <f t="shared" si="4"/>
        <v>1105</v>
      </c>
      <c r="H42" s="81" t="str">
        <f t="shared" si="4"/>
        <v/>
      </c>
      <c r="I42" s="81" t="str">
        <f t="shared" si="4"/>
        <v/>
      </c>
      <c r="J42" s="81" t="str">
        <f t="shared" si="4"/>
        <v/>
      </c>
      <c r="K42" s="81" t="str">
        <f t="shared" si="4"/>
        <v/>
      </c>
      <c r="L42" s="81" t="str">
        <f t="shared" si="4"/>
        <v/>
      </c>
    </row>
    <row r="43" spans="2:16384" ht="17" customHeight="1" thickTop="1">
      <c r="C43" s="80"/>
      <c r="D43" s="80"/>
      <c r="E43" s="80"/>
      <c r="F43" s="80"/>
      <c r="G43" s="80"/>
      <c r="H43" s="80"/>
      <c r="I43" s="80"/>
      <c r="J43" s="80"/>
      <c r="K43" s="80"/>
      <c r="L43" s="80"/>
    </row>
    <row r="44" spans="2:16384" ht="17" thickBot="1">
      <c r="B44" s="71" t="s">
        <v>43</v>
      </c>
      <c r="C44" s="81">
        <f t="shared" ref="C44:L44" si="5">IF(AND(D42=""),"",(C42-D42))</f>
        <v>2190</v>
      </c>
      <c r="D44" s="81">
        <f t="shared" si="5"/>
        <v>2978</v>
      </c>
      <c r="E44" s="81">
        <f t="shared" si="5"/>
        <v>-2233</v>
      </c>
      <c r="F44" s="81">
        <f t="shared" si="5"/>
        <v>-1143</v>
      </c>
      <c r="G44" s="81" t="str">
        <f t="shared" si="5"/>
        <v/>
      </c>
      <c r="H44" s="81" t="str">
        <f t="shared" si="5"/>
        <v/>
      </c>
      <c r="I44" s="81" t="str">
        <f t="shared" si="5"/>
        <v/>
      </c>
      <c r="J44" s="81" t="str">
        <f t="shared" si="5"/>
        <v/>
      </c>
      <c r="K44" s="81" t="str">
        <f t="shared" si="5"/>
        <v/>
      </c>
      <c r="L44" s="81" t="str">
        <f t="shared" si="5"/>
        <v/>
      </c>
    </row>
    <row r="45" spans="2:16384" ht="17" thickTop="1"/>
    <row r="48" spans="2:16384" ht="21" thickBot="1">
      <c r="B48" s="38" t="s">
        <v>109</v>
      </c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37"/>
      <c r="CY48" s="37"/>
      <c r="CZ48" s="37"/>
      <c r="DA48" s="37"/>
      <c r="DB48" s="37"/>
      <c r="DC48" s="37"/>
      <c r="DD48" s="37"/>
      <c r="DE48" s="37"/>
      <c r="DF48" s="37"/>
      <c r="DG48" s="37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  <c r="DU48" s="37"/>
      <c r="DV48" s="37"/>
      <c r="DW48" s="37"/>
      <c r="DX48" s="37"/>
      <c r="DY48" s="37"/>
      <c r="DZ48" s="37"/>
      <c r="EA48" s="37"/>
      <c r="EB48" s="37"/>
      <c r="EC48" s="37"/>
      <c r="ED48" s="37"/>
      <c r="EE48" s="37"/>
      <c r="EF48" s="37"/>
      <c r="EG48" s="37"/>
      <c r="EH48" s="37"/>
      <c r="EI48" s="37"/>
      <c r="EJ48" s="37"/>
      <c r="EK48" s="37"/>
      <c r="EL48" s="37"/>
      <c r="EM48" s="37"/>
      <c r="EN48" s="37"/>
      <c r="EO48" s="37"/>
      <c r="EP48" s="37"/>
      <c r="EQ48" s="37"/>
      <c r="ER48" s="37"/>
      <c r="ES48" s="37"/>
      <c r="ET48" s="37"/>
      <c r="EU48" s="37"/>
      <c r="EV48" s="37"/>
      <c r="EW48" s="37"/>
      <c r="EX48" s="37"/>
      <c r="EY48" s="37"/>
      <c r="EZ48" s="37"/>
      <c r="FA48" s="37"/>
      <c r="FB48" s="37"/>
      <c r="FC48" s="37"/>
      <c r="FD48" s="37"/>
      <c r="FE48" s="37"/>
      <c r="FF48" s="37"/>
      <c r="FG48" s="37"/>
      <c r="FH48" s="37"/>
      <c r="FI48" s="37"/>
      <c r="FJ48" s="37"/>
      <c r="FK48" s="37"/>
      <c r="FL48" s="37"/>
      <c r="FM48" s="37"/>
      <c r="FN48" s="37"/>
      <c r="FO48" s="37"/>
      <c r="FP48" s="37"/>
      <c r="FQ48" s="37"/>
      <c r="FR48" s="37"/>
      <c r="FS48" s="37"/>
      <c r="FT48" s="37"/>
      <c r="FU48" s="37"/>
      <c r="FV48" s="37"/>
      <c r="FW48" s="37"/>
      <c r="FX48" s="37"/>
      <c r="FY48" s="37"/>
      <c r="FZ48" s="37"/>
      <c r="GA48" s="37"/>
      <c r="GB48" s="37"/>
      <c r="GC48" s="37"/>
      <c r="GD48" s="37"/>
      <c r="GE48" s="37"/>
      <c r="GF48" s="37"/>
      <c r="GG48" s="37"/>
      <c r="GH48" s="37"/>
      <c r="GI48" s="37"/>
      <c r="GJ48" s="37"/>
      <c r="GK48" s="37"/>
      <c r="GL48" s="37"/>
      <c r="GM48" s="37"/>
      <c r="GN48" s="37"/>
      <c r="GO48" s="37"/>
      <c r="GP48" s="37"/>
      <c r="GQ48" s="37"/>
      <c r="GR48" s="37"/>
      <c r="GS48" s="37"/>
      <c r="GT48" s="37"/>
      <c r="GU48" s="37"/>
      <c r="GV48" s="37"/>
      <c r="GW48" s="37"/>
      <c r="GX48" s="37"/>
      <c r="GY48" s="37"/>
      <c r="GZ48" s="37"/>
      <c r="HA48" s="37"/>
      <c r="HB48" s="37"/>
      <c r="HC48" s="37"/>
      <c r="HD48" s="37"/>
      <c r="HE48" s="37"/>
      <c r="HF48" s="37"/>
      <c r="HG48" s="37"/>
      <c r="HH48" s="37"/>
      <c r="HI48" s="37"/>
      <c r="HJ48" s="37"/>
      <c r="HK48" s="37"/>
      <c r="HL48" s="37"/>
      <c r="HM48" s="37"/>
      <c r="HN48" s="37"/>
      <c r="HO48" s="37"/>
      <c r="HP48" s="37"/>
      <c r="HQ48" s="37"/>
      <c r="HR48" s="37"/>
      <c r="HS48" s="37"/>
      <c r="HT48" s="37"/>
      <c r="HU48" s="37"/>
      <c r="HV48" s="37"/>
      <c r="HW48" s="37"/>
      <c r="HX48" s="37"/>
      <c r="HY48" s="37"/>
      <c r="HZ48" s="37"/>
      <c r="IA48" s="37"/>
      <c r="IB48" s="37"/>
      <c r="IC48" s="37"/>
      <c r="ID48" s="37"/>
      <c r="IE48" s="37"/>
      <c r="IF48" s="37"/>
      <c r="IG48" s="37"/>
      <c r="IH48" s="37"/>
      <c r="II48" s="37"/>
      <c r="IJ48" s="37"/>
      <c r="IK48" s="37"/>
      <c r="IL48" s="37"/>
      <c r="IM48" s="37"/>
      <c r="IN48" s="37"/>
      <c r="IO48" s="37"/>
      <c r="IP48" s="37"/>
      <c r="IQ48" s="37"/>
      <c r="IR48" s="37"/>
      <c r="IS48" s="37"/>
      <c r="IT48" s="37"/>
      <c r="IU48" s="37"/>
      <c r="IV48" s="37"/>
      <c r="IW48" s="37"/>
      <c r="IX48" s="37"/>
      <c r="IY48" s="37"/>
      <c r="IZ48" s="37"/>
      <c r="JA48" s="37"/>
      <c r="JB48" s="37"/>
      <c r="JC48" s="37"/>
      <c r="JD48" s="37"/>
      <c r="JE48" s="37"/>
      <c r="JF48" s="37"/>
      <c r="JG48" s="37"/>
      <c r="JH48" s="37"/>
      <c r="JI48" s="37"/>
      <c r="JJ48" s="37"/>
      <c r="JK48" s="37"/>
      <c r="JL48" s="37"/>
      <c r="JM48" s="37"/>
      <c r="JN48" s="37"/>
      <c r="JO48" s="37"/>
      <c r="JP48" s="37"/>
      <c r="JQ48" s="37"/>
      <c r="JR48" s="37"/>
      <c r="JS48" s="37"/>
      <c r="JT48" s="37"/>
      <c r="JU48" s="37"/>
      <c r="JV48" s="37"/>
      <c r="JW48" s="37"/>
      <c r="JX48" s="37"/>
      <c r="JY48" s="37"/>
      <c r="JZ48" s="37"/>
      <c r="KA48" s="37"/>
      <c r="KB48" s="37"/>
      <c r="KC48" s="37"/>
      <c r="KD48" s="37"/>
      <c r="KE48" s="37"/>
      <c r="KF48" s="37"/>
      <c r="KG48" s="37"/>
      <c r="KH48" s="37"/>
      <c r="KI48" s="37"/>
      <c r="KJ48" s="37"/>
      <c r="KK48" s="37"/>
      <c r="KL48" s="37"/>
      <c r="KM48" s="37"/>
      <c r="KN48" s="37"/>
      <c r="KO48" s="37"/>
      <c r="KP48" s="37"/>
      <c r="KQ48" s="37"/>
      <c r="KR48" s="37"/>
      <c r="KS48" s="37"/>
      <c r="KT48" s="37"/>
      <c r="KU48" s="37"/>
      <c r="KV48" s="37"/>
      <c r="KW48" s="37"/>
      <c r="KX48" s="37"/>
      <c r="KY48" s="37"/>
      <c r="KZ48" s="37"/>
      <c r="LA48" s="37"/>
      <c r="LB48" s="37"/>
      <c r="LC48" s="37"/>
      <c r="LD48" s="37"/>
      <c r="LE48" s="37"/>
      <c r="LF48" s="37"/>
      <c r="LG48" s="37"/>
      <c r="LH48" s="37"/>
      <c r="LI48" s="37"/>
      <c r="LJ48" s="37"/>
      <c r="LK48" s="37"/>
      <c r="LL48" s="37"/>
      <c r="LM48" s="37"/>
      <c r="LN48" s="37"/>
      <c r="LO48" s="37"/>
      <c r="LP48" s="37"/>
      <c r="LQ48" s="37"/>
      <c r="LR48" s="37"/>
      <c r="LS48" s="37"/>
      <c r="LT48" s="37"/>
      <c r="LU48" s="37"/>
      <c r="LV48" s="37"/>
      <c r="LW48" s="37"/>
      <c r="LX48" s="37"/>
      <c r="LY48" s="37"/>
      <c r="LZ48" s="37"/>
      <c r="MA48" s="37"/>
      <c r="MB48" s="37"/>
      <c r="MC48" s="37"/>
      <c r="MD48" s="37"/>
      <c r="ME48" s="37"/>
      <c r="MF48" s="37"/>
      <c r="MG48" s="37"/>
      <c r="MH48" s="37"/>
      <c r="MI48" s="37"/>
      <c r="MJ48" s="37"/>
      <c r="MK48" s="37"/>
      <c r="ML48" s="37"/>
      <c r="MM48" s="37"/>
      <c r="MN48" s="37"/>
      <c r="MO48" s="37"/>
      <c r="MP48" s="37"/>
      <c r="MQ48" s="37"/>
      <c r="MR48" s="37"/>
      <c r="MS48" s="37"/>
      <c r="MT48" s="37"/>
      <c r="MU48" s="37"/>
      <c r="MV48" s="37"/>
      <c r="MW48" s="37"/>
      <c r="MX48" s="37"/>
      <c r="MY48" s="37"/>
      <c r="MZ48" s="37"/>
      <c r="NA48" s="37"/>
      <c r="NB48" s="37"/>
      <c r="NC48" s="37"/>
      <c r="ND48" s="37"/>
      <c r="NE48" s="37"/>
      <c r="NF48" s="37"/>
      <c r="NG48" s="37"/>
      <c r="NH48" s="37"/>
      <c r="NI48" s="37"/>
      <c r="NJ48" s="37"/>
      <c r="NK48" s="37"/>
      <c r="NL48" s="37"/>
      <c r="NM48" s="37"/>
      <c r="NN48" s="37"/>
      <c r="NO48" s="37"/>
      <c r="NP48" s="37"/>
      <c r="NQ48" s="37"/>
      <c r="NR48" s="37"/>
      <c r="NS48" s="37"/>
      <c r="NT48" s="37"/>
      <c r="NU48" s="37"/>
      <c r="NV48" s="37"/>
      <c r="NW48" s="37"/>
      <c r="NX48" s="37"/>
      <c r="NY48" s="37"/>
      <c r="NZ48" s="37"/>
      <c r="OA48" s="37"/>
      <c r="OB48" s="37"/>
      <c r="OC48" s="37"/>
      <c r="OD48" s="37"/>
      <c r="OE48" s="37"/>
      <c r="OF48" s="37"/>
      <c r="OG48" s="37"/>
      <c r="OH48" s="37"/>
      <c r="OI48" s="37"/>
      <c r="OJ48" s="37"/>
      <c r="OK48" s="37"/>
      <c r="OL48" s="37"/>
      <c r="OM48" s="37"/>
      <c r="ON48" s="37"/>
      <c r="OO48" s="37"/>
      <c r="OP48" s="37"/>
      <c r="OQ48" s="37"/>
      <c r="OR48" s="37"/>
      <c r="OS48" s="37"/>
      <c r="OT48" s="37"/>
      <c r="OU48" s="37"/>
      <c r="OV48" s="37"/>
      <c r="OW48" s="37"/>
      <c r="OX48" s="37"/>
      <c r="OY48" s="37"/>
      <c r="OZ48" s="37"/>
      <c r="PA48" s="37"/>
      <c r="PB48" s="37"/>
      <c r="PC48" s="37"/>
      <c r="PD48" s="37"/>
      <c r="PE48" s="37"/>
      <c r="PF48" s="37"/>
      <c r="PG48" s="37"/>
      <c r="PH48" s="37"/>
      <c r="PI48" s="37"/>
      <c r="PJ48" s="37"/>
      <c r="PK48" s="37"/>
      <c r="PL48" s="37"/>
      <c r="PM48" s="37"/>
      <c r="PN48" s="37"/>
      <c r="PO48" s="37"/>
      <c r="PP48" s="37"/>
      <c r="PQ48" s="37"/>
      <c r="PR48" s="37"/>
      <c r="PS48" s="37"/>
      <c r="PT48" s="37"/>
      <c r="PU48" s="37"/>
      <c r="PV48" s="37"/>
      <c r="PW48" s="37"/>
      <c r="PX48" s="37"/>
      <c r="PY48" s="37"/>
      <c r="PZ48" s="37"/>
      <c r="QA48" s="37"/>
      <c r="QB48" s="37"/>
      <c r="QC48" s="37"/>
      <c r="QD48" s="37"/>
      <c r="QE48" s="37"/>
      <c r="QF48" s="37"/>
      <c r="QG48" s="37"/>
      <c r="QH48" s="37"/>
      <c r="QI48" s="37"/>
      <c r="QJ48" s="37"/>
      <c r="QK48" s="37"/>
      <c r="QL48" s="37"/>
      <c r="QM48" s="37"/>
      <c r="QN48" s="37"/>
      <c r="QO48" s="37"/>
      <c r="QP48" s="37"/>
      <c r="QQ48" s="37"/>
      <c r="QR48" s="37"/>
      <c r="QS48" s="37"/>
      <c r="QT48" s="37"/>
      <c r="QU48" s="37"/>
      <c r="QV48" s="37"/>
      <c r="QW48" s="37"/>
      <c r="QX48" s="37"/>
      <c r="QY48" s="37"/>
      <c r="QZ48" s="37"/>
      <c r="RA48" s="37"/>
      <c r="RB48" s="37"/>
      <c r="RC48" s="37"/>
      <c r="RD48" s="37"/>
      <c r="RE48" s="37"/>
      <c r="RF48" s="37"/>
      <c r="RG48" s="37"/>
      <c r="RH48" s="37"/>
      <c r="RI48" s="37"/>
      <c r="RJ48" s="37"/>
      <c r="RK48" s="37"/>
      <c r="RL48" s="37"/>
      <c r="RM48" s="37"/>
      <c r="RN48" s="37"/>
      <c r="RO48" s="37"/>
      <c r="RP48" s="37"/>
      <c r="RQ48" s="37"/>
      <c r="RR48" s="37"/>
      <c r="RS48" s="37"/>
      <c r="RT48" s="37"/>
      <c r="RU48" s="37"/>
      <c r="RV48" s="37"/>
      <c r="RW48" s="37"/>
      <c r="RX48" s="37"/>
      <c r="RY48" s="37"/>
      <c r="RZ48" s="37"/>
      <c r="SA48" s="37"/>
      <c r="SB48" s="37"/>
      <c r="SC48" s="37"/>
      <c r="SD48" s="37"/>
      <c r="SE48" s="37"/>
      <c r="SF48" s="37"/>
      <c r="SG48" s="37"/>
      <c r="SH48" s="37"/>
      <c r="SI48" s="37"/>
      <c r="SJ48" s="37"/>
      <c r="SK48" s="37"/>
      <c r="SL48" s="37"/>
      <c r="SM48" s="37"/>
      <c r="SN48" s="37"/>
      <c r="SO48" s="37"/>
      <c r="SP48" s="37"/>
      <c r="SQ48" s="37"/>
      <c r="SR48" s="37"/>
      <c r="SS48" s="37"/>
      <c r="ST48" s="37"/>
      <c r="SU48" s="37"/>
      <c r="SV48" s="37"/>
      <c r="SW48" s="37"/>
      <c r="SX48" s="37"/>
      <c r="SY48" s="37"/>
      <c r="SZ48" s="37"/>
      <c r="TA48" s="37"/>
      <c r="TB48" s="37"/>
      <c r="TC48" s="37"/>
      <c r="TD48" s="37"/>
      <c r="TE48" s="37"/>
      <c r="TF48" s="37"/>
      <c r="TG48" s="37"/>
      <c r="TH48" s="37"/>
      <c r="TI48" s="37"/>
      <c r="TJ48" s="37"/>
      <c r="TK48" s="37"/>
      <c r="TL48" s="37"/>
      <c r="TM48" s="37"/>
      <c r="TN48" s="37"/>
      <c r="TO48" s="37"/>
      <c r="TP48" s="37"/>
      <c r="TQ48" s="37"/>
      <c r="TR48" s="37"/>
      <c r="TS48" s="37"/>
      <c r="TT48" s="37"/>
      <c r="TU48" s="37"/>
      <c r="TV48" s="37"/>
      <c r="TW48" s="37"/>
      <c r="TX48" s="37"/>
      <c r="TY48" s="37"/>
      <c r="TZ48" s="37"/>
      <c r="UA48" s="37"/>
      <c r="UB48" s="37"/>
      <c r="UC48" s="37"/>
      <c r="UD48" s="37"/>
      <c r="UE48" s="37"/>
      <c r="UF48" s="37"/>
      <c r="UG48" s="37"/>
      <c r="UH48" s="37"/>
      <c r="UI48" s="37"/>
      <c r="UJ48" s="37"/>
      <c r="UK48" s="37"/>
      <c r="UL48" s="37"/>
      <c r="UM48" s="37"/>
      <c r="UN48" s="37"/>
      <c r="UO48" s="37"/>
      <c r="UP48" s="37"/>
      <c r="UQ48" s="37"/>
      <c r="UR48" s="37"/>
      <c r="US48" s="37"/>
      <c r="UT48" s="37"/>
      <c r="UU48" s="37"/>
      <c r="UV48" s="37"/>
      <c r="UW48" s="37"/>
      <c r="UX48" s="37"/>
      <c r="UY48" s="37"/>
      <c r="UZ48" s="37"/>
      <c r="VA48" s="37"/>
      <c r="VB48" s="37"/>
      <c r="VC48" s="37"/>
      <c r="VD48" s="37"/>
      <c r="VE48" s="37"/>
      <c r="VF48" s="37"/>
      <c r="VG48" s="37"/>
      <c r="VH48" s="37"/>
      <c r="VI48" s="37"/>
      <c r="VJ48" s="37"/>
      <c r="VK48" s="37"/>
      <c r="VL48" s="37"/>
      <c r="VM48" s="37"/>
      <c r="VN48" s="37"/>
      <c r="VO48" s="37"/>
      <c r="VP48" s="37"/>
      <c r="VQ48" s="37"/>
      <c r="VR48" s="37"/>
      <c r="VS48" s="37"/>
      <c r="VT48" s="37"/>
      <c r="VU48" s="37"/>
      <c r="VV48" s="37"/>
      <c r="VW48" s="37"/>
      <c r="VX48" s="37"/>
      <c r="VY48" s="37"/>
      <c r="VZ48" s="37"/>
      <c r="WA48" s="37"/>
      <c r="WB48" s="37"/>
      <c r="WC48" s="37"/>
      <c r="WD48" s="37"/>
      <c r="WE48" s="37"/>
      <c r="WF48" s="37"/>
      <c r="WG48" s="37"/>
      <c r="WH48" s="37"/>
      <c r="WI48" s="37"/>
      <c r="WJ48" s="37"/>
      <c r="WK48" s="37"/>
      <c r="WL48" s="37"/>
      <c r="WM48" s="37"/>
      <c r="WN48" s="37"/>
      <c r="WO48" s="37"/>
      <c r="WP48" s="37"/>
      <c r="WQ48" s="37"/>
      <c r="WR48" s="37"/>
      <c r="WS48" s="37"/>
      <c r="WT48" s="37"/>
      <c r="WU48" s="37"/>
      <c r="WV48" s="37"/>
      <c r="WW48" s="37"/>
      <c r="WX48" s="37"/>
      <c r="WY48" s="37"/>
      <c r="WZ48" s="37"/>
      <c r="XA48" s="37"/>
      <c r="XB48" s="37"/>
      <c r="XC48" s="37"/>
      <c r="XD48" s="37"/>
      <c r="XE48" s="37"/>
      <c r="XF48" s="37"/>
      <c r="XG48" s="37"/>
      <c r="XH48" s="37"/>
      <c r="XI48" s="37"/>
      <c r="XJ48" s="37"/>
      <c r="XK48" s="37"/>
      <c r="XL48" s="37"/>
      <c r="XM48" s="37"/>
      <c r="XN48" s="37"/>
      <c r="XO48" s="37"/>
      <c r="XP48" s="37"/>
      <c r="XQ48" s="37"/>
      <c r="XR48" s="37"/>
      <c r="XS48" s="37"/>
      <c r="XT48" s="37"/>
      <c r="XU48" s="37"/>
      <c r="XV48" s="37"/>
      <c r="XW48" s="37"/>
      <c r="XX48" s="37"/>
      <c r="XY48" s="37"/>
      <c r="XZ48" s="37"/>
      <c r="YA48" s="37"/>
      <c r="YB48" s="37"/>
      <c r="YC48" s="37"/>
      <c r="YD48" s="37"/>
      <c r="YE48" s="37"/>
      <c r="YF48" s="37"/>
      <c r="YG48" s="37"/>
      <c r="YH48" s="37"/>
      <c r="YI48" s="37"/>
      <c r="YJ48" s="37"/>
      <c r="YK48" s="37"/>
      <c r="YL48" s="37"/>
      <c r="YM48" s="37"/>
      <c r="YN48" s="37"/>
      <c r="YO48" s="37"/>
      <c r="YP48" s="37"/>
      <c r="YQ48" s="37"/>
      <c r="YR48" s="37"/>
      <c r="YS48" s="37"/>
      <c r="YT48" s="37"/>
      <c r="YU48" s="37"/>
      <c r="YV48" s="37"/>
      <c r="YW48" s="37"/>
      <c r="YX48" s="37"/>
      <c r="YY48" s="37"/>
      <c r="YZ48" s="37"/>
      <c r="ZA48" s="37"/>
      <c r="ZB48" s="37"/>
      <c r="ZC48" s="37"/>
      <c r="ZD48" s="37"/>
      <c r="ZE48" s="37"/>
      <c r="ZF48" s="37"/>
      <c r="ZG48" s="37"/>
      <c r="ZH48" s="37"/>
      <c r="ZI48" s="37"/>
      <c r="ZJ48" s="37"/>
      <c r="ZK48" s="37"/>
      <c r="ZL48" s="37"/>
      <c r="ZM48" s="37"/>
      <c r="ZN48" s="37"/>
      <c r="ZO48" s="37"/>
      <c r="ZP48" s="37"/>
      <c r="ZQ48" s="37"/>
      <c r="ZR48" s="37"/>
      <c r="ZS48" s="37"/>
      <c r="ZT48" s="37"/>
      <c r="ZU48" s="37"/>
      <c r="ZV48" s="37"/>
      <c r="ZW48" s="37"/>
      <c r="ZX48" s="37"/>
      <c r="ZY48" s="37"/>
      <c r="ZZ48" s="37"/>
      <c r="AAA48" s="37"/>
      <c r="AAB48" s="37"/>
      <c r="AAC48" s="37"/>
      <c r="AAD48" s="37"/>
      <c r="AAE48" s="37"/>
      <c r="AAF48" s="37"/>
      <c r="AAG48" s="37"/>
      <c r="AAH48" s="37"/>
      <c r="AAI48" s="37"/>
      <c r="AAJ48" s="37"/>
      <c r="AAK48" s="37"/>
      <c r="AAL48" s="37"/>
      <c r="AAM48" s="37"/>
      <c r="AAN48" s="37"/>
      <c r="AAO48" s="37"/>
      <c r="AAP48" s="37"/>
      <c r="AAQ48" s="37"/>
      <c r="AAR48" s="37"/>
      <c r="AAS48" s="37"/>
      <c r="AAT48" s="37"/>
      <c r="AAU48" s="37"/>
      <c r="AAV48" s="37"/>
      <c r="AAW48" s="37"/>
      <c r="AAX48" s="37"/>
      <c r="AAY48" s="37"/>
      <c r="AAZ48" s="37"/>
      <c r="ABA48" s="37"/>
      <c r="ABB48" s="37"/>
      <c r="ABC48" s="37"/>
      <c r="ABD48" s="37"/>
      <c r="ABE48" s="37"/>
      <c r="ABF48" s="37"/>
      <c r="ABG48" s="37"/>
      <c r="ABH48" s="37"/>
      <c r="ABI48" s="37"/>
      <c r="ABJ48" s="37"/>
      <c r="ABK48" s="37"/>
      <c r="ABL48" s="37"/>
      <c r="ABM48" s="37"/>
      <c r="ABN48" s="37"/>
      <c r="ABO48" s="37"/>
      <c r="ABP48" s="37"/>
      <c r="ABQ48" s="37"/>
      <c r="ABR48" s="37"/>
      <c r="ABS48" s="37"/>
      <c r="ABT48" s="37"/>
      <c r="ABU48" s="37"/>
      <c r="ABV48" s="37"/>
      <c r="ABW48" s="37"/>
      <c r="ABX48" s="37"/>
      <c r="ABY48" s="37"/>
      <c r="ABZ48" s="37"/>
      <c r="ACA48" s="37"/>
      <c r="ACB48" s="37"/>
      <c r="ACC48" s="37"/>
      <c r="ACD48" s="37"/>
      <c r="ACE48" s="37"/>
      <c r="ACF48" s="37"/>
      <c r="ACG48" s="37"/>
      <c r="ACH48" s="37"/>
      <c r="ACI48" s="37"/>
      <c r="ACJ48" s="37"/>
      <c r="ACK48" s="37"/>
      <c r="ACL48" s="37"/>
      <c r="ACM48" s="37"/>
      <c r="ACN48" s="37"/>
      <c r="ACO48" s="37"/>
      <c r="ACP48" s="37"/>
      <c r="ACQ48" s="37"/>
      <c r="ACR48" s="37"/>
      <c r="ACS48" s="37"/>
      <c r="ACT48" s="37"/>
      <c r="ACU48" s="37"/>
      <c r="ACV48" s="37"/>
      <c r="ACW48" s="37"/>
      <c r="ACX48" s="37"/>
      <c r="ACY48" s="37"/>
      <c r="ACZ48" s="37"/>
      <c r="ADA48" s="37"/>
      <c r="ADB48" s="37"/>
      <c r="ADC48" s="37"/>
      <c r="ADD48" s="37"/>
      <c r="ADE48" s="37"/>
      <c r="ADF48" s="37"/>
      <c r="ADG48" s="37"/>
      <c r="ADH48" s="37"/>
      <c r="ADI48" s="37"/>
      <c r="ADJ48" s="37"/>
      <c r="ADK48" s="37"/>
      <c r="ADL48" s="37"/>
      <c r="ADM48" s="37"/>
      <c r="ADN48" s="37"/>
      <c r="ADO48" s="37"/>
      <c r="ADP48" s="37"/>
      <c r="ADQ48" s="37"/>
      <c r="ADR48" s="37"/>
      <c r="ADS48" s="37"/>
      <c r="ADT48" s="37"/>
      <c r="ADU48" s="37"/>
      <c r="ADV48" s="37"/>
      <c r="ADW48" s="37"/>
      <c r="ADX48" s="37"/>
      <c r="ADY48" s="37"/>
      <c r="ADZ48" s="37"/>
      <c r="AEA48" s="37"/>
      <c r="AEB48" s="37"/>
      <c r="AEC48" s="37"/>
      <c r="AED48" s="37"/>
      <c r="AEE48" s="37"/>
      <c r="AEF48" s="37"/>
      <c r="AEG48" s="37"/>
      <c r="AEH48" s="37"/>
      <c r="AEI48" s="37"/>
      <c r="AEJ48" s="37"/>
      <c r="AEK48" s="37"/>
      <c r="AEL48" s="37"/>
      <c r="AEM48" s="37"/>
      <c r="AEN48" s="37"/>
      <c r="AEO48" s="37"/>
      <c r="AEP48" s="37"/>
      <c r="AEQ48" s="37"/>
      <c r="AER48" s="37"/>
      <c r="AES48" s="37"/>
      <c r="AET48" s="37"/>
      <c r="AEU48" s="37"/>
      <c r="AEV48" s="37"/>
      <c r="AEW48" s="37"/>
      <c r="AEX48" s="37"/>
      <c r="AEY48" s="37"/>
      <c r="AEZ48" s="37"/>
      <c r="AFA48" s="37"/>
      <c r="AFB48" s="37"/>
      <c r="AFC48" s="37"/>
      <c r="AFD48" s="37"/>
      <c r="AFE48" s="37"/>
      <c r="AFF48" s="37"/>
      <c r="AFG48" s="37"/>
      <c r="AFH48" s="37"/>
      <c r="AFI48" s="37"/>
      <c r="AFJ48" s="37"/>
      <c r="AFK48" s="37"/>
      <c r="AFL48" s="37"/>
      <c r="AFM48" s="37"/>
      <c r="AFN48" s="37"/>
      <c r="AFO48" s="37"/>
      <c r="AFP48" s="37"/>
      <c r="AFQ48" s="37"/>
      <c r="AFR48" s="37"/>
      <c r="AFS48" s="37"/>
      <c r="AFT48" s="37"/>
      <c r="AFU48" s="37"/>
      <c r="AFV48" s="37"/>
      <c r="AFW48" s="37"/>
      <c r="AFX48" s="37"/>
      <c r="AFY48" s="37"/>
      <c r="AFZ48" s="37"/>
      <c r="AGA48" s="37"/>
      <c r="AGB48" s="37"/>
      <c r="AGC48" s="37"/>
      <c r="AGD48" s="37"/>
      <c r="AGE48" s="37"/>
      <c r="AGF48" s="37"/>
      <c r="AGG48" s="37"/>
      <c r="AGH48" s="37"/>
      <c r="AGI48" s="37"/>
      <c r="AGJ48" s="37"/>
      <c r="AGK48" s="37"/>
      <c r="AGL48" s="37"/>
      <c r="AGM48" s="37"/>
      <c r="AGN48" s="37"/>
      <c r="AGO48" s="37"/>
      <c r="AGP48" s="37"/>
      <c r="AGQ48" s="37"/>
      <c r="AGR48" s="37"/>
      <c r="AGS48" s="37"/>
      <c r="AGT48" s="37"/>
      <c r="AGU48" s="37"/>
      <c r="AGV48" s="37"/>
      <c r="AGW48" s="37"/>
      <c r="AGX48" s="37"/>
      <c r="AGY48" s="37"/>
      <c r="AGZ48" s="37"/>
      <c r="AHA48" s="37"/>
      <c r="AHB48" s="37"/>
      <c r="AHC48" s="37"/>
      <c r="AHD48" s="37"/>
      <c r="AHE48" s="37"/>
      <c r="AHF48" s="37"/>
      <c r="AHG48" s="37"/>
      <c r="AHH48" s="37"/>
      <c r="AHI48" s="37"/>
      <c r="AHJ48" s="37"/>
      <c r="AHK48" s="37"/>
      <c r="AHL48" s="37"/>
      <c r="AHM48" s="37"/>
      <c r="AHN48" s="37"/>
      <c r="AHO48" s="37"/>
      <c r="AHP48" s="37"/>
      <c r="AHQ48" s="37"/>
      <c r="AHR48" s="37"/>
      <c r="AHS48" s="37"/>
      <c r="AHT48" s="37"/>
      <c r="AHU48" s="37"/>
      <c r="AHV48" s="37"/>
      <c r="AHW48" s="37"/>
      <c r="AHX48" s="37"/>
      <c r="AHY48" s="37"/>
      <c r="AHZ48" s="37"/>
      <c r="AIA48" s="37"/>
      <c r="AIB48" s="37"/>
      <c r="AIC48" s="37"/>
      <c r="AID48" s="37"/>
      <c r="AIE48" s="37"/>
      <c r="AIF48" s="37"/>
      <c r="AIG48" s="37"/>
      <c r="AIH48" s="37"/>
      <c r="AII48" s="37"/>
      <c r="AIJ48" s="37"/>
      <c r="AIK48" s="37"/>
      <c r="AIL48" s="37"/>
      <c r="AIM48" s="37"/>
      <c r="AIN48" s="37"/>
      <c r="AIO48" s="37"/>
      <c r="AIP48" s="37"/>
      <c r="AIQ48" s="37"/>
      <c r="AIR48" s="37"/>
      <c r="AIS48" s="37"/>
      <c r="AIT48" s="37"/>
      <c r="AIU48" s="37"/>
      <c r="AIV48" s="37"/>
      <c r="AIW48" s="37"/>
      <c r="AIX48" s="37"/>
      <c r="AIY48" s="37"/>
      <c r="AIZ48" s="37"/>
      <c r="AJA48" s="37"/>
      <c r="AJB48" s="37"/>
      <c r="AJC48" s="37"/>
      <c r="AJD48" s="37"/>
      <c r="AJE48" s="37"/>
      <c r="AJF48" s="37"/>
      <c r="AJG48" s="37"/>
      <c r="AJH48" s="37"/>
      <c r="AJI48" s="37"/>
      <c r="AJJ48" s="37"/>
      <c r="AJK48" s="37"/>
      <c r="AJL48" s="37"/>
      <c r="AJM48" s="37"/>
      <c r="AJN48" s="37"/>
      <c r="AJO48" s="37"/>
      <c r="AJP48" s="37"/>
      <c r="AJQ48" s="37"/>
      <c r="AJR48" s="37"/>
      <c r="AJS48" s="37"/>
      <c r="AJT48" s="37"/>
      <c r="AJU48" s="37"/>
      <c r="AJV48" s="37"/>
      <c r="AJW48" s="37"/>
      <c r="AJX48" s="37"/>
      <c r="AJY48" s="37"/>
      <c r="AJZ48" s="37"/>
      <c r="AKA48" s="37"/>
      <c r="AKB48" s="37"/>
      <c r="AKC48" s="37"/>
      <c r="AKD48" s="37"/>
      <c r="AKE48" s="37"/>
      <c r="AKF48" s="37"/>
      <c r="AKG48" s="37"/>
      <c r="AKH48" s="37"/>
      <c r="AKI48" s="37"/>
      <c r="AKJ48" s="37"/>
      <c r="AKK48" s="37"/>
      <c r="AKL48" s="37"/>
      <c r="AKM48" s="37"/>
      <c r="AKN48" s="37"/>
      <c r="AKO48" s="37"/>
      <c r="AKP48" s="37"/>
      <c r="AKQ48" s="37"/>
      <c r="AKR48" s="37"/>
      <c r="AKS48" s="37"/>
      <c r="AKT48" s="37"/>
      <c r="AKU48" s="37"/>
      <c r="AKV48" s="37"/>
      <c r="AKW48" s="37"/>
      <c r="AKX48" s="37"/>
      <c r="AKY48" s="37"/>
      <c r="AKZ48" s="37"/>
      <c r="ALA48" s="37"/>
      <c r="ALB48" s="37"/>
      <c r="ALC48" s="37"/>
      <c r="ALD48" s="37"/>
      <c r="ALE48" s="37"/>
      <c r="ALF48" s="37"/>
      <c r="ALG48" s="37"/>
      <c r="ALH48" s="37"/>
      <c r="ALI48" s="37"/>
      <c r="ALJ48" s="37"/>
      <c r="ALK48" s="37"/>
      <c r="ALL48" s="37"/>
      <c r="ALM48" s="37"/>
      <c r="ALN48" s="37"/>
      <c r="ALO48" s="37"/>
      <c r="ALP48" s="37"/>
      <c r="ALQ48" s="37"/>
      <c r="ALR48" s="37"/>
      <c r="ALS48" s="37"/>
      <c r="ALT48" s="37"/>
      <c r="ALU48" s="37"/>
      <c r="ALV48" s="37"/>
      <c r="ALW48" s="37"/>
      <c r="ALX48" s="37"/>
      <c r="ALY48" s="37"/>
      <c r="ALZ48" s="37"/>
      <c r="AMA48" s="37"/>
      <c r="AMB48" s="37"/>
      <c r="AMC48" s="37"/>
      <c r="AMD48" s="37"/>
      <c r="AME48" s="37"/>
      <c r="AMF48" s="37"/>
      <c r="AMG48" s="37"/>
      <c r="AMH48" s="37"/>
      <c r="AMI48" s="37"/>
      <c r="AMJ48" s="37"/>
      <c r="AMK48" s="37"/>
      <c r="AML48" s="37"/>
      <c r="AMM48" s="37"/>
      <c r="AMN48" s="37"/>
      <c r="AMO48" s="37"/>
      <c r="AMP48" s="37"/>
      <c r="AMQ48" s="37"/>
      <c r="AMR48" s="37"/>
      <c r="AMS48" s="37"/>
      <c r="AMT48" s="37"/>
      <c r="AMU48" s="37"/>
      <c r="AMV48" s="37"/>
      <c r="AMW48" s="37"/>
      <c r="AMX48" s="37"/>
      <c r="AMY48" s="37"/>
      <c r="AMZ48" s="37"/>
      <c r="ANA48" s="37"/>
      <c r="ANB48" s="37"/>
      <c r="ANC48" s="37"/>
      <c r="AND48" s="37"/>
      <c r="ANE48" s="37"/>
      <c r="ANF48" s="37"/>
      <c r="ANG48" s="37"/>
      <c r="ANH48" s="37"/>
      <c r="ANI48" s="37"/>
      <c r="ANJ48" s="37"/>
      <c r="ANK48" s="37"/>
      <c r="ANL48" s="37"/>
      <c r="ANM48" s="37"/>
      <c r="ANN48" s="37"/>
      <c r="ANO48" s="37"/>
      <c r="ANP48" s="37"/>
      <c r="ANQ48" s="37"/>
      <c r="ANR48" s="37"/>
      <c r="ANS48" s="37"/>
      <c r="ANT48" s="37"/>
      <c r="ANU48" s="37"/>
      <c r="ANV48" s="37"/>
      <c r="ANW48" s="37"/>
      <c r="ANX48" s="37"/>
      <c r="ANY48" s="37"/>
      <c r="ANZ48" s="37"/>
      <c r="AOA48" s="37"/>
      <c r="AOB48" s="37"/>
      <c r="AOC48" s="37"/>
      <c r="AOD48" s="37"/>
      <c r="AOE48" s="37"/>
      <c r="AOF48" s="37"/>
      <c r="AOG48" s="37"/>
      <c r="AOH48" s="37"/>
      <c r="AOI48" s="37"/>
      <c r="AOJ48" s="37"/>
      <c r="AOK48" s="37"/>
      <c r="AOL48" s="37"/>
      <c r="AOM48" s="37"/>
      <c r="AON48" s="37"/>
      <c r="AOO48" s="37"/>
      <c r="AOP48" s="37"/>
      <c r="AOQ48" s="37"/>
      <c r="AOR48" s="37"/>
      <c r="AOS48" s="37"/>
      <c r="AOT48" s="37"/>
      <c r="AOU48" s="37"/>
      <c r="AOV48" s="37"/>
      <c r="AOW48" s="37"/>
      <c r="AOX48" s="37"/>
      <c r="AOY48" s="37"/>
      <c r="AOZ48" s="37"/>
      <c r="APA48" s="37"/>
      <c r="APB48" s="37"/>
      <c r="APC48" s="37"/>
      <c r="APD48" s="37"/>
      <c r="APE48" s="37"/>
      <c r="APF48" s="37"/>
      <c r="APG48" s="37"/>
      <c r="APH48" s="37"/>
      <c r="API48" s="37"/>
      <c r="APJ48" s="37"/>
      <c r="APK48" s="37"/>
      <c r="APL48" s="37"/>
      <c r="APM48" s="37"/>
      <c r="APN48" s="37"/>
      <c r="APO48" s="37"/>
      <c r="APP48" s="37"/>
      <c r="APQ48" s="37"/>
      <c r="APR48" s="37"/>
      <c r="APS48" s="37"/>
      <c r="APT48" s="37"/>
      <c r="APU48" s="37"/>
      <c r="APV48" s="37"/>
      <c r="APW48" s="37"/>
      <c r="APX48" s="37"/>
      <c r="APY48" s="37"/>
      <c r="APZ48" s="37"/>
      <c r="AQA48" s="37"/>
      <c r="AQB48" s="37"/>
      <c r="AQC48" s="37"/>
      <c r="AQD48" s="37"/>
      <c r="AQE48" s="37"/>
      <c r="AQF48" s="37"/>
      <c r="AQG48" s="37"/>
      <c r="AQH48" s="37"/>
      <c r="AQI48" s="37"/>
      <c r="AQJ48" s="37"/>
      <c r="AQK48" s="37"/>
      <c r="AQL48" s="37"/>
      <c r="AQM48" s="37"/>
      <c r="AQN48" s="37"/>
      <c r="AQO48" s="37"/>
      <c r="AQP48" s="37"/>
      <c r="AQQ48" s="37"/>
      <c r="AQR48" s="37"/>
      <c r="AQS48" s="37"/>
      <c r="AQT48" s="37"/>
      <c r="AQU48" s="37"/>
      <c r="AQV48" s="37"/>
      <c r="AQW48" s="37"/>
      <c r="AQX48" s="37"/>
      <c r="AQY48" s="37"/>
      <c r="AQZ48" s="37"/>
      <c r="ARA48" s="37"/>
      <c r="ARB48" s="37"/>
      <c r="ARC48" s="37"/>
      <c r="ARD48" s="37"/>
      <c r="ARE48" s="37"/>
      <c r="ARF48" s="37"/>
      <c r="ARG48" s="37"/>
      <c r="ARH48" s="37"/>
      <c r="ARI48" s="37"/>
      <c r="ARJ48" s="37"/>
      <c r="ARK48" s="37"/>
      <c r="ARL48" s="37"/>
      <c r="ARM48" s="37"/>
      <c r="ARN48" s="37"/>
      <c r="ARO48" s="37"/>
      <c r="ARP48" s="37"/>
      <c r="ARQ48" s="37"/>
      <c r="ARR48" s="37"/>
      <c r="ARS48" s="37"/>
      <c r="ART48" s="37"/>
      <c r="ARU48" s="37"/>
      <c r="ARV48" s="37"/>
      <c r="ARW48" s="37"/>
      <c r="ARX48" s="37"/>
      <c r="ARY48" s="37"/>
      <c r="ARZ48" s="37"/>
      <c r="ASA48" s="37"/>
      <c r="ASB48" s="37"/>
      <c r="ASC48" s="37"/>
      <c r="ASD48" s="37"/>
      <c r="ASE48" s="37"/>
      <c r="ASF48" s="37"/>
      <c r="ASG48" s="37"/>
      <c r="ASH48" s="37"/>
      <c r="ASI48" s="37"/>
      <c r="ASJ48" s="37"/>
      <c r="ASK48" s="37"/>
      <c r="ASL48" s="37"/>
      <c r="ASM48" s="37"/>
      <c r="ASN48" s="37"/>
      <c r="ASO48" s="37"/>
      <c r="ASP48" s="37"/>
      <c r="ASQ48" s="37"/>
      <c r="ASR48" s="37"/>
      <c r="ASS48" s="37"/>
      <c r="AST48" s="37"/>
      <c r="ASU48" s="37"/>
      <c r="ASV48" s="37"/>
      <c r="ASW48" s="37"/>
      <c r="ASX48" s="37"/>
      <c r="ASY48" s="37"/>
      <c r="ASZ48" s="37"/>
      <c r="ATA48" s="37"/>
      <c r="ATB48" s="37"/>
      <c r="ATC48" s="37"/>
      <c r="ATD48" s="37"/>
      <c r="ATE48" s="37"/>
      <c r="ATF48" s="37"/>
      <c r="ATG48" s="37"/>
      <c r="ATH48" s="37"/>
      <c r="ATI48" s="37"/>
      <c r="ATJ48" s="37"/>
      <c r="ATK48" s="37"/>
      <c r="ATL48" s="37"/>
      <c r="ATM48" s="37"/>
      <c r="ATN48" s="37"/>
      <c r="ATO48" s="37"/>
      <c r="ATP48" s="37"/>
      <c r="ATQ48" s="37"/>
      <c r="ATR48" s="37"/>
      <c r="ATS48" s="37"/>
      <c r="ATT48" s="37"/>
      <c r="ATU48" s="37"/>
      <c r="ATV48" s="37"/>
      <c r="ATW48" s="37"/>
      <c r="ATX48" s="37"/>
      <c r="ATY48" s="37"/>
      <c r="ATZ48" s="37"/>
      <c r="AUA48" s="37"/>
      <c r="AUB48" s="37"/>
      <c r="AUC48" s="37"/>
      <c r="AUD48" s="37"/>
      <c r="AUE48" s="37"/>
      <c r="AUF48" s="37"/>
      <c r="AUG48" s="37"/>
      <c r="AUH48" s="37"/>
      <c r="AUI48" s="37"/>
      <c r="AUJ48" s="37"/>
      <c r="AUK48" s="37"/>
      <c r="AUL48" s="37"/>
      <c r="AUM48" s="37"/>
      <c r="AUN48" s="37"/>
      <c r="AUO48" s="37"/>
      <c r="AUP48" s="37"/>
      <c r="AUQ48" s="37"/>
      <c r="AUR48" s="37"/>
      <c r="AUS48" s="37"/>
      <c r="AUT48" s="37"/>
      <c r="AUU48" s="37"/>
      <c r="AUV48" s="37"/>
      <c r="AUW48" s="37"/>
      <c r="AUX48" s="37"/>
      <c r="AUY48" s="37"/>
      <c r="AUZ48" s="37"/>
      <c r="AVA48" s="37"/>
      <c r="AVB48" s="37"/>
      <c r="AVC48" s="37"/>
      <c r="AVD48" s="37"/>
      <c r="AVE48" s="37"/>
      <c r="AVF48" s="37"/>
      <c r="AVG48" s="37"/>
      <c r="AVH48" s="37"/>
      <c r="AVI48" s="37"/>
      <c r="AVJ48" s="37"/>
      <c r="AVK48" s="37"/>
      <c r="AVL48" s="37"/>
      <c r="AVM48" s="37"/>
      <c r="AVN48" s="37"/>
      <c r="AVO48" s="37"/>
      <c r="AVP48" s="37"/>
      <c r="AVQ48" s="37"/>
      <c r="AVR48" s="37"/>
      <c r="AVS48" s="37"/>
      <c r="AVT48" s="37"/>
      <c r="AVU48" s="37"/>
      <c r="AVV48" s="37"/>
      <c r="AVW48" s="37"/>
      <c r="AVX48" s="37"/>
      <c r="AVY48" s="37"/>
      <c r="AVZ48" s="37"/>
      <c r="AWA48" s="37"/>
      <c r="AWB48" s="37"/>
      <c r="AWC48" s="37"/>
      <c r="AWD48" s="37"/>
      <c r="AWE48" s="37"/>
      <c r="AWF48" s="37"/>
      <c r="AWG48" s="37"/>
      <c r="AWH48" s="37"/>
      <c r="AWI48" s="37"/>
      <c r="AWJ48" s="37"/>
      <c r="AWK48" s="37"/>
      <c r="AWL48" s="37"/>
      <c r="AWM48" s="37"/>
      <c r="AWN48" s="37"/>
      <c r="AWO48" s="37"/>
      <c r="AWP48" s="37"/>
      <c r="AWQ48" s="37"/>
      <c r="AWR48" s="37"/>
      <c r="AWS48" s="37"/>
      <c r="AWT48" s="37"/>
      <c r="AWU48" s="37"/>
      <c r="AWV48" s="37"/>
      <c r="AWW48" s="37"/>
      <c r="AWX48" s="37"/>
      <c r="AWY48" s="37"/>
      <c r="AWZ48" s="37"/>
      <c r="AXA48" s="37"/>
      <c r="AXB48" s="37"/>
      <c r="AXC48" s="37"/>
      <c r="AXD48" s="37"/>
      <c r="AXE48" s="37"/>
      <c r="AXF48" s="37"/>
      <c r="AXG48" s="37"/>
      <c r="AXH48" s="37"/>
      <c r="AXI48" s="37"/>
      <c r="AXJ48" s="37"/>
      <c r="AXK48" s="37"/>
      <c r="AXL48" s="37"/>
      <c r="AXM48" s="37"/>
      <c r="AXN48" s="37"/>
      <c r="AXO48" s="37"/>
      <c r="AXP48" s="37"/>
      <c r="AXQ48" s="37"/>
      <c r="AXR48" s="37"/>
      <c r="AXS48" s="37"/>
      <c r="AXT48" s="37"/>
      <c r="AXU48" s="37"/>
      <c r="AXV48" s="37"/>
      <c r="AXW48" s="37"/>
      <c r="AXX48" s="37"/>
      <c r="AXY48" s="37"/>
      <c r="AXZ48" s="37"/>
      <c r="AYA48" s="37"/>
      <c r="AYB48" s="37"/>
      <c r="AYC48" s="37"/>
      <c r="AYD48" s="37"/>
      <c r="AYE48" s="37"/>
      <c r="AYF48" s="37"/>
      <c r="AYG48" s="37"/>
      <c r="AYH48" s="37"/>
      <c r="AYI48" s="37"/>
      <c r="AYJ48" s="37"/>
      <c r="AYK48" s="37"/>
      <c r="AYL48" s="37"/>
      <c r="AYM48" s="37"/>
      <c r="AYN48" s="37"/>
      <c r="AYO48" s="37"/>
      <c r="AYP48" s="37"/>
      <c r="AYQ48" s="37"/>
      <c r="AYR48" s="37"/>
      <c r="AYS48" s="37"/>
      <c r="AYT48" s="37"/>
      <c r="AYU48" s="37"/>
      <c r="AYV48" s="37"/>
      <c r="AYW48" s="37"/>
      <c r="AYX48" s="37"/>
      <c r="AYY48" s="37"/>
      <c r="AYZ48" s="37"/>
      <c r="AZA48" s="37"/>
      <c r="AZB48" s="37"/>
      <c r="AZC48" s="37"/>
      <c r="AZD48" s="37"/>
      <c r="AZE48" s="37"/>
      <c r="AZF48" s="37"/>
      <c r="AZG48" s="37"/>
      <c r="AZH48" s="37"/>
      <c r="AZI48" s="37"/>
      <c r="AZJ48" s="37"/>
      <c r="AZK48" s="37"/>
      <c r="AZL48" s="37"/>
      <c r="AZM48" s="37"/>
      <c r="AZN48" s="37"/>
      <c r="AZO48" s="37"/>
      <c r="AZP48" s="37"/>
      <c r="AZQ48" s="37"/>
      <c r="AZR48" s="37"/>
      <c r="AZS48" s="37"/>
      <c r="AZT48" s="37"/>
      <c r="AZU48" s="37"/>
      <c r="AZV48" s="37"/>
      <c r="AZW48" s="37"/>
      <c r="AZX48" s="37"/>
      <c r="AZY48" s="37"/>
      <c r="AZZ48" s="37"/>
      <c r="BAA48" s="37"/>
      <c r="BAB48" s="37"/>
      <c r="BAC48" s="37"/>
      <c r="BAD48" s="37"/>
      <c r="BAE48" s="37"/>
      <c r="BAF48" s="37"/>
      <c r="BAG48" s="37"/>
      <c r="BAH48" s="37"/>
      <c r="BAI48" s="37"/>
      <c r="BAJ48" s="37"/>
      <c r="BAK48" s="37"/>
      <c r="BAL48" s="37"/>
      <c r="BAM48" s="37"/>
      <c r="BAN48" s="37"/>
      <c r="BAO48" s="37"/>
      <c r="BAP48" s="37"/>
      <c r="BAQ48" s="37"/>
      <c r="BAR48" s="37"/>
      <c r="BAS48" s="37"/>
      <c r="BAT48" s="37"/>
      <c r="BAU48" s="37"/>
      <c r="BAV48" s="37"/>
      <c r="BAW48" s="37"/>
      <c r="BAX48" s="37"/>
      <c r="BAY48" s="37"/>
      <c r="BAZ48" s="37"/>
      <c r="BBA48" s="37"/>
      <c r="BBB48" s="37"/>
      <c r="BBC48" s="37"/>
      <c r="BBD48" s="37"/>
      <c r="BBE48" s="37"/>
      <c r="BBF48" s="37"/>
      <c r="BBG48" s="37"/>
      <c r="BBH48" s="37"/>
      <c r="BBI48" s="37"/>
      <c r="BBJ48" s="37"/>
      <c r="BBK48" s="37"/>
      <c r="BBL48" s="37"/>
      <c r="BBM48" s="37"/>
      <c r="BBN48" s="37"/>
      <c r="BBO48" s="37"/>
      <c r="BBP48" s="37"/>
      <c r="BBQ48" s="37"/>
      <c r="BBR48" s="37"/>
      <c r="BBS48" s="37"/>
      <c r="BBT48" s="37"/>
      <c r="BBU48" s="37"/>
      <c r="BBV48" s="37"/>
      <c r="BBW48" s="37"/>
      <c r="BBX48" s="37"/>
      <c r="BBY48" s="37"/>
      <c r="BBZ48" s="37"/>
      <c r="BCA48" s="37"/>
      <c r="BCB48" s="37"/>
      <c r="BCC48" s="37"/>
      <c r="BCD48" s="37"/>
      <c r="BCE48" s="37"/>
      <c r="BCF48" s="37"/>
      <c r="BCG48" s="37"/>
      <c r="BCH48" s="37"/>
      <c r="BCI48" s="37"/>
      <c r="BCJ48" s="37"/>
      <c r="BCK48" s="37"/>
      <c r="BCL48" s="37"/>
      <c r="BCM48" s="37"/>
      <c r="BCN48" s="37"/>
      <c r="BCO48" s="37"/>
      <c r="BCP48" s="37"/>
      <c r="BCQ48" s="37"/>
      <c r="BCR48" s="37"/>
      <c r="BCS48" s="37"/>
      <c r="BCT48" s="37"/>
      <c r="BCU48" s="37"/>
      <c r="BCV48" s="37"/>
      <c r="BCW48" s="37"/>
      <c r="BCX48" s="37"/>
      <c r="BCY48" s="37"/>
      <c r="BCZ48" s="37"/>
      <c r="BDA48" s="37"/>
      <c r="BDB48" s="37"/>
      <c r="BDC48" s="37"/>
      <c r="BDD48" s="37"/>
      <c r="BDE48" s="37"/>
      <c r="BDF48" s="37"/>
      <c r="BDG48" s="37"/>
      <c r="BDH48" s="37"/>
      <c r="BDI48" s="37"/>
      <c r="BDJ48" s="37"/>
      <c r="BDK48" s="37"/>
      <c r="BDL48" s="37"/>
      <c r="BDM48" s="37"/>
      <c r="BDN48" s="37"/>
      <c r="BDO48" s="37"/>
      <c r="BDP48" s="37"/>
      <c r="BDQ48" s="37"/>
      <c r="BDR48" s="37"/>
      <c r="BDS48" s="37"/>
      <c r="BDT48" s="37"/>
      <c r="BDU48" s="37"/>
      <c r="BDV48" s="37"/>
      <c r="BDW48" s="37"/>
      <c r="BDX48" s="37"/>
      <c r="BDY48" s="37"/>
      <c r="BDZ48" s="37"/>
      <c r="BEA48" s="37"/>
      <c r="BEB48" s="37"/>
      <c r="BEC48" s="37"/>
      <c r="BED48" s="37"/>
      <c r="BEE48" s="37"/>
      <c r="BEF48" s="37"/>
      <c r="BEG48" s="37"/>
      <c r="BEH48" s="37"/>
      <c r="BEI48" s="37"/>
      <c r="BEJ48" s="37"/>
      <c r="BEK48" s="37"/>
      <c r="BEL48" s="37"/>
      <c r="BEM48" s="37"/>
      <c r="BEN48" s="37"/>
      <c r="BEO48" s="37"/>
      <c r="BEP48" s="37"/>
      <c r="BEQ48" s="37"/>
      <c r="BER48" s="37"/>
      <c r="BES48" s="37"/>
      <c r="BET48" s="37"/>
      <c r="BEU48" s="37"/>
      <c r="BEV48" s="37"/>
      <c r="BEW48" s="37"/>
      <c r="BEX48" s="37"/>
      <c r="BEY48" s="37"/>
      <c r="BEZ48" s="37"/>
      <c r="BFA48" s="37"/>
      <c r="BFB48" s="37"/>
      <c r="BFC48" s="37"/>
      <c r="BFD48" s="37"/>
      <c r="BFE48" s="37"/>
      <c r="BFF48" s="37"/>
      <c r="BFG48" s="37"/>
      <c r="BFH48" s="37"/>
      <c r="BFI48" s="37"/>
      <c r="BFJ48" s="37"/>
      <c r="BFK48" s="37"/>
      <c r="BFL48" s="37"/>
      <c r="BFM48" s="37"/>
      <c r="BFN48" s="37"/>
      <c r="BFO48" s="37"/>
      <c r="BFP48" s="37"/>
      <c r="BFQ48" s="37"/>
      <c r="BFR48" s="37"/>
      <c r="BFS48" s="37"/>
      <c r="BFT48" s="37"/>
      <c r="BFU48" s="37"/>
      <c r="BFV48" s="37"/>
      <c r="BFW48" s="37"/>
      <c r="BFX48" s="37"/>
      <c r="BFY48" s="37"/>
      <c r="BFZ48" s="37"/>
      <c r="BGA48" s="37"/>
      <c r="BGB48" s="37"/>
      <c r="BGC48" s="37"/>
      <c r="BGD48" s="37"/>
      <c r="BGE48" s="37"/>
      <c r="BGF48" s="37"/>
      <c r="BGG48" s="37"/>
      <c r="BGH48" s="37"/>
      <c r="BGI48" s="37"/>
      <c r="BGJ48" s="37"/>
      <c r="BGK48" s="37"/>
      <c r="BGL48" s="37"/>
      <c r="BGM48" s="37"/>
      <c r="BGN48" s="37"/>
      <c r="BGO48" s="37"/>
      <c r="BGP48" s="37"/>
      <c r="BGQ48" s="37"/>
      <c r="BGR48" s="37"/>
      <c r="BGS48" s="37"/>
      <c r="BGT48" s="37"/>
      <c r="BGU48" s="37"/>
      <c r="BGV48" s="37"/>
      <c r="BGW48" s="37"/>
      <c r="BGX48" s="37"/>
      <c r="BGY48" s="37"/>
      <c r="BGZ48" s="37"/>
      <c r="BHA48" s="37"/>
      <c r="BHB48" s="37"/>
      <c r="BHC48" s="37"/>
      <c r="BHD48" s="37"/>
      <c r="BHE48" s="37"/>
      <c r="BHF48" s="37"/>
      <c r="BHG48" s="37"/>
      <c r="BHH48" s="37"/>
      <c r="BHI48" s="37"/>
      <c r="BHJ48" s="37"/>
      <c r="BHK48" s="37"/>
      <c r="BHL48" s="37"/>
      <c r="BHM48" s="37"/>
      <c r="BHN48" s="37"/>
      <c r="BHO48" s="37"/>
      <c r="BHP48" s="37"/>
      <c r="BHQ48" s="37"/>
      <c r="BHR48" s="37"/>
      <c r="BHS48" s="37"/>
      <c r="BHT48" s="37"/>
      <c r="BHU48" s="37"/>
      <c r="BHV48" s="37"/>
      <c r="BHW48" s="37"/>
      <c r="BHX48" s="37"/>
      <c r="BHY48" s="37"/>
      <c r="BHZ48" s="37"/>
      <c r="BIA48" s="37"/>
      <c r="BIB48" s="37"/>
      <c r="BIC48" s="37"/>
      <c r="BID48" s="37"/>
      <c r="BIE48" s="37"/>
      <c r="BIF48" s="37"/>
      <c r="BIG48" s="37"/>
      <c r="BIH48" s="37"/>
      <c r="BII48" s="37"/>
      <c r="BIJ48" s="37"/>
      <c r="BIK48" s="37"/>
      <c r="BIL48" s="37"/>
      <c r="BIM48" s="37"/>
      <c r="BIN48" s="37"/>
      <c r="BIO48" s="37"/>
      <c r="BIP48" s="37"/>
      <c r="BIQ48" s="37"/>
      <c r="BIR48" s="37"/>
      <c r="BIS48" s="37"/>
      <c r="BIT48" s="37"/>
      <c r="BIU48" s="37"/>
      <c r="BIV48" s="37"/>
      <c r="BIW48" s="37"/>
      <c r="BIX48" s="37"/>
      <c r="BIY48" s="37"/>
      <c r="BIZ48" s="37"/>
      <c r="BJA48" s="37"/>
      <c r="BJB48" s="37"/>
      <c r="BJC48" s="37"/>
      <c r="BJD48" s="37"/>
      <c r="BJE48" s="37"/>
      <c r="BJF48" s="37"/>
      <c r="BJG48" s="37"/>
      <c r="BJH48" s="37"/>
      <c r="BJI48" s="37"/>
      <c r="BJJ48" s="37"/>
      <c r="BJK48" s="37"/>
      <c r="BJL48" s="37"/>
      <c r="BJM48" s="37"/>
      <c r="BJN48" s="37"/>
      <c r="BJO48" s="37"/>
      <c r="BJP48" s="37"/>
      <c r="BJQ48" s="37"/>
      <c r="BJR48" s="37"/>
      <c r="BJS48" s="37"/>
      <c r="BJT48" s="37"/>
      <c r="BJU48" s="37"/>
      <c r="BJV48" s="37"/>
      <c r="BJW48" s="37"/>
      <c r="BJX48" s="37"/>
      <c r="BJY48" s="37"/>
      <c r="BJZ48" s="37"/>
      <c r="BKA48" s="37"/>
      <c r="BKB48" s="37"/>
      <c r="BKC48" s="37"/>
      <c r="BKD48" s="37"/>
      <c r="BKE48" s="37"/>
      <c r="BKF48" s="37"/>
      <c r="BKG48" s="37"/>
      <c r="BKH48" s="37"/>
      <c r="BKI48" s="37"/>
      <c r="BKJ48" s="37"/>
      <c r="BKK48" s="37"/>
      <c r="BKL48" s="37"/>
      <c r="BKM48" s="37"/>
      <c r="BKN48" s="37"/>
      <c r="BKO48" s="37"/>
      <c r="BKP48" s="37"/>
      <c r="BKQ48" s="37"/>
      <c r="BKR48" s="37"/>
      <c r="BKS48" s="37"/>
      <c r="BKT48" s="37"/>
      <c r="BKU48" s="37"/>
      <c r="BKV48" s="37"/>
      <c r="BKW48" s="37"/>
      <c r="BKX48" s="37"/>
      <c r="BKY48" s="37"/>
      <c r="BKZ48" s="37"/>
      <c r="BLA48" s="37"/>
      <c r="BLB48" s="37"/>
      <c r="BLC48" s="37"/>
      <c r="BLD48" s="37"/>
      <c r="BLE48" s="37"/>
      <c r="BLF48" s="37"/>
      <c r="BLG48" s="37"/>
      <c r="BLH48" s="37"/>
      <c r="BLI48" s="37"/>
      <c r="BLJ48" s="37"/>
      <c r="BLK48" s="37"/>
      <c r="BLL48" s="37"/>
      <c r="BLM48" s="37"/>
      <c r="BLN48" s="37"/>
      <c r="BLO48" s="37"/>
      <c r="BLP48" s="37"/>
      <c r="BLQ48" s="37"/>
      <c r="BLR48" s="37"/>
      <c r="BLS48" s="37"/>
      <c r="BLT48" s="37"/>
      <c r="BLU48" s="37"/>
      <c r="BLV48" s="37"/>
      <c r="BLW48" s="37"/>
      <c r="BLX48" s="37"/>
      <c r="BLY48" s="37"/>
      <c r="BLZ48" s="37"/>
      <c r="BMA48" s="37"/>
      <c r="BMB48" s="37"/>
      <c r="BMC48" s="37"/>
      <c r="BMD48" s="37"/>
      <c r="BME48" s="37"/>
      <c r="BMF48" s="37"/>
      <c r="BMG48" s="37"/>
      <c r="BMH48" s="37"/>
      <c r="BMI48" s="37"/>
      <c r="BMJ48" s="37"/>
      <c r="BMK48" s="37"/>
      <c r="BML48" s="37"/>
      <c r="BMM48" s="37"/>
      <c r="BMN48" s="37"/>
      <c r="BMO48" s="37"/>
      <c r="BMP48" s="37"/>
      <c r="BMQ48" s="37"/>
      <c r="BMR48" s="37"/>
      <c r="BMS48" s="37"/>
      <c r="BMT48" s="37"/>
      <c r="BMU48" s="37"/>
      <c r="BMV48" s="37"/>
      <c r="BMW48" s="37"/>
      <c r="BMX48" s="37"/>
      <c r="BMY48" s="37"/>
      <c r="BMZ48" s="37"/>
      <c r="BNA48" s="37"/>
      <c r="BNB48" s="37"/>
      <c r="BNC48" s="37"/>
      <c r="BND48" s="37"/>
      <c r="BNE48" s="37"/>
      <c r="BNF48" s="37"/>
      <c r="BNG48" s="37"/>
      <c r="BNH48" s="37"/>
      <c r="BNI48" s="37"/>
      <c r="BNJ48" s="37"/>
      <c r="BNK48" s="37"/>
      <c r="BNL48" s="37"/>
      <c r="BNM48" s="37"/>
      <c r="BNN48" s="37"/>
      <c r="BNO48" s="37"/>
      <c r="BNP48" s="37"/>
      <c r="BNQ48" s="37"/>
      <c r="BNR48" s="37"/>
      <c r="BNS48" s="37"/>
      <c r="BNT48" s="37"/>
      <c r="BNU48" s="37"/>
      <c r="BNV48" s="37"/>
      <c r="BNW48" s="37"/>
      <c r="BNX48" s="37"/>
      <c r="BNY48" s="37"/>
      <c r="BNZ48" s="37"/>
      <c r="BOA48" s="37"/>
      <c r="BOB48" s="37"/>
      <c r="BOC48" s="37"/>
      <c r="BOD48" s="37"/>
      <c r="BOE48" s="37"/>
      <c r="BOF48" s="37"/>
      <c r="BOG48" s="37"/>
      <c r="BOH48" s="37"/>
      <c r="BOI48" s="37"/>
      <c r="BOJ48" s="37"/>
      <c r="BOK48" s="37"/>
      <c r="BOL48" s="37"/>
      <c r="BOM48" s="37"/>
      <c r="BON48" s="37"/>
      <c r="BOO48" s="37"/>
      <c r="BOP48" s="37"/>
      <c r="BOQ48" s="37"/>
      <c r="BOR48" s="37"/>
      <c r="BOS48" s="37"/>
      <c r="BOT48" s="37"/>
      <c r="BOU48" s="37"/>
      <c r="BOV48" s="37"/>
      <c r="BOW48" s="37"/>
      <c r="BOX48" s="37"/>
      <c r="BOY48" s="37"/>
      <c r="BOZ48" s="37"/>
      <c r="BPA48" s="37"/>
      <c r="BPB48" s="37"/>
      <c r="BPC48" s="37"/>
      <c r="BPD48" s="37"/>
      <c r="BPE48" s="37"/>
      <c r="BPF48" s="37"/>
      <c r="BPG48" s="37"/>
      <c r="BPH48" s="37"/>
      <c r="BPI48" s="37"/>
      <c r="BPJ48" s="37"/>
      <c r="BPK48" s="37"/>
      <c r="BPL48" s="37"/>
      <c r="BPM48" s="37"/>
      <c r="BPN48" s="37"/>
      <c r="BPO48" s="37"/>
      <c r="BPP48" s="37"/>
      <c r="BPQ48" s="37"/>
      <c r="BPR48" s="37"/>
      <c r="BPS48" s="37"/>
      <c r="BPT48" s="37"/>
      <c r="BPU48" s="37"/>
      <c r="BPV48" s="37"/>
      <c r="BPW48" s="37"/>
      <c r="BPX48" s="37"/>
      <c r="BPY48" s="37"/>
      <c r="BPZ48" s="37"/>
      <c r="BQA48" s="37"/>
      <c r="BQB48" s="37"/>
      <c r="BQC48" s="37"/>
      <c r="BQD48" s="37"/>
      <c r="BQE48" s="37"/>
      <c r="BQF48" s="37"/>
      <c r="BQG48" s="37"/>
      <c r="BQH48" s="37"/>
      <c r="BQI48" s="37"/>
      <c r="BQJ48" s="37"/>
      <c r="BQK48" s="37"/>
      <c r="BQL48" s="37"/>
      <c r="BQM48" s="37"/>
      <c r="BQN48" s="37"/>
      <c r="BQO48" s="37"/>
      <c r="BQP48" s="37"/>
      <c r="BQQ48" s="37"/>
      <c r="BQR48" s="37"/>
      <c r="BQS48" s="37"/>
      <c r="BQT48" s="37"/>
      <c r="BQU48" s="37"/>
      <c r="BQV48" s="37"/>
      <c r="BQW48" s="37"/>
      <c r="BQX48" s="37"/>
      <c r="BQY48" s="37"/>
      <c r="BQZ48" s="37"/>
      <c r="BRA48" s="37"/>
      <c r="BRB48" s="37"/>
      <c r="BRC48" s="37"/>
      <c r="BRD48" s="37"/>
      <c r="BRE48" s="37"/>
      <c r="BRF48" s="37"/>
      <c r="BRG48" s="37"/>
      <c r="BRH48" s="37"/>
      <c r="BRI48" s="37"/>
      <c r="BRJ48" s="37"/>
      <c r="BRK48" s="37"/>
      <c r="BRL48" s="37"/>
      <c r="BRM48" s="37"/>
      <c r="BRN48" s="37"/>
      <c r="BRO48" s="37"/>
      <c r="BRP48" s="37"/>
      <c r="BRQ48" s="37"/>
      <c r="BRR48" s="37"/>
      <c r="BRS48" s="37"/>
      <c r="BRT48" s="37"/>
      <c r="BRU48" s="37"/>
      <c r="BRV48" s="37"/>
      <c r="BRW48" s="37"/>
      <c r="BRX48" s="37"/>
      <c r="BRY48" s="37"/>
      <c r="BRZ48" s="37"/>
      <c r="BSA48" s="37"/>
      <c r="BSB48" s="37"/>
      <c r="BSC48" s="37"/>
      <c r="BSD48" s="37"/>
      <c r="BSE48" s="37"/>
      <c r="BSF48" s="37"/>
      <c r="BSG48" s="37"/>
      <c r="BSH48" s="37"/>
      <c r="BSI48" s="37"/>
      <c r="BSJ48" s="37"/>
      <c r="BSK48" s="37"/>
      <c r="BSL48" s="37"/>
      <c r="BSM48" s="37"/>
      <c r="BSN48" s="37"/>
      <c r="BSO48" s="37"/>
      <c r="BSP48" s="37"/>
      <c r="BSQ48" s="37"/>
      <c r="BSR48" s="37"/>
      <c r="BSS48" s="37"/>
      <c r="BST48" s="37"/>
      <c r="BSU48" s="37"/>
      <c r="BSV48" s="37"/>
      <c r="BSW48" s="37"/>
      <c r="BSX48" s="37"/>
      <c r="BSY48" s="37"/>
      <c r="BSZ48" s="37"/>
      <c r="BTA48" s="37"/>
      <c r="BTB48" s="37"/>
      <c r="BTC48" s="37"/>
      <c r="BTD48" s="37"/>
      <c r="BTE48" s="37"/>
      <c r="BTF48" s="37"/>
      <c r="BTG48" s="37"/>
      <c r="BTH48" s="37"/>
      <c r="BTI48" s="37"/>
      <c r="BTJ48" s="37"/>
      <c r="BTK48" s="37"/>
      <c r="BTL48" s="37"/>
      <c r="BTM48" s="37"/>
      <c r="BTN48" s="37"/>
      <c r="BTO48" s="37"/>
      <c r="BTP48" s="37"/>
      <c r="BTQ48" s="37"/>
      <c r="BTR48" s="37"/>
      <c r="BTS48" s="37"/>
      <c r="BTT48" s="37"/>
      <c r="BTU48" s="37"/>
      <c r="BTV48" s="37"/>
      <c r="BTW48" s="37"/>
      <c r="BTX48" s="37"/>
      <c r="BTY48" s="37"/>
      <c r="BTZ48" s="37"/>
      <c r="BUA48" s="37"/>
      <c r="BUB48" s="37"/>
      <c r="BUC48" s="37"/>
      <c r="BUD48" s="37"/>
      <c r="BUE48" s="37"/>
      <c r="BUF48" s="37"/>
      <c r="BUG48" s="37"/>
      <c r="BUH48" s="37"/>
      <c r="BUI48" s="37"/>
      <c r="BUJ48" s="37"/>
      <c r="BUK48" s="37"/>
      <c r="BUL48" s="37"/>
      <c r="BUM48" s="37"/>
      <c r="BUN48" s="37"/>
      <c r="BUO48" s="37"/>
      <c r="BUP48" s="37"/>
      <c r="BUQ48" s="37"/>
      <c r="BUR48" s="37"/>
      <c r="BUS48" s="37"/>
      <c r="BUT48" s="37"/>
      <c r="BUU48" s="37"/>
      <c r="BUV48" s="37"/>
      <c r="BUW48" s="37"/>
      <c r="BUX48" s="37"/>
      <c r="BUY48" s="37"/>
      <c r="BUZ48" s="37"/>
      <c r="BVA48" s="37"/>
      <c r="BVB48" s="37"/>
      <c r="BVC48" s="37"/>
      <c r="BVD48" s="37"/>
      <c r="BVE48" s="37"/>
      <c r="BVF48" s="37"/>
      <c r="BVG48" s="37"/>
      <c r="BVH48" s="37"/>
      <c r="BVI48" s="37"/>
      <c r="BVJ48" s="37"/>
      <c r="BVK48" s="37"/>
      <c r="BVL48" s="37"/>
      <c r="BVM48" s="37"/>
      <c r="BVN48" s="37"/>
      <c r="BVO48" s="37"/>
      <c r="BVP48" s="37"/>
      <c r="BVQ48" s="37"/>
      <c r="BVR48" s="37"/>
      <c r="BVS48" s="37"/>
      <c r="BVT48" s="37"/>
      <c r="BVU48" s="37"/>
      <c r="BVV48" s="37"/>
      <c r="BVW48" s="37"/>
      <c r="BVX48" s="37"/>
      <c r="BVY48" s="37"/>
      <c r="BVZ48" s="37"/>
      <c r="BWA48" s="37"/>
      <c r="BWB48" s="37"/>
      <c r="BWC48" s="37"/>
      <c r="BWD48" s="37"/>
      <c r="BWE48" s="37"/>
      <c r="BWF48" s="37"/>
      <c r="BWG48" s="37"/>
      <c r="BWH48" s="37"/>
      <c r="BWI48" s="37"/>
      <c r="BWJ48" s="37"/>
      <c r="BWK48" s="37"/>
      <c r="BWL48" s="37"/>
      <c r="BWM48" s="37"/>
      <c r="BWN48" s="37"/>
      <c r="BWO48" s="37"/>
      <c r="BWP48" s="37"/>
      <c r="BWQ48" s="37"/>
      <c r="BWR48" s="37"/>
      <c r="BWS48" s="37"/>
      <c r="BWT48" s="37"/>
      <c r="BWU48" s="37"/>
      <c r="BWV48" s="37"/>
      <c r="BWW48" s="37"/>
      <c r="BWX48" s="37"/>
      <c r="BWY48" s="37"/>
      <c r="BWZ48" s="37"/>
      <c r="BXA48" s="37"/>
      <c r="BXB48" s="37"/>
      <c r="BXC48" s="37"/>
      <c r="BXD48" s="37"/>
      <c r="BXE48" s="37"/>
      <c r="BXF48" s="37"/>
      <c r="BXG48" s="37"/>
      <c r="BXH48" s="37"/>
      <c r="BXI48" s="37"/>
      <c r="BXJ48" s="37"/>
      <c r="BXK48" s="37"/>
      <c r="BXL48" s="37"/>
      <c r="BXM48" s="37"/>
      <c r="BXN48" s="37"/>
      <c r="BXO48" s="37"/>
      <c r="BXP48" s="37"/>
      <c r="BXQ48" s="37"/>
      <c r="BXR48" s="37"/>
      <c r="BXS48" s="37"/>
      <c r="BXT48" s="37"/>
      <c r="BXU48" s="37"/>
      <c r="BXV48" s="37"/>
      <c r="BXW48" s="37"/>
      <c r="BXX48" s="37"/>
      <c r="BXY48" s="37"/>
      <c r="BXZ48" s="37"/>
      <c r="BYA48" s="37"/>
      <c r="BYB48" s="37"/>
      <c r="BYC48" s="37"/>
      <c r="BYD48" s="37"/>
      <c r="BYE48" s="37"/>
      <c r="BYF48" s="37"/>
      <c r="BYG48" s="37"/>
      <c r="BYH48" s="37"/>
      <c r="BYI48" s="37"/>
      <c r="BYJ48" s="37"/>
      <c r="BYK48" s="37"/>
      <c r="BYL48" s="37"/>
      <c r="BYM48" s="37"/>
      <c r="BYN48" s="37"/>
      <c r="BYO48" s="37"/>
      <c r="BYP48" s="37"/>
      <c r="BYQ48" s="37"/>
      <c r="BYR48" s="37"/>
      <c r="BYS48" s="37"/>
      <c r="BYT48" s="37"/>
      <c r="BYU48" s="37"/>
      <c r="BYV48" s="37"/>
      <c r="BYW48" s="37"/>
      <c r="BYX48" s="37"/>
      <c r="BYY48" s="37"/>
      <c r="BYZ48" s="37"/>
      <c r="BZA48" s="37"/>
      <c r="BZB48" s="37"/>
      <c r="BZC48" s="37"/>
      <c r="BZD48" s="37"/>
      <c r="BZE48" s="37"/>
      <c r="BZF48" s="37"/>
      <c r="BZG48" s="37"/>
      <c r="BZH48" s="37"/>
      <c r="BZI48" s="37"/>
      <c r="BZJ48" s="37"/>
      <c r="BZK48" s="37"/>
      <c r="BZL48" s="37"/>
      <c r="BZM48" s="37"/>
      <c r="BZN48" s="37"/>
      <c r="BZO48" s="37"/>
      <c r="BZP48" s="37"/>
      <c r="BZQ48" s="37"/>
      <c r="BZR48" s="37"/>
      <c r="BZS48" s="37"/>
      <c r="BZT48" s="37"/>
      <c r="BZU48" s="37"/>
      <c r="BZV48" s="37"/>
      <c r="BZW48" s="37"/>
      <c r="BZX48" s="37"/>
      <c r="BZY48" s="37"/>
      <c r="BZZ48" s="37"/>
      <c r="CAA48" s="37"/>
      <c r="CAB48" s="37"/>
      <c r="CAC48" s="37"/>
      <c r="CAD48" s="37"/>
      <c r="CAE48" s="37"/>
      <c r="CAF48" s="37"/>
      <c r="CAG48" s="37"/>
      <c r="CAH48" s="37"/>
      <c r="CAI48" s="37"/>
      <c r="CAJ48" s="37"/>
      <c r="CAK48" s="37"/>
      <c r="CAL48" s="37"/>
      <c r="CAM48" s="37"/>
      <c r="CAN48" s="37"/>
      <c r="CAO48" s="37"/>
      <c r="CAP48" s="37"/>
      <c r="CAQ48" s="37"/>
      <c r="CAR48" s="37"/>
      <c r="CAS48" s="37"/>
      <c r="CAT48" s="37"/>
      <c r="CAU48" s="37"/>
      <c r="CAV48" s="37"/>
      <c r="CAW48" s="37"/>
      <c r="CAX48" s="37"/>
      <c r="CAY48" s="37"/>
      <c r="CAZ48" s="37"/>
      <c r="CBA48" s="37"/>
      <c r="CBB48" s="37"/>
      <c r="CBC48" s="37"/>
      <c r="CBD48" s="37"/>
      <c r="CBE48" s="37"/>
      <c r="CBF48" s="37"/>
      <c r="CBG48" s="37"/>
      <c r="CBH48" s="37"/>
      <c r="CBI48" s="37"/>
      <c r="CBJ48" s="37"/>
      <c r="CBK48" s="37"/>
      <c r="CBL48" s="37"/>
      <c r="CBM48" s="37"/>
      <c r="CBN48" s="37"/>
      <c r="CBO48" s="37"/>
      <c r="CBP48" s="37"/>
      <c r="CBQ48" s="37"/>
      <c r="CBR48" s="37"/>
      <c r="CBS48" s="37"/>
      <c r="CBT48" s="37"/>
      <c r="CBU48" s="37"/>
      <c r="CBV48" s="37"/>
      <c r="CBW48" s="37"/>
      <c r="CBX48" s="37"/>
      <c r="CBY48" s="37"/>
      <c r="CBZ48" s="37"/>
      <c r="CCA48" s="37"/>
      <c r="CCB48" s="37"/>
      <c r="CCC48" s="37"/>
      <c r="CCD48" s="37"/>
      <c r="CCE48" s="37"/>
      <c r="CCF48" s="37"/>
      <c r="CCG48" s="37"/>
      <c r="CCH48" s="37"/>
      <c r="CCI48" s="37"/>
      <c r="CCJ48" s="37"/>
      <c r="CCK48" s="37"/>
      <c r="CCL48" s="37"/>
      <c r="CCM48" s="37"/>
      <c r="CCN48" s="37"/>
      <c r="CCO48" s="37"/>
      <c r="CCP48" s="37"/>
      <c r="CCQ48" s="37"/>
      <c r="CCR48" s="37"/>
      <c r="CCS48" s="37"/>
      <c r="CCT48" s="37"/>
      <c r="CCU48" s="37"/>
      <c r="CCV48" s="37"/>
      <c r="CCW48" s="37"/>
      <c r="CCX48" s="37"/>
      <c r="CCY48" s="37"/>
      <c r="CCZ48" s="37"/>
      <c r="CDA48" s="37"/>
      <c r="CDB48" s="37"/>
      <c r="CDC48" s="37"/>
      <c r="CDD48" s="37"/>
      <c r="CDE48" s="37"/>
      <c r="CDF48" s="37"/>
      <c r="CDG48" s="37"/>
      <c r="CDH48" s="37"/>
      <c r="CDI48" s="37"/>
      <c r="CDJ48" s="37"/>
      <c r="CDK48" s="37"/>
      <c r="CDL48" s="37"/>
      <c r="CDM48" s="37"/>
      <c r="CDN48" s="37"/>
      <c r="CDO48" s="37"/>
      <c r="CDP48" s="37"/>
      <c r="CDQ48" s="37"/>
      <c r="CDR48" s="37"/>
      <c r="CDS48" s="37"/>
      <c r="CDT48" s="37"/>
      <c r="CDU48" s="37"/>
      <c r="CDV48" s="37"/>
      <c r="CDW48" s="37"/>
      <c r="CDX48" s="37"/>
      <c r="CDY48" s="37"/>
      <c r="CDZ48" s="37"/>
      <c r="CEA48" s="37"/>
      <c r="CEB48" s="37"/>
      <c r="CEC48" s="37"/>
      <c r="CED48" s="37"/>
      <c r="CEE48" s="37"/>
      <c r="CEF48" s="37"/>
      <c r="CEG48" s="37"/>
      <c r="CEH48" s="37"/>
      <c r="CEI48" s="37"/>
      <c r="CEJ48" s="37"/>
      <c r="CEK48" s="37"/>
      <c r="CEL48" s="37"/>
      <c r="CEM48" s="37"/>
      <c r="CEN48" s="37"/>
      <c r="CEO48" s="37"/>
      <c r="CEP48" s="37"/>
      <c r="CEQ48" s="37"/>
      <c r="CER48" s="37"/>
      <c r="CES48" s="37"/>
      <c r="CET48" s="37"/>
      <c r="CEU48" s="37"/>
      <c r="CEV48" s="37"/>
      <c r="CEW48" s="37"/>
      <c r="CEX48" s="37"/>
      <c r="CEY48" s="37"/>
      <c r="CEZ48" s="37"/>
      <c r="CFA48" s="37"/>
      <c r="CFB48" s="37"/>
      <c r="CFC48" s="37"/>
      <c r="CFD48" s="37"/>
      <c r="CFE48" s="37"/>
      <c r="CFF48" s="37"/>
      <c r="CFG48" s="37"/>
      <c r="CFH48" s="37"/>
      <c r="CFI48" s="37"/>
      <c r="CFJ48" s="37"/>
      <c r="CFK48" s="37"/>
      <c r="CFL48" s="37"/>
      <c r="CFM48" s="37"/>
      <c r="CFN48" s="37"/>
      <c r="CFO48" s="37"/>
      <c r="CFP48" s="37"/>
      <c r="CFQ48" s="37"/>
      <c r="CFR48" s="37"/>
      <c r="CFS48" s="37"/>
      <c r="CFT48" s="37"/>
      <c r="CFU48" s="37"/>
      <c r="CFV48" s="37"/>
      <c r="CFW48" s="37"/>
      <c r="CFX48" s="37"/>
      <c r="CFY48" s="37"/>
      <c r="CFZ48" s="37"/>
      <c r="CGA48" s="37"/>
      <c r="CGB48" s="37"/>
      <c r="CGC48" s="37"/>
      <c r="CGD48" s="37"/>
      <c r="CGE48" s="37"/>
      <c r="CGF48" s="37"/>
      <c r="CGG48" s="37"/>
      <c r="CGH48" s="37"/>
      <c r="CGI48" s="37"/>
      <c r="CGJ48" s="37"/>
      <c r="CGK48" s="37"/>
      <c r="CGL48" s="37"/>
      <c r="CGM48" s="37"/>
      <c r="CGN48" s="37"/>
      <c r="CGO48" s="37"/>
      <c r="CGP48" s="37"/>
      <c r="CGQ48" s="37"/>
      <c r="CGR48" s="37"/>
      <c r="CGS48" s="37"/>
      <c r="CGT48" s="37"/>
      <c r="CGU48" s="37"/>
      <c r="CGV48" s="37"/>
      <c r="CGW48" s="37"/>
      <c r="CGX48" s="37"/>
      <c r="CGY48" s="37"/>
      <c r="CGZ48" s="37"/>
      <c r="CHA48" s="37"/>
      <c r="CHB48" s="37"/>
      <c r="CHC48" s="37"/>
      <c r="CHD48" s="37"/>
      <c r="CHE48" s="37"/>
      <c r="CHF48" s="37"/>
      <c r="CHG48" s="37"/>
      <c r="CHH48" s="37"/>
      <c r="CHI48" s="37"/>
      <c r="CHJ48" s="37"/>
      <c r="CHK48" s="37"/>
      <c r="CHL48" s="37"/>
      <c r="CHM48" s="37"/>
      <c r="CHN48" s="37"/>
      <c r="CHO48" s="37"/>
      <c r="CHP48" s="37"/>
      <c r="CHQ48" s="37"/>
      <c r="CHR48" s="37"/>
      <c r="CHS48" s="37"/>
      <c r="CHT48" s="37"/>
      <c r="CHU48" s="37"/>
      <c r="CHV48" s="37"/>
      <c r="CHW48" s="37"/>
      <c r="CHX48" s="37"/>
      <c r="CHY48" s="37"/>
      <c r="CHZ48" s="37"/>
      <c r="CIA48" s="37"/>
      <c r="CIB48" s="37"/>
      <c r="CIC48" s="37"/>
      <c r="CID48" s="37"/>
      <c r="CIE48" s="37"/>
      <c r="CIF48" s="37"/>
      <c r="CIG48" s="37"/>
      <c r="CIH48" s="37"/>
      <c r="CII48" s="37"/>
      <c r="CIJ48" s="37"/>
      <c r="CIK48" s="37"/>
      <c r="CIL48" s="37"/>
      <c r="CIM48" s="37"/>
      <c r="CIN48" s="37"/>
      <c r="CIO48" s="37"/>
      <c r="CIP48" s="37"/>
      <c r="CIQ48" s="37"/>
      <c r="CIR48" s="37"/>
      <c r="CIS48" s="37"/>
      <c r="CIT48" s="37"/>
      <c r="CIU48" s="37"/>
      <c r="CIV48" s="37"/>
      <c r="CIW48" s="37"/>
      <c r="CIX48" s="37"/>
      <c r="CIY48" s="37"/>
      <c r="CIZ48" s="37"/>
      <c r="CJA48" s="37"/>
      <c r="CJB48" s="37"/>
      <c r="CJC48" s="37"/>
      <c r="CJD48" s="37"/>
      <c r="CJE48" s="37"/>
      <c r="CJF48" s="37"/>
      <c r="CJG48" s="37"/>
      <c r="CJH48" s="37"/>
      <c r="CJI48" s="37"/>
      <c r="CJJ48" s="37"/>
      <c r="CJK48" s="37"/>
      <c r="CJL48" s="37"/>
      <c r="CJM48" s="37"/>
      <c r="CJN48" s="37"/>
      <c r="CJO48" s="37"/>
      <c r="CJP48" s="37"/>
      <c r="CJQ48" s="37"/>
      <c r="CJR48" s="37"/>
      <c r="CJS48" s="37"/>
      <c r="CJT48" s="37"/>
      <c r="CJU48" s="37"/>
      <c r="CJV48" s="37"/>
      <c r="CJW48" s="37"/>
      <c r="CJX48" s="37"/>
      <c r="CJY48" s="37"/>
      <c r="CJZ48" s="37"/>
      <c r="CKA48" s="37"/>
      <c r="CKB48" s="37"/>
      <c r="CKC48" s="37"/>
      <c r="CKD48" s="37"/>
      <c r="CKE48" s="37"/>
      <c r="CKF48" s="37"/>
      <c r="CKG48" s="37"/>
      <c r="CKH48" s="37"/>
      <c r="CKI48" s="37"/>
      <c r="CKJ48" s="37"/>
      <c r="CKK48" s="37"/>
      <c r="CKL48" s="37"/>
      <c r="CKM48" s="37"/>
      <c r="CKN48" s="37"/>
      <c r="CKO48" s="37"/>
      <c r="CKP48" s="37"/>
      <c r="CKQ48" s="37"/>
      <c r="CKR48" s="37"/>
      <c r="CKS48" s="37"/>
      <c r="CKT48" s="37"/>
      <c r="CKU48" s="37"/>
      <c r="CKV48" s="37"/>
      <c r="CKW48" s="37"/>
      <c r="CKX48" s="37"/>
      <c r="CKY48" s="37"/>
      <c r="CKZ48" s="37"/>
      <c r="CLA48" s="37"/>
      <c r="CLB48" s="37"/>
      <c r="CLC48" s="37"/>
      <c r="CLD48" s="37"/>
      <c r="CLE48" s="37"/>
      <c r="CLF48" s="37"/>
      <c r="CLG48" s="37"/>
      <c r="CLH48" s="37"/>
      <c r="CLI48" s="37"/>
      <c r="CLJ48" s="37"/>
      <c r="CLK48" s="37"/>
      <c r="CLL48" s="37"/>
      <c r="CLM48" s="37"/>
      <c r="CLN48" s="37"/>
      <c r="CLO48" s="37"/>
      <c r="CLP48" s="37"/>
      <c r="CLQ48" s="37"/>
      <c r="CLR48" s="37"/>
      <c r="CLS48" s="37"/>
      <c r="CLT48" s="37"/>
      <c r="CLU48" s="37"/>
      <c r="CLV48" s="37"/>
      <c r="CLW48" s="37"/>
      <c r="CLX48" s="37"/>
      <c r="CLY48" s="37"/>
      <c r="CLZ48" s="37"/>
      <c r="CMA48" s="37"/>
      <c r="CMB48" s="37"/>
      <c r="CMC48" s="37"/>
      <c r="CMD48" s="37"/>
      <c r="CME48" s="37"/>
      <c r="CMF48" s="37"/>
      <c r="CMG48" s="37"/>
      <c r="CMH48" s="37"/>
      <c r="CMI48" s="37"/>
      <c r="CMJ48" s="37"/>
      <c r="CMK48" s="37"/>
      <c r="CML48" s="37"/>
      <c r="CMM48" s="37"/>
      <c r="CMN48" s="37"/>
      <c r="CMO48" s="37"/>
      <c r="CMP48" s="37"/>
      <c r="CMQ48" s="37"/>
      <c r="CMR48" s="37"/>
      <c r="CMS48" s="37"/>
      <c r="CMT48" s="37"/>
      <c r="CMU48" s="37"/>
      <c r="CMV48" s="37"/>
      <c r="CMW48" s="37"/>
      <c r="CMX48" s="37"/>
      <c r="CMY48" s="37"/>
      <c r="CMZ48" s="37"/>
      <c r="CNA48" s="37"/>
      <c r="CNB48" s="37"/>
      <c r="CNC48" s="37"/>
      <c r="CND48" s="37"/>
      <c r="CNE48" s="37"/>
      <c r="CNF48" s="37"/>
      <c r="CNG48" s="37"/>
      <c r="CNH48" s="37"/>
      <c r="CNI48" s="37"/>
      <c r="CNJ48" s="37"/>
      <c r="CNK48" s="37"/>
      <c r="CNL48" s="37"/>
      <c r="CNM48" s="37"/>
      <c r="CNN48" s="37"/>
      <c r="CNO48" s="37"/>
      <c r="CNP48" s="37"/>
      <c r="CNQ48" s="37"/>
      <c r="CNR48" s="37"/>
      <c r="CNS48" s="37"/>
      <c r="CNT48" s="37"/>
      <c r="CNU48" s="37"/>
      <c r="CNV48" s="37"/>
      <c r="CNW48" s="37"/>
      <c r="CNX48" s="37"/>
      <c r="CNY48" s="37"/>
      <c r="CNZ48" s="37"/>
      <c r="COA48" s="37"/>
      <c r="COB48" s="37"/>
      <c r="COC48" s="37"/>
      <c r="COD48" s="37"/>
      <c r="COE48" s="37"/>
      <c r="COF48" s="37"/>
      <c r="COG48" s="37"/>
      <c r="COH48" s="37"/>
      <c r="COI48" s="37"/>
      <c r="COJ48" s="37"/>
      <c r="COK48" s="37"/>
      <c r="COL48" s="37"/>
      <c r="COM48" s="37"/>
      <c r="CON48" s="37"/>
      <c r="COO48" s="37"/>
      <c r="COP48" s="37"/>
      <c r="COQ48" s="37"/>
      <c r="COR48" s="37"/>
      <c r="COS48" s="37"/>
      <c r="COT48" s="37"/>
      <c r="COU48" s="37"/>
      <c r="COV48" s="37"/>
      <c r="COW48" s="37"/>
      <c r="COX48" s="37"/>
      <c r="COY48" s="37"/>
      <c r="COZ48" s="37"/>
      <c r="CPA48" s="37"/>
      <c r="CPB48" s="37"/>
      <c r="CPC48" s="37"/>
      <c r="CPD48" s="37"/>
      <c r="CPE48" s="37"/>
      <c r="CPF48" s="37"/>
      <c r="CPG48" s="37"/>
      <c r="CPH48" s="37"/>
      <c r="CPI48" s="37"/>
      <c r="CPJ48" s="37"/>
      <c r="CPK48" s="37"/>
      <c r="CPL48" s="37"/>
      <c r="CPM48" s="37"/>
      <c r="CPN48" s="37"/>
      <c r="CPO48" s="37"/>
      <c r="CPP48" s="37"/>
      <c r="CPQ48" s="37"/>
      <c r="CPR48" s="37"/>
      <c r="CPS48" s="37"/>
      <c r="CPT48" s="37"/>
      <c r="CPU48" s="37"/>
      <c r="CPV48" s="37"/>
      <c r="CPW48" s="37"/>
      <c r="CPX48" s="37"/>
      <c r="CPY48" s="37"/>
      <c r="CPZ48" s="37"/>
      <c r="CQA48" s="37"/>
      <c r="CQB48" s="37"/>
      <c r="CQC48" s="37"/>
      <c r="CQD48" s="37"/>
      <c r="CQE48" s="37"/>
      <c r="CQF48" s="37"/>
      <c r="CQG48" s="37"/>
      <c r="CQH48" s="37"/>
      <c r="CQI48" s="37"/>
      <c r="CQJ48" s="37"/>
      <c r="CQK48" s="37"/>
      <c r="CQL48" s="37"/>
      <c r="CQM48" s="37"/>
      <c r="CQN48" s="37"/>
      <c r="CQO48" s="37"/>
      <c r="CQP48" s="37"/>
      <c r="CQQ48" s="37"/>
      <c r="CQR48" s="37"/>
      <c r="CQS48" s="37"/>
      <c r="CQT48" s="37"/>
      <c r="CQU48" s="37"/>
      <c r="CQV48" s="37"/>
      <c r="CQW48" s="37"/>
      <c r="CQX48" s="37"/>
      <c r="CQY48" s="37"/>
      <c r="CQZ48" s="37"/>
      <c r="CRA48" s="37"/>
      <c r="CRB48" s="37"/>
      <c r="CRC48" s="37"/>
      <c r="CRD48" s="37"/>
      <c r="CRE48" s="37"/>
      <c r="CRF48" s="37"/>
      <c r="CRG48" s="37"/>
      <c r="CRH48" s="37"/>
      <c r="CRI48" s="37"/>
      <c r="CRJ48" s="37"/>
      <c r="CRK48" s="37"/>
      <c r="CRL48" s="37"/>
      <c r="CRM48" s="37"/>
      <c r="CRN48" s="37"/>
      <c r="CRO48" s="37"/>
      <c r="CRP48" s="37"/>
      <c r="CRQ48" s="37"/>
      <c r="CRR48" s="37"/>
      <c r="CRS48" s="37"/>
      <c r="CRT48" s="37"/>
      <c r="CRU48" s="37"/>
      <c r="CRV48" s="37"/>
      <c r="CRW48" s="37"/>
      <c r="CRX48" s="37"/>
      <c r="CRY48" s="37"/>
      <c r="CRZ48" s="37"/>
      <c r="CSA48" s="37"/>
      <c r="CSB48" s="37"/>
      <c r="CSC48" s="37"/>
      <c r="CSD48" s="37"/>
      <c r="CSE48" s="37"/>
      <c r="CSF48" s="37"/>
      <c r="CSG48" s="37"/>
      <c r="CSH48" s="37"/>
      <c r="CSI48" s="37"/>
      <c r="CSJ48" s="37"/>
      <c r="CSK48" s="37"/>
      <c r="CSL48" s="37"/>
      <c r="CSM48" s="37"/>
      <c r="CSN48" s="37"/>
      <c r="CSO48" s="37"/>
      <c r="CSP48" s="37"/>
      <c r="CSQ48" s="37"/>
      <c r="CSR48" s="37"/>
      <c r="CSS48" s="37"/>
      <c r="CST48" s="37"/>
      <c r="CSU48" s="37"/>
      <c r="CSV48" s="37"/>
      <c r="CSW48" s="37"/>
      <c r="CSX48" s="37"/>
      <c r="CSY48" s="37"/>
      <c r="CSZ48" s="37"/>
      <c r="CTA48" s="37"/>
      <c r="CTB48" s="37"/>
      <c r="CTC48" s="37"/>
      <c r="CTD48" s="37"/>
      <c r="CTE48" s="37"/>
      <c r="CTF48" s="37"/>
      <c r="CTG48" s="37"/>
      <c r="CTH48" s="37"/>
      <c r="CTI48" s="37"/>
      <c r="CTJ48" s="37"/>
      <c r="CTK48" s="37"/>
      <c r="CTL48" s="37"/>
      <c r="CTM48" s="37"/>
      <c r="CTN48" s="37"/>
      <c r="CTO48" s="37"/>
      <c r="CTP48" s="37"/>
      <c r="CTQ48" s="37"/>
      <c r="CTR48" s="37"/>
      <c r="CTS48" s="37"/>
      <c r="CTT48" s="37"/>
      <c r="CTU48" s="37"/>
      <c r="CTV48" s="37"/>
      <c r="CTW48" s="37"/>
      <c r="CTX48" s="37"/>
      <c r="CTY48" s="37"/>
      <c r="CTZ48" s="37"/>
      <c r="CUA48" s="37"/>
      <c r="CUB48" s="37"/>
      <c r="CUC48" s="37"/>
      <c r="CUD48" s="37"/>
      <c r="CUE48" s="37"/>
      <c r="CUF48" s="37"/>
      <c r="CUG48" s="37"/>
      <c r="CUH48" s="37"/>
      <c r="CUI48" s="37"/>
      <c r="CUJ48" s="37"/>
      <c r="CUK48" s="37"/>
      <c r="CUL48" s="37"/>
      <c r="CUM48" s="37"/>
      <c r="CUN48" s="37"/>
      <c r="CUO48" s="37"/>
      <c r="CUP48" s="37"/>
      <c r="CUQ48" s="37"/>
      <c r="CUR48" s="37"/>
      <c r="CUS48" s="37"/>
      <c r="CUT48" s="37"/>
      <c r="CUU48" s="37"/>
      <c r="CUV48" s="37"/>
      <c r="CUW48" s="37"/>
      <c r="CUX48" s="37"/>
      <c r="CUY48" s="37"/>
      <c r="CUZ48" s="37"/>
      <c r="CVA48" s="37"/>
      <c r="CVB48" s="37"/>
      <c r="CVC48" s="37"/>
      <c r="CVD48" s="37"/>
      <c r="CVE48" s="37"/>
      <c r="CVF48" s="37"/>
      <c r="CVG48" s="37"/>
      <c r="CVH48" s="37"/>
      <c r="CVI48" s="37"/>
      <c r="CVJ48" s="37"/>
      <c r="CVK48" s="37"/>
      <c r="CVL48" s="37"/>
      <c r="CVM48" s="37"/>
      <c r="CVN48" s="37"/>
      <c r="CVO48" s="37"/>
      <c r="CVP48" s="37"/>
      <c r="CVQ48" s="37"/>
      <c r="CVR48" s="37"/>
      <c r="CVS48" s="37"/>
      <c r="CVT48" s="37"/>
      <c r="CVU48" s="37"/>
      <c r="CVV48" s="37"/>
      <c r="CVW48" s="37"/>
      <c r="CVX48" s="37"/>
      <c r="CVY48" s="37"/>
      <c r="CVZ48" s="37"/>
      <c r="CWA48" s="37"/>
      <c r="CWB48" s="37"/>
      <c r="CWC48" s="37"/>
      <c r="CWD48" s="37"/>
      <c r="CWE48" s="37"/>
      <c r="CWF48" s="37"/>
      <c r="CWG48" s="37"/>
      <c r="CWH48" s="37"/>
      <c r="CWI48" s="37"/>
      <c r="CWJ48" s="37"/>
      <c r="CWK48" s="37"/>
      <c r="CWL48" s="37"/>
      <c r="CWM48" s="37"/>
      <c r="CWN48" s="37"/>
      <c r="CWO48" s="37"/>
      <c r="CWP48" s="37"/>
      <c r="CWQ48" s="37"/>
      <c r="CWR48" s="37"/>
      <c r="CWS48" s="37"/>
      <c r="CWT48" s="37"/>
      <c r="CWU48" s="37"/>
      <c r="CWV48" s="37"/>
      <c r="CWW48" s="37"/>
      <c r="CWX48" s="37"/>
      <c r="CWY48" s="37"/>
      <c r="CWZ48" s="37"/>
      <c r="CXA48" s="37"/>
      <c r="CXB48" s="37"/>
      <c r="CXC48" s="37"/>
      <c r="CXD48" s="37"/>
      <c r="CXE48" s="37"/>
      <c r="CXF48" s="37"/>
      <c r="CXG48" s="37"/>
      <c r="CXH48" s="37"/>
      <c r="CXI48" s="37"/>
      <c r="CXJ48" s="37"/>
      <c r="CXK48" s="37"/>
      <c r="CXL48" s="37"/>
      <c r="CXM48" s="37"/>
      <c r="CXN48" s="37"/>
      <c r="CXO48" s="37"/>
      <c r="CXP48" s="37"/>
      <c r="CXQ48" s="37"/>
      <c r="CXR48" s="37"/>
      <c r="CXS48" s="37"/>
      <c r="CXT48" s="37"/>
      <c r="CXU48" s="37"/>
      <c r="CXV48" s="37"/>
      <c r="CXW48" s="37"/>
      <c r="CXX48" s="37"/>
      <c r="CXY48" s="37"/>
      <c r="CXZ48" s="37"/>
      <c r="CYA48" s="37"/>
      <c r="CYB48" s="37"/>
      <c r="CYC48" s="37"/>
      <c r="CYD48" s="37"/>
      <c r="CYE48" s="37"/>
      <c r="CYF48" s="37"/>
      <c r="CYG48" s="37"/>
      <c r="CYH48" s="37"/>
      <c r="CYI48" s="37"/>
      <c r="CYJ48" s="37"/>
      <c r="CYK48" s="37"/>
      <c r="CYL48" s="37"/>
      <c r="CYM48" s="37"/>
      <c r="CYN48" s="37"/>
      <c r="CYO48" s="37"/>
      <c r="CYP48" s="37"/>
      <c r="CYQ48" s="37"/>
      <c r="CYR48" s="37"/>
      <c r="CYS48" s="37"/>
      <c r="CYT48" s="37"/>
      <c r="CYU48" s="37"/>
      <c r="CYV48" s="37"/>
      <c r="CYW48" s="37"/>
      <c r="CYX48" s="37"/>
      <c r="CYY48" s="37"/>
      <c r="CYZ48" s="37"/>
      <c r="CZA48" s="37"/>
      <c r="CZB48" s="37"/>
      <c r="CZC48" s="37"/>
      <c r="CZD48" s="37"/>
      <c r="CZE48" s="37"/>
      <c r="CZF48" s="37"/>
      <c r="CZG48" s="37"/>
      <c r="CZH48" s="37"/>
      <c r="CZI48" s="37"/>
      <c r="CZJ48" s="37"/>
      <c r="CZK48" s="37"/>
      <c r="CZL48" s="37"/>
      <c r="CZM48" s="37"/>
      <c r="CZN48" s="37"/>
      <c r="CZO48" s="37"/>
      <c r="CZP48" s="37"/>
      <c r="CZQ48" s="37"/>
      <c r="CZR48" s="37"/>
      <c r="CZS48" s="37"/>
      <c r="CZT48" s="37"/>
      <c r="CZU48" s="37"/>
      <c r="CZV48" s="37"/>
      <c r="CZW48" s="37"/>
      <c r="CZX48" s="37"/>
      <c r="CZY48" s="37"/>
      <c r="CZZ48" s="37"/>
      <c r="DAA48" s="37"/>
      <c r="DAB48" s="37"/>
      <c r="DAC48" s="37"/>
      <c r="DAD48" s="37"/>
      <c r="DAE48" s="37"/>
      <c r="DAF48" s="37"/>
      <c r="DAG48" s="37"/>
      <c r="DAH48" s="37"/>
      <c r="DAI48" s="37"/>
      <c r="DAJ48" s="37"/>
      <c r="DAK48" s="37"/>
      <c r="DAL48" s="37"/>
      <c r="DAM48" s="37"/>
      <c r="DAN48" s="37"/>
      <c r="DAO48" s="37"/>
      <c r="DAP48" s="37"/>
      <c r="DAQ48" s="37"/>
      <c r="DAR48" s="37"/>
      <c r="DAS48" s="37"/>
      <c r="DAT48" s="37"/>
      <c r="DAU48" s="37"/>
      <c r="DAV48" s="37"/>
      <c r="DAW48" s="37"/>
      <c r="DAX48" s="37"/>
      <c r="DAY48" s="37"/>
      <c r="DAZ48" s="37"/>
      <c r="DBA48" s="37"/>
      <c r="DBB48" s="37"/>
      <c r="DBC48" s="37"/>
      <c r="DBD48" s="37"/>
      <c r="DBE48" s="37"/>
      <c r="DBF48" s="37"/>
      <c r="DBG48" s="37"/>
      <c r="DBH48" s="37"/>
      <c r="DBI48" s="37"/>
      <c r="DBJ48" s="37"/>
      <c r="DBK48" s="37"/>
      <c r="DBL48" s="37"/>
      <c r="DBM48" s="37"/>
      <c r="DBN48" s="37"/>
      <c r="DBO48" s="37"/>
      <c r="DBP48" s="37"/>
      <c r="DBQ48" s="37"/>
      <c r="DBR48" s="37"/>
      <c r="DBS48" s="37"/>
      <c r="DBT48" s="37"/>
      <c r="DBU48" s="37"/>
      <c r="DBV48" s="37"/>
      <c r="DBW48" s="37"/>
      <c r="DBX48" s="37"/>
      <c r="DBY48" s="37"/>
      <c r="DBZ48" s="37"/>
      <c r="DCA48" s="37"/>
      <c r="DCB48" s="37"/>
      <c r="DCC48" s="37"/>
      <c r="DCD48" s="37"/>
      <c r="DCE48" s="37"/>
      <c r="DCF48" s="37"/>
      <c r="DCG48" s="37"/>
      <c r="DCH48" s="37"/>
      <c r="DCI48" s="37"/>
      <c r="DCJ48" s="37"/>
      <c r="DCK48" s="37"/>
      <c r="DCL48" s="37"/>
      <c r="DCM48" s="37"/>
      <c r="DCN48" s="37"/>
      <c r="DCO48" s="37"/>
      <c r="DCP48" s="37"/>
      <c r="DCQ48" s="37"/>
      <c r="DCR48" s="37"/>
      <c r="DCS48" s="37"/>
      <c r="DCT48" s="37"/>
      <c r="DCU48" s="37"/>
      <c r="DCV48" s="37"/>
      <c r="DCW48" s="37"/>
      <c r="DCX48" s="37"/>
      <c r="DCY48" s="37"/>
      <c r="DCZ48" s="37"/>
      <c r="DDA48" s="37"/>
      <c r="DDB48" s="37"/>
      <c r="DDC48" s="37"/>
      <c r="DDD48" s="37"/>
      <c r="DDE48" s="37"/>
      <c r="DDF48" s="37"/>
      <c r="DDG48" s="37"/>
      <c r="DDH48" s="37"/>
      <c r="DDI48" s="37"/>
      <c r="DDJ48" s="37"/>
      <c r="DDK48" s="37"/>
      <c r="DDL48" s="37"/>
      <c r="DDM48" s="37"/>
      <c r="DDN48" s="37"/>
      <c r="DDO48" s="37"/>
      <c r="DDP48" s="37"/>
      <c r="DDQ48" s="37"/>
      <c r="DDR48" s="37"/>
      <c r="DDS48" s="37"/>
      <c r="DDT48" s="37"/>
      <c r="DDU48" s="37"/>
      <c r="DDV48" s="37"/>
      <c r="DDW48" s="37"/>
      <c r="DDX48" s="37"/>
      <c r="DDY48" s="37"/>
      <c r="DDZ48" s="37"/>
      <c r="DEA48" s="37"/>
      <c r="DEB48" s="37"/>
      <c r="DEC48" s="37"/>
      <c r="DED48" s="37"/>
      <c r="DEE48" s="37"/>
      <c r="DEF48" s="37"/>
      <c r="DEG48" s="37"/>
      <c r="DEH48" s="37"/>
      <c r="DEI48" s="37"/>
      <c r="DEJ48" s="37"/>
      <c r="DEK48" s="37"/>
      <c r="DEL48" s="37"/>
      <c r="DEM48" s="37"/>
      <c r="DEN48" s="37"/>
      <c r="DEO48" s="37"/>
      <c r="DEP48" s="37"/>
      <c r="DEQ48" s="37"/>
      <c r="DER48" s="37"/>
      <c r="DES48" s="37"/>
      <c r="DET48" s="37"/>
      <c r="DEU48" s="37"/>
      <c r="DEV48" s="37"/>
      <c r="DEW48" s="37"/>
      <c r="DEX48" s="37"/>
      <c r="DEY48" s="37"/>
      <c r="DEZ48" s="37"/>
      <c r="DFA48" s="37"/>
      <c r="DFB48" s="37"/>
      <c r="DFC48" s="37"/>
      <c r="DFD48" s="37"/>
      <c r="DFE48" s="37"/>
      <c r="DFF48" s="37"/>
      <c r="DFG48" s="37"/>
      <c r="DFH48" s="37"/>
      <c r="DFI48" s="37"/>
      <c r="DFJ48" s="37"/>
      <c r="DFK48" s="37"/>
      <c r="DFL48" s="37"/>
      <c r="DFM48" s="37"/>
      <c r="DFN48" s="37"/>
      <c r="DFO48" s="37"/>
      <c r="DFP48" s="37"/>
      <c r="DFQ48" s="37"/>
      <c r="DFR48" s="37"/>
      <c r="DFS48" s="37"/>
      <c r="DFT48" s="37"/>
      <c r="DFU48" s="37"/>
      <c r="DFV48" s="37"/>
      <c r="DFW48" s="37"/>
      <c r="DFX48" s="37"/>
      <c r="DFY48" s="37"/>
      <c r="DFZ48" s="37"/>
      <c r="DGA48" s="37"/>
      <c r="DGB48" s="37"/>
      <c r="DGC48" s="37"/>
      <c r="DGD48" s="37"/>
      <c r="DGE48" s="37"/>
      <c r="DGF48" s="37"/>
      <c r="DGG48" s="37"/>
      <c r="DGH48" s="37"/>
      <c r="DGI48" s="37"/>
      <c r="DGJ48" s="37"/>
      <c r="DGK48" s="37"/>
      <c r="DGL48" s="37"/>
      <c r="DGM48" s="37"/>
      <c r="DGN48" s="37"/>
      <c r="DGO48" s="37"/>
      <c r="DGP48" s="37"/>
      <c r="DGQ48" s="37"/>
      <c r="DGR48" s="37"/>
      <c r="DGS48" s="37"/>
      <c r="DGT48" s="37"/>
      <c r="DGU48" s="37"/>
      <c r="DGV48" s="37"/>
      <c r="DGW48" s="37"/>
      <c r="DGX48" s="37"/>
      <c r="DGY48" s="37"/>
      <c r="DGZ48" s="37"/>
      <c r="DHA48" s="37"/>
      <c r="DHB48" s="37"/>
      <c r="DHC48" s="37"/>
      <c r="DHD48" s="37"/>
      <c r="DHE48" s="37"/>
      <c r="DHF48" s="37"/>
      <c r="DHG48" s="37"/>
      <c r="DHH48" s="37"/>
      <c r="DHI48" s="37"/>
      <c r="DHJ48" s="37"/>
      <c r="DHK48" s="37"/>
      <c r="DHL48" s="37"/>
      <c r="DHM48" s="37"/>
      <c r="DHN48" s="37"/>
      <c r="DHO48" s="37"/>
      <c r="DHP48" s="37"/>
      <c r="DHQ48" s="37"/>
      <c r="DHR48" s="37"/>
      <c r="DHS48" s="37"/>
      <c r="DHT48" s="37"/>
      <c r="DHU48" s="37"/>
      <c r="DHV48" s="37"/>
      <c r="DHW48" s="37"/>
      <c r="DHX48" s="37"/>
      <c r="DHY48" s="37"/>
      <c r="DHZ48" s="37"/>
      <c r="DIA48" s="37"/>
      <c r="DIB48" s="37"/>
      <c r="DIC48" s="37"/>
      <c r="DID48" s="37"/>
      <c r="DIE48" s="37"/>
      <c r="DIF48" s="37"/>
      <c r="DIG48" s="37"/>
      <c r="DIH48" s="37"/>
      <c r="DII48" s="37"/>
      <c r="DIJ48" s="37"/>
      <c r="DIK48" s="37"/>
      <c r="DIL48" s="37"/>
      <c r="DIM48" s="37"/>
      <c r="DIN48" s="37"/>
      <c r="DIO48" s="37"/>
      <c r="DIP48" s="37"/>
      <c r="DIQ48" s="37"/>
      <c r="DIR48" s="37"/>
      <c r="DIS48" s="37"/>
      <c r="DIT48" s="37"/>
      <c r="DIU48" s="37"/>
      <c r="DIV48" s="37"/>
      <c r="DIW48" s="37"/>
      <c r="DIX48" s="37"/>
      <c r="DIY48" s="37"/>
      <c r="DIZ48" s="37"/>
      <c r="DJA48" s="37"/>
      <c r="DJB48" s="37"/>
      <c r="DJC48" s="37"/>
      <c r="DJD48" s="37"/>
      <c r="DJE48" s="37"/>
      <c r="DJF48" s="37"/>
      <c r="DJG48" s="37"/>
      <c r="DJH48" s="37"/>
      <c r="DJI48" s="37"/>
      <c r="DJJ48" s="37"/>
      <c r="DJK48" s="37"/>
      <c r="DJL48" s="37"/>
      <c r="DJM48" s="37"/>
      <c r="DJN48" s="37"/>
      <c r="DJO48" s="37"/>
      <c r="DJP48" s="37"/>
      <c r="DJQ48" s="37"/>
      <c r="DJR48" s="37"/>
      <c r="DJS48" s="37"/>
      <c r="DJT48" s="37"/>
      <c r="DJU48" s="37"/>
      <c r="DJV48" s="37"/>
      <c r="DJW48" s="37"/>
      <c r="DJX48" s="37"/>
      <c r="DJY48" s="37"/>
      <c r="DJZ48" s="37"/>
      <c r="DKA48" s="37"/>
      <c r="DKB48" s="37"/>
      <c r="DKC48" s="37"/>
      <c r="DKD48" s="37"/>
      <c r="DKE48" s="37"/>
      <c r="DKF48" s="37"/>
      <c r="DKG48" s="37"/>
      <c r="DKH48" s="37"/>
      <c r="DKI48" s="37"/>
      <c r="DKJ48" s="37"/>
      <c r="DKK48" s="37"/>
      <c r="DKL48" s="37"/>
      <c r="DKM48" s="37"/>
      <c r="DKN48" s="37"/>
      <c r="DKO48" s="37"/>
      <c r="DKP48" s="37"/>
      <c r="DKQ48" s="37"/>
      <c r="DKR48" s="37"/>
      <c r="DKS48" s="37"/>
      <c r="DKT48" s="37"/>
      <c r="DKU48" s="37"/>
      <c r="DKV48" s="37"/>
      <c r="DKW48" s="37"/>
      <c r="DKX48" s="37"/>
      <c r="DKY48" s="37"/>
      <c r="DKZ48" s="37"/>
      <c r="DLA48" s="37"/>
      <c r="DLB48" s="37"/>
      <c r="DLC48" s="37"/>
      <c r="DLD48" s="37"/>
      <c r="DLE48" s="37"/>
      <c r="DLF48" s="37"/>
      <c r="DLG48" s="37"/>
      <c r="DLH48" s="37"/>
      <c r="DLI48" s="37"/>
      <c r="DLJ48" s="37"/>
      <c r="DLK48" s="37"/>
      <c r="DLL48" s="37"/>
      <c r="DLM48" s="37"/>
      <c r="DLN48" s="37"/>
      <c r="DLO48" s="37"/>
      <c r="DLP48" s="37"/>
      <c r="DLQ48" s="37"/>
      <c r="DLR48" s="37"/>
      <c r="DLS48" s="37"/>
      <c r="DLT48" s="37"/>
      <c r="DLU48" s="37"/>
      <c r="DLV48" s="37"/>
      <c r="DLW48" s="37"/>
      <c r="DLX48" s="37"/>
      <c r="DLY48" s="37"/>
      <c r="DLZ48" s="37"/>
      <c r="DMA48" s="37"/>
      <c r="DMB48" s="37"/>
      <c r="DMC48" s="37"/>
      <c r="DMD48" s="37"/>
      <c r="DME48" s="37"/>
      <c r="DMF48" s="37"/>
      <c r="DMG48" s="37"/>
      <c r="DMH48" s="37"/>
      <c r="DMI48" s="37"/>
      <c r="DMJ48" s="37"/>
      <c r="DMK48" s="37"/>
      <c r="DML48" s="37"/>
      <c r="DMM48" s="37"/>
      <c r="DMN48" s="37"/>
      <c r="DMO48" s="37"/>
      <c r="DMP48" s="37"/>
      <c r="DMQ48" s="37"/>
      <c r="DMR48" s="37"/>
      <c r="DMS48" s="37"/>
      <c r="DMT48" s="37"/>
      <c r="DMU48" s="37"/>
      <c r="DMV48" s="37"/>
      <c r="DMW48" s="37"/>
      <c r="DMX48" s="37"/>
      <c r="DMY48" s="37"/>
      <c r="DMZ48" s="37"/>
      <c r="DNA48" s="37"/>
      <c r="DNB48" s="37"/>
      <c r="DNC48" s="37"/>
      <c r="DND48" s="37"/>
      <c r="DNE48" s="37"/>
      <c r="DNF48" s="37"/>
      <c r="DNG48" s="37"/>
      <c r="DNH48" s="37"/>
      <c r="DNI48" s="37"/>
      <c r="DNJ48" s="37"/>
      <c r="DNK48" s="37"/>
      <c r="DNL48" s="37"/>
      <c r="DNM48" s="37"/>
      <c r="DNN48" s="37"/>
      <c r="DNO48" s="37"/>
      <c r="DNP48" s="37"/>
      <c r="DNQ48" s="37"/>
      <c r="DNR48" s="37"/>
      <c r="DNS48" s="37"/>
      <c r="DNT48" s="37"/>
      <c r="DNU48" s="37"/>
      <c r="DNV48" s="37"/>
      <c r="DNW48" s="37"/>
      <c r="DNX48" s="37"/>
      <c r="DNY48" s="37"/>
      <c r="DNZ48" s="37"/>
      <c r="DOA48" s="37"/>
      <c r="DOB48" s="37"/>
      <c r="DOC48" s="37"/>
      <c r="DOD48" s="37"/>
      <c r="DOE48" s="37"/>
      <c r="DOF48" s="37"/>
      <c r="DOG48" s="37"/>
      <c r="DOH48" s="37"/>
      <c r="DOI48" s="37"/>
      <c r="DOJ48" s="37"/>
      <c r="DOK48" s="37"/>
      <c r="DOL48" s="37"/>
      <c r="DOM48" s="37"/>
      <c r="DON48" s="37"/>
      <c r="DOO48" s="37"/>
      <c r="DOP48" s="37"/>
      <c r="DOQ48" s="37"/>
      <c r="DOR48" s="37"/>
      <c r="DOS48" s="37"/>
      <c r="DOT48" s="37"/>
      <c r="DOU48" s="37"/>
      <c r="DOV48" s="37"/>
      <c r="DOW48" s="37"/>
      <c r="DOX48" s="37"/>
      <c r="DOY48" s="37"/>
      <c r="DOZ48" s="37"/>
      <c r="DPA48" s="37"/>
      <c r="DPB48" s="37"/>
      <c r="DPC48" s="37"/>
      <c r="DPD48" s="37"/>
      <c r="DPE48" s="37"/>
      <c r="DPF48" s="37"/>
      <c r="DPG48" s="37"/>
      <c r="DPH48" s="37"/>
      <c r="DPI48" s="37"/>
      <c r="DPJ48" s="37"/>
      <c r="DPK48" s="37"/>
      <c r="DPL48" s="37"/>
      <c r="DPM48" s="37"/>
      <c r="DPN48" s="37"/>
      <c r="DPO48" s="37"/>
      <c r="DPP48" s="37"/>
      <c r="DPQ48" s="37"/>
      <c r="DPR48" s="37"/>
      <c r="DPS48" s="37"/>
      <c r="DPT48" s="37"/>
      <c r="DPU48" s="37"/>
      <c r="DPV48" s="37"/>
      <c r="DPW48" s="37"/>
      <c r="DPX48" s="37"/>
      <c r="DPY48" s="37"/>
      <c r="DPZ48" s="37"/>
      <c r="DQA48" s="37"/>
      <c r="DQB48" s="37"/>
      <c r="DQC48" s="37"/>
      <c r="DQD48" s="37"/>
      <c r="DQE48" s="37"/>
      <c r="DQF48" s="37"/>
      <c r="DQG48" s="37"/>
      <c r="DQH48" s="37"/>
      <c r="DQI48" s="37"/>
      <c r="DQJ48" s="37"/>
      <c r="DQK48" s="37"/>
      <c r="DQL48" s="37"/>
      <c r="DQM48" s="37"/>
      <c r="DQN48" s="37"/>
      <c r="DQO48" s="37"/>
      <c r="DQP48" s="37"/>
      <c r="DQQ48" s="37"/>
      <c r="DQR48" s="37"/>
      <c r="DQS48" s="37"/>
      <c r="DQT48" s="37"/>
      <c r="DQU48" s="37"/>
      <c r="DQV48" s="37"/>
      <c r="DQW48" s="37"/>
      <c r="DQX48" s="37"/>
      <c r="DQY48" s="37"/>
      <c r="DQZ48" s="37"/>
      <c r="DRA48" s="37"/>
      <c r="DRB48" s="37"/>
      <c r="DRC48" s="37"/>
      <c r="DRD48" s="37"/>
      <c r="DRE48" s="37"/>
      <c r="DRF48" s="37"/>
      <c r="DRG48" s="37"/>
      <c r="DRH48" s="37"/>
      <c r="DRI48" s="37"/>
      <c r="DRJ48" s="37"/>
      <c r="DRK48" s="37"/>
      <c r="DRL48" s="37"/>
      <c r="DRM48" s="37"/>
      <c r="DRN48" s="37"/>
      <c r="DRO48" s="37"/>
      <c r="DRP48" s="37"/>
      <c r="DRQ48" s="37"/>
      <c r="DRR48" s="37"/>
      <c r="DRS48" s="37"/>
      <c r="DRT48" s="37"/>
      <c r="DRU48" s="37"/>
      <c r="DRV48" s="37"/>
      <c r="DRW48" s="37"/>
      <c r="DRX48" s="37"/>
      <c r="DRY48" s="37"/>
      <c r="DRZ48" s="37"/>
      <c r="DSA48" s="37"/>
      <c r="DSB48" s="37"/>
      <c r="DSC48" s="37"/>
      <c r="DSD48" s="37"/>
      <c r="DSE48" s="37"/>
      <c r="DSF48" s="37"/>
      <c r="DSG48" s="37"/>
      <c r="DSH48" s="37"/>
      <c r="DSI48" s="37"/>
      <c r="DSJ48" s="37"/>
      <c r="DSK48" s="37"/>
      <c r="DSL48" s="37"/>
      <c r="DSM48" s="37"/>
      <c r="DSN48" s="37"/>
      <c r="DSO48" s="37"/>
      <c r="DSP48" s="37"/>
      <c r="DSQ48" s="37"/>
      <c r="DSR48" s="37"/>
      <c r="DSS48" s="37"/>
      <c r="DST48" s="37"/>
      <c r="DSU48" s="37"/>
      <c r="DSV48" s="37"/>
      <c r="DSW48" s="37"/>
      <c r="DSX48" s="37"/>
      <c r="DSY48" s="37"/>
      <c r="DSZ48" s="37"/>
      <c r="DTA48" s="37"/>
      <c r="DTB48" s="37"/>
      <c r="DTC48" s="37"/>
      <c r="DTD48" s="37"/>
      <c r="DTE48" s="37"/>
      <c r="DTF48" s="37"/>
      <c r="DTG48" s="37"/>
      <c r="DTH48" s="37"/>
      <c r="DTI48" s="37"/>
      <c r="DTJ48" s="37"/>
      <c r="DTK48" s="37"/>
      <c r="DTL48" s="37"/>
      <c r="DTM48" s="37"/>
      <c r="DTN48" s="37"/>
      <c r="DTO48" s="37"/>
      <c r="DTP48" s="37"/>
      <c r="DTQ48" s="37"/>
      <c r="DTR48" s="37"/>
      <c r="DTS48" s="37"/>
      <c r="DTT48" s="37"/>
      <c r="DTU48" s="37"/>
      <c r="DTV48" s="37"/>
      <c r="DTW48" s="37"/>
      <c r="DTX48" s="37"/>
      <c r="DTY48" s="37"/>
      <c r="DTZ48" s="37"/>
      <c r="DUA48" s="37"/>
      <c r="DUB48" s="37"/>
      <c r="DUC48" s="37"/>
      <c r="DUD48" s="37"/>
      <c r="DUE48" s="37"/>
      <c r="DUF48" s="37"/>
      <c r="DUG48" s="37"/>
      <c r="DUH48" s="37"/>
      <c r="DUI48" s="37"/>
      <c r="DUJ48" s="37"/>
      <c r="DUK48" s="37"/>
      <c r="DUL48" s="37"/>
      <c r="DUM48" s="37"/>
      <c r="DUN48" s="37"/>
      <c r="DUO48" s="37"/>
      <c r="DUP48" s="37"/>
      <c r="DUQ48" s="37"/>
      <c r="DUR48" s="37"/>
      <c r="DUS48" s="37"/>
      <c r="DUT48" s="37"/>
      <c r="DUU48" s="37"/>
      <c r="DUV48" s="37"/>
      <c r="DUW48" s="37"/>
      <c r="DUX48" s="37"/>
      <c r="DUY48" s="37"/>
      <c r="DUZ48" s="37"/>
      <c r="DVA48" s="37"/>
      <c r="DVB48" s="37"/>
      <c r="DVC48" s="37"/>
      <c r="DVD48" s="37"/>
      <c r="DVE48" s="37"/>
      <c r="DVF48" s="37"/>
      <c r="DVG48" s="37"/>
      <c r="DVH48" s="37"/>
      <c r="DVI48" s="37"/>
      <c r="DVJ48" s="37"/>
      <c r="DVK48" s="37"/>
      <c r="DVL48" s="37"/>
      <c r="DVM48" s="37"/>
      <c r="DVN48" s="37"/>
      <c r="DVO48" s="37"/>
      <c r="DVP48" s="37"/>
      <c r="DVQ48" s="37"/>
      <c r="DVR48" s="37"/>
      <c r="DVS48" s="37"/>
      <c r="DVT48" s="37"/>
      <c r="DVU48" s="37"/>
      <c r="DVV48" s="37"/>
      <c r="DVW48" s="37"/>
      <c r="DVX48" s="37"/>
      <c r="DVY48" s="37"/>
      <c r="DVZ48" s="37"/>
      <c r="DWA48" s="37"/>
      <c r="DWB48" s="37"/>
      <c r="DWC48" s="37"/>
      <c r="DWD48" s="37"/>
      <c r="DWE48" s="37"/>
      <c r="DWF48" s="37"/>
      <c r="DWG48" s="37"/>
      <c r="DWH48" s="37"/>
      <c r="DWI48" s="37"/>
      <c r="DWJ48" s="37"/>
      <c r="DWK48" s="37"/>
      <c r="DWL48" s="37"/>
      <c r="DWM48" s="37"/>
      <c r="DWN48" s="37"/>
      <c r="DWO48" s="37"/>
      <c r="DWP48" s="37"/>
      <c r="DWQ48" s="37"/>
      <c r="DWR48" s="37"/>
      <c r="DWS48" s="37"/>
      <c r="DWT48" s="37"/>
      <c r="DWU48" s="37"/>
      <c r="DWV48" s="37"/>
      <c r="DWW48" s="37"/>
      <c r="DWX48" s="37"/>
      <c r="DWY48" s="37"/>
      <c r="DWZ48" s="37"/>
      <c r="DXA48" s="37"/>
      <c r="DXB48" s="37"/>
      <c r="DXC48" s="37"/>
      <c r="DXD48" s="37"/>
      <c r="DXE48" s="37"/>
      <c r="DXF48" s="37"/>
      <c r="DXG48" s="37"/>
      <c r="DXH48" s="37"/>
      <c r="DXI48" s="37"/>
      <c r="DXJ48" s="37"/>
      <c r="DXK48" s="37"/>
      <c r="DXL48" s="37"/>
      <c r="DXM48" s="37"/>
      <c r="DXN48" s="37"/>
      <c r="DXO48" s="37"/>
      <c r="DXP48" s="37"/>
      <c r="DXQ48" s="37"/>
      <c r="DXR48" s="37"/>
      <c r="DXS48" s="37"/>
      <c r="DXT48" s="37"/>
      <c r="DXU48" s="37"/>
      <c r="DXV48" s="37"/>
      <c r="DXW48" s="37"/>
      <c r="DXX48" s="37"/>
      <c r="DXY48" s="37"/>
      <c r="DXZ48" s="37"/>
      <c r="DYA48" s="37"/>
      <c r="DYB48" s="37"/>
      <c r="DYC48" s="37"/>
      <c r="DYD48" s="37"/>
      <c r="DYE48" s="37"/>
      <c r="DYF48" s="37"/>
      <c r="DYG48" s="37"/>
      <c r="DYH48" s="37"/>
      <c r="DYI48" s="37"/>
      <c r="DYJ48" s="37"/>
      <c r="DYK48" s="37"/>
      <c r="DYL48" s="37"/>
      <c r="DYM48" s="37"/>
      <c r="DYN48" s="37"/>
      <c r="DYO48" s="37"/>
      <c r="DYP48" s="37"/>
      <c r="DYQ48" s="37"/>
      <c r="DYR48" s="37"/>
      <c r="DYS48" s="37"/>
      <c r="DYT48" s="37"/>
      <c r="DYU48" s="37"/>
      <c r="DYV48" s="37"/>
      <c r="DYW48" s="37"/>
      <c r="DYX48" s="37"/>
      <c r="DYY48" s="37"/>
      <c r="DYZ48" s="37"/>
      <c r="DZA48" s="37"/>
      <c r="DZB48" s="37"/>
      <c r="DZC48" s="37"/>
      <c r="DZD48" s="37"/>
      <c r="DZE48" s="37"/>
      <c r="DZF48" s="37"/>
      <c r="DZG48" s="37"/>
      <c r="DZH48" s="37"/>
      <c r="DZI48" s="37"/>
      <c r="DZJ48" s="37"/>
      <c r="DZK48" s="37"/>
      <c r="DZL48" s="37"/>
      <c r="DZM48" s="37"/>
      <c r="DZN48" s="37"/>
      <c r="DZO48" s="37"/>
      <c r="DZP48" s="37"/>
      <c r="DZQ48" s="37"/>
      <c r="DZR48" s="37"/>
      <c r="DZS48" s="37"/>
      <c r="DZT48" s="37"/>
      <c r="DZU48" s="37"/>
      <c r="DZV48" s="37"/>
      <c r="DZW48" s="37"/>
      <c r="DZX48" s="37"/>
      <c r="DZY48" s="37"/>
      <c r="DZZ48" s="37"/>
      <c r="EAA48" s="37"/>
      <c r="EAB48" s="37"/>
      <c r="EAC48" s="37"/>
      <c r="EAD48" s="37"/>
      <c r="EAE48" s="37"/>
      <c r="EAF48" s="37"/>
      <c r="EAG48" s="37"/>
      <c r="EAH48" s="37"/>
      <c r="EAI48" s="37"/>
      <c r="EAJ48" s="37"/>
      <c r="EAK48" s="37"/>
      <c r="EAL48" s="37"/>
      <c r="EAM48" s="37"/>
      <c r="EAN48" s="37"/>
      <c r="EAO48" s="37"/>
      <c r="EAP48" s="37"/>
      <c r="EAQ48" s="37"/>
      <c r="EAR48" s="37"/>
      <c r="EAS48" s="37"/>
      <c r="EAT48" s="37"/>
      <c r="EAU48" s="37"/>
      <c r="EAV48" s="37"/>
      <c r="EAW48" s="37"/>
      <c r="EAX48" s="37"/>
      <c r="EAY48" s="37"/>
      <c r="EAZ48" s="37"/>
      <c r="EBA48" s="37"/>
      <c r="EBB48" s="37"/>
      <c r="EBC48" s="37"/>
      <c r="EBD48" s="37"/>
      <c r="EBE48" s="37"/>
      <c r="EBF48" s="37"/>
      <c r="EBG48" s="37"/>
      <c r="EBH48" s="37"/>
      <c r="EBI48" s="37"/>
      <c r="EBJ48" s="37"/>
      <c r="EBK48" s="37"/>
      <c r="EBL48" s="37"/>
      <c r="EBM48" s="37"/>
      <c r="EBN48" s="37"/>
      <c r="EBO48" s="37"/>
      <c r="EBP48" s="37"/>
      <c r="EBQ48" s="37"/>
      <c r="EBR48" s="37"/>
      <c r="EBS48" s="37"/>
      <c r="EBT48" s="37"/>
      <c r="EBU48" s="37"/>
      <c r="EBV48" s="37"/>
      <c r="EBW48" s="37"/>
      <c r="EBX48" s="37"/>
      <c r="EBY48" s="37"/>
      <c r="EBZ48" s="37"/>
      <c r="ECA48" s="37"/>
      <c r="ECB48" s="37"/>
      <c r="ECC48" s="37"/>
      <c r="ECD48" s="37"/>
      <c r="ECE48" s="37"/>
      <c r="ECF48" s="37"/>
      <c r="ECG48" s="37"/>
      <c r="ECH48" s="37"/>
      <c r="ECI48" s="37"/>
      <c r="ECJ48" s="37"/>
      <c r="ECK48" s="37"/>
      <c r="ECL48" s="37"/>
      <c r="ECM48" s="37"/>
      <c r="ECN48" s="37"/>
      <c r="ECO48" s="37"/>
      <c r="ECP48" s="37"/>
      <c r="ECQ48" s="37"/>
      <c r="ECR48" s="37"/>
      <c r="ECS48" s="37"/>
      <c r="ECT48" s="37"/>
      <c r="ECU48" s="37"/>
      <c r="ECV48" s="37"/>
      <c r="ECW48" s="37"/>
      <c r="ECX48" s="37"/>
      <c r="ECY48" s="37"/>
      <c r="ECZ48" s="37"/>
      <c r="EDA48" s="37"/>
      <c r="EDB48" s="37"/>
      <c r="EDC48" s="37"/>
      <c r="EDD48" s="37"/>
      <c r="EDE48" s="37"/>
      <c r="EDF48" s="37"/>
      <c r="EDG48" s="37"/>
      <c r="EDH48" s="37"/>
      <c r="EDI48" s="37"/>
      <c r="EDJ48" s="37"/>
      <c r="EDK48" s="37"/>
      <c r="EDL48" s="37"/>
      <c r="EDM48" s="37"/>
      <c r="EDN48" s="37"/>
      <c r="EDO48" s="37"/>
      <c r="EDP48" s="37"/>
      <c r="EDQ48" s="37"/>
      <c r="EDR48" s="37"/>
      <c r="EDS48" s="37"/>
      <c r="EDT48" s="37"/>
      <c r="EDU48" s="37"/>
      <c r="EDV48" s="37"/>
      <c r="EDW48" s="37"/>
      <c r="EDX48" s="37"/>
      <c r="EDY48" s="37"/>
      <c r="EDZ48" s="37"/>
      <c r="EEA48" s="37"/>
      <c r="EEB48" s="37"/>
      <c r="EEC48" s="37"/>
      <c r="EED48" s="37"/>
      <c r="EEE48" s="37"/>
      <c r="EEF48" s="37"/>
      <c r="EEG48" s="37"/>
      <c r="EEH48" s="37"/>
      <c r="EEI48" s="37"/>
      <c r="EEJ48" s="37"/>
      <c r="EEK48" s="37"/>
      <c r="EEL48" s="37"/>
      <c r="EEM48" s="37"/>
      <c r="EEN48" s="37"/>
      <c r="EEO48" s="37"/>
      <c r="EEP48" s="37"/>
      <c r="EEQ48" s="37"/>
      <c r="EER48" s="37"/>
      <c r="EES48" s="37"/>
      <c r="EET48" s="37"/>
      <c r="EEU48" s="37"/>
      <c r="EEV48" s="37"/>
      <c r="EEW48" s="37"/>
      <c r="EEX48" s="37"/>
      <c r="EEY48" s="37"/>
      <c r="EEZ48" s="37"/>
      <c r="EFA48" s="37"/>
      <c r="EFB48" s="37"/>
      <c r="EFC48" s="37"/>
      <c r="EFD48" s="37"/>
      <c r="EFE48" s="37"/>
      <c r="EFF48" s="37"/>
      <c r="EFG48" s="37"/>
      <c r="EFH48" s="37"/>
      <c r="EFI48" s="37"/>
      <c r="EFJ48" s="37"/>
      <c r="EFK48" s="37"/>
      <c r="EFL48" s="37"/>
      <c r="EFM48" s="37"/>
      <c r="EFN48" s="37"/>
      <c r="EFO48" s="37"/>
      <c r="EFP48" s="37"/>
      <c r="EFQ48" s="37"/>
      <c r="EFR48" s="37"/>
      <c r="EFS48" s="37"/>
      <c r="EFT48" s="37"/>
      <c r="EFU48" s="37"/>
      <c r="EFV48" s="37"/>
      <c r="EFW48" s="37"/>
      <c r="EFX48" s="37"/>
      <c r="EFY48" s="37"/>
      <c r="EFZ48" s="37"/>
      <c r="EGA48" s="37"/>
      <c r="EGB48" s="37"/>
      <c r="EGC48" s="37"/>
      <c r="EGD48" s="37"/>
      <c r="EGE48" s="37"/>
      <c r="EGF48" s="37"/>
      <c r="EGG48" s="37"/>
      <c r="EGH48" s="37"/>
      <c r="EGI48" s="37"/>
      <c r="EGJ48" s="37"/>
      <c r="EGK48" s="37"/>
      <c r="EGL48" s="37"/>
      <c r="EGM48" s="37"/>
      <c r="EGN48" s="37"/>
      <c r="EGO48" s="37"/>
      <c r="EGP48" s="37"/>
      <c r="EGQ48" s="37"/>
      <c r="EGR48" s="37"/>
      <c r="EGS48" s="37"/>
      <c r="EGT48" s="37"/>
      <c r="EGU48" s="37"/>
      <c r="EGV48" s="37"/>
      <c r="EGW48" s="37"/>
      <c r="EGX48" s="37"/>
      <c r="EGY48" s="37"/>
      <c r="EGZ48" s="37"/>
      <c r="EHA48" s="37"/>
      <c r="EHB48" s="37"/>
      <c r="EHC48" s="37"/>
      <c r="EHD48" s="37"/>
      <c r="EHE48" s="37"/>
      <c r="EHF48" s="37"/>
      <c r="EHG48" s="37"/>
      <c r="EHH48" s="37"/>
      <c r="EHI48" s="37"/>
      <c r="EHJ48" s="37"/>
      <c r="EHK48" s="37"/>
      <c r="EHL48" s="37"/>
      <c r="EHM48" s="37"/>
      <c r="EHN48" s="37"/>
      <c r="EHO48" s="37"/>
      <c r="EHP48" s="37"/>
      <c r="EHQ48" s="37"/>
      <c r="EHR48" s="37"/>
      <c r="EHS48" s="37"/>
      <c r="EHT48" s="37"/>
      <c r="EHU48" s="37"/>
      <c r="EHV48" s="37"/>
      <c r="EHW48" s="37"/>
      <c r="EHX48" s="37"/>
      <c r="EHY48" s="37"/>
      <c r="EHZ48" s="37"/>
      <c r="EIA48" s="37"/>
      <c r="EIB48" s="37"/>
      <c r="EIC48" s="37"/>
      <c r="EID48" s="37"/>
      <c r="EIE48" s="37"/>
      <c r="EIF48" s="37"/>
      <c r="EIG48" s="37"/>
      <c r="EIH48" s="37"/>
      <c r="EII48" s="37"/>
      <c r="EIJ48" s="37"/>
      <c r="EIK48" s="37"/>
      <c r="EIL48" s="37"/>
      <c r="EIM48" s="37"/>
      <c r="EIN48" s="37"/>
      <c r="EIO48" s="37"/>
      <c r="EIP48" s="37"/>
      <c r="EIQ48" s="37"/>
      <c r="EIR48" s="37"/>
      <c r="EIS48" s="37"/>
      <c r="EIT48" s="37"/>
      <c r="EIU48" s="37"/>
      <c r="EIV48" s="37"/>
      <c r="EIW48" s="37"/>
      <c r="EIX48" s="37"/>
      <c r="EIY48" s="37"/>
      <c r="EIZ48" s="37"/>
      <c r="EJA48" s="37"/>
      <c r="EJB48" s="37"/>
      <c r="EJC48" s="37"/>
      <c r="EJD48" s="37"/>
      <c r="EJE48" s="37"/>
      <c r="EJF48" s="37"/>
      <c r="EJG48" s="37"/>
      <c r="EJH48" s="37"/>
      <c r="EJI48" s="37"/>
      <c r="EJJ48" s="37"/>
      <c r="EJK48" s="37"/>
      <c r="EJL48" s="37"/>
      <c r="EJM48" s="37"/>
      <c r="EJN48" s="37"/>
      <c r="EJO48" s="37"/>
      <c r="EJP48" s="37"/>
      <c r="EJQ48" s="37"/>
      <c r="EJR48" s="37"/>
      <c r="EJS48" s="37"/>
      <c r="EJT48" s="37"/>
      <c r="EJU48" s="37"/>
      <c r="EJV48" s="37"/>
      <c r="EJW48" s="37"/>
      <c r="EJX48" s="37"/>
      <c r="EJY48" s="37"/>
      <c r="EJZ48" s="37"/>
      <c r="EKA48" s="37"/>
      <c r="EKB48" s="37"/>
      <c r="EKC48" s="37"/>
      <c r="EKD48" s="37"/>
      <c r="EKE48" s="37"/>
      <c r="EKF48" s="37"/>
      <c r="EKG48" s="37"/>
      <c r="EKH48" s="37"/>
      <c r="EKI48" s="37"/>
      <c r="EKJ48" s="37"/>
      <c r="EKK48" s="37"/>
      <c r="EKL48" s="37"/>
      <c r="EKM48" s="37"/>
      <c r="EKN48" s="37"/>
      <c r="EKO48" s="37"/>
      <c r="EKP48" s="37"/>
      <c r="EKQ48" s="37"/>
      <c r="EKR48" s="37"/>
      <c r="EKS48" s="37"/>
      <c r="EKT48" s="37"/>
      <c r="EKU48" s="37"/>
      <c r="EKV48" s="37"/>
      <c r="EKW48" s="37"/>
      <c r="EKX48" s="37"/>
      <c r="EKY48" s="37"/>
      <c r="EKZ48" s="37"/>
      <c r="ELA48" s="37"/>
      <c r="ELB48" s="37"/>
      <c r="ELC48" s="37"/>
      <c r="ELD48" s="37"/>
      <c r="ELE48" s="37"/>
      <c r="ELF48" s="37"/>
      <c r="ELG48" s="37"/>
      <c r="ELH48" s="37"/>
      <c r="ELI48" s="37"/>
      <c r="ELJ48" s="37"/>
      <c r="ELK48" s="37"/>
      <c r="ELL48" s="37"/>
      <c r="ELM48" s="37"/>
      <c r="ELN48" s="37"/>
      <c r="ELO48" s="37"/>
      <c r="ELP48" s="37"/>
      <c r="ELQ48" s="37"/>
      <c r="ELR48" s="37"/>
      <c r="ELS48" s="37"/>
      <c r="ELT48" s="37"/>
      <c r="ELU48" s="37"/>
      <c r="ELV48" s="37"/>
      <c r="ELW48" s="37"/>
      <c r="ELX48" s="37"/>
      <c r="ELY48" s="37"/>
      <c r="ELZ48" s="37"/>
      <c r="EMA48" s="37"/>
      <c r="EMB48" s="37"/>
      <c r="EMC48" s="37"/>
      <c r="EMD48" s="37"/>
      <c r="EME48" s="37"/>
      <c r="EMF48" s="37"/>
      <c r="EMG48" s="37"/>
      <c r="EMH48" s="37"/>
      <c r="EMI48" s="37"/>
      <c r="EMJ48" s="37"/>
      <c r="EMK48" s="37"/>
      <c r="EML48" s="37"/>
      <c r="EMM48" s="37"/>
      <c r="EMN48" s="37"/>
      <c r="EMO48" s="37"/>
      <c r="EMP48" s="37"/>
      <c r="EMQ48" s="37"/>
      <c r="EMR48" s="37"/>
      <c r="EMS48" s="37"/>
      <c r="EMT48" s="37"/>
      <c r="EMU48" s="37"/>
      <c r="EMV48" s="37"/>
      <c r="EMW48" s="37"/>
      <c r="EMX48" s="37"/>
      <c r="EMY48" s="37"/>
      <c r="EMZ48" s="37"/>
      <c r="ENA48" s="37"/>
      <c r="ENB48" s="37"/>
      <c r="ENC48" s="37"/>
      <c r="END48" s="37"/>
      <c r="ENE48" s="37"/>
      <c r="ENF48" s="37"/>
      <c r="ENG48" s="37"/>
      <c r="ENH48" s="37"/>
      <c r="ENI48" s="37"/>
      <c r="ENJ48" s="37"/>
      <c r="ENK48" s="37"/>
      <c r="ENL48" s="37"/>
      <c r="ENM48" s="37"/>
      <c r="ENN48" s="37"/>
      <c r="ENO48" s="37"/>
      <c r="ENP48" s="37"/>
      <c r="ENQ48" s="37"/>
      <c r="ENR48" s="37"/>
      <c r="ENS48" s="37"/>
      <c r="ENT48" s="37"/>
      <c r="ENU48" s="37"/>
      <c r="ENV48" s="37"/>
      <c r="ENW48" s="37"/>
      <c r="ENX48" s="37"/>
      <c r="ENY48" s="37"/>
      <c r="ENZ48" s="37"/>
      <c r="EOA48" s="37"/>
      <c r="EOB48" s="37"/>
      <c r="EOC48" s="37"/>
      <c r="EOD48" s="37"/>
      <c r="EOE48" s="37"/>
      <c r="EOF48" s="37"/>
      <c r="EOG48" s="37"/>
      <c r="EOH48" s="37"/>
      <c r="EOI48" s="37"/>
      <c r="EOJ48" s="37"/>
      <c r="EOK48" s="37"/>
      <c r="EOL48" s="37"/>
      <c r="EOM48" s="37"/>
      <c r="EON48" s="37"/>
      <c r="EOO48" s="37"/>
      <c r="EOP48" s="37"/>
      <c r="EOQ48" s="37"/>
      <c r="EOR48" s="37"/>
      <c r="EOS48" s="37"/>
      <c r="EOT48" s="37"/>
      <c r="EOU48" s="37"/>
      <c r="EOV48" s="37"/>
      <c r="EOW48" s="37"/>
      <c r="EOX48" s="37"/>
      <c r="EOY48" s="37"/>
      <c r="EOZ48" s="37"/>
      <c r="EPA48" s="37"/>
      <c r="EPB48" s="37"/>
      <c r="EPC48" s="37"/>
      <c r="EPD48" s="37"/>
      <c r="EPE48" s="37"/>
      <c r="EPF48" s="37"/>
      <c r="EPG48" s="37"/>
      <c r="EPH48" s="37"/>
      <c r="EPI48" s="37"/>
      <c r="EPJ48" s="37"/>
      <c r="EPK48" s="37"/>
      <c r="EPL48" s="37"/>
      <c r="EPM48" s="37"/>
      <c r="EPN48" s="37"/>
      <c r="EPO48" s="37"/>
      <c r="EPP48" s="37"/>
      <c r="EPQ48" s="37"/>
      <c r="EPR48" s="37"/>
      <c r="EPS48" s="37"/>
      <c r="EPT48" s="37"/>
      <c r="EPU48" s="37"/>
      <c r="EPV48" s="37"/>
      <c r="EPW48" s="37"/>
      <c r="EPX48" s="37"/>
      <c r="EPY48" s="37"/>
      <c r="EPZ48" s="37"/>
      <c r="EQA48" s="37"/>
      <c r="EQB48" s="37"/>
      <c r="EQC48" s="37"/>
      <c r="EQD48" s="37"/>
      <c r="EQE48" s="37"/>
      <c r="EQF48" s="37"/>
      <c r="EQG48" s="37"/>
      <c r="EQH48" s="37"/>
      <c r="EQI48" s="37"/>
      <c r="EQJ48" s="37"/>
      <c r="EQK48" s="37"/>
      <c r="EQL48" s="37"/>
      <c r="EQM48" s="37"/>
      <c r="EQN48" s="37"/>
      <c r="EQO48" s="37"/>
      <c r="EQP48" s="37"/>
      <c r="EQQ48" s="37"/>
      <c r="EQR48" s="37"/>
      <c r="EQS48" s="37"/>
      <c r="EQT48" s="37"/>
      <c r="EQU48" s="37"/>
      <c r="EQV48" s="37"/>
      <c r="EQW48" s="37"/>
      <c r="EQX48" s="37"/>
      <c r="EQY48" s="37"/>
      <c r="EQZ48" s="37"/>
      <c r="ERA48" s="37"/>
      <c r="ERB48" s="37"/>
      <c r="ERC48" s="37"/>
      <c r="ERD48" s="37"/>
      <c r="ERE48" s="37"/>
      <c r="ERF48" s="37"/>
      <c r="ERG48" s="37"/>
      <c r="ERH48" s="37"/>
      <c r="ERI48" s="37"/>
      <c r="ERJ48" s="37"/>
      <c r="ERK48" s="37"/>
      <c r="ERL48" s="37"/>
      <c r="ERM48" s="37"/>
      <c r="ERN48" s="37"/>
      <c r="ERO48" s="37"/>
      <c r="ERP48" s="37"/>
      <c r="ERQ48" s="37"/>
      <c r="ERR48" s="37"/>
      <c r="ERS48" s="37"/>
      <c r="ERT48" s="37"/>
      <c r="ERU48" s="37"/>
      <c r="ERV48" s="37"/>
      <c r="ERW48" s="37"/>
      <c r="ERX48" s="37"/>
      <c r="ERY48" s="37"/>
      <c r="ERZ48" s="37"/>
      <c r="ESA48" s="37"/>
      <c r="ESB48" s="37"/>
      <c r="ESC48" s="37"/>
      <c r="ESD48" s="37"/>
      <c r="ESE48" s="37"/>
      <c r="ESF48" s="37"/>
      <c r="ESG48" s="37"/>
      <c r="ESH48" s="37"/>
      <c r="ESI48" s="37"/>
      <c r="ESJ48" s="37"/>
      <c r="ESK48" s="37"/>
      <c r="ESL48" s="37"/>
      <c r="ESM48" s="37"/>
      <c r="ESN48" s="37"/>
      <c r="ESO48" s="37"/>
      <c r="ESP48" s="37"/>
      <c r="ESQ48" s="37"/>
      <c r="ESR48" s="37"/>
      <c r="ESS48" s="37"/>
      <c r="EST48" s="37"/>
      <c r="ESU48" s="37"/>
      <c r="ESV48" s="37"/>
      <c r="ESW48" s="37"/>
      <c r="ESX48" s="37"/>
      <c r="ESY48" s="37"/>
      <c r="ESZ48" s="37"/>
      <c r="ETA48" s="37"/>
      <c r="ETB48" s="37"/>
      <c r="ETC48" s="37"/>
      <c r="ETD48" s="37"/>
      <c r="ETE48" s="37"/>
      <c r="ETF48" s="37"/>
      <c r="ETG48" s="37"/>
      <c r="ETH48" s="37"/>
      <c r="ETI48" s="37"/>
      <c r="ETJ48" s="37"/>
      <c r="ETK48" s="37"/>
      <c r="ETL48" s="37"/>
      <c r="ETM48" s="37"/>
      <c r="ETN48" s="37"/>
      <c r="ETO48" s="37"/>
      <c r="ETP48" s="37"/>
      <c r="ETQ48" s="37"/>
      <c r="ETR48" s="37"/>
      <c r="ETS48" s="37"/>
      <c r="ETT48" s="37"/>
      <c r="ETU48" s="37"/>
      <c r="ETV48" s="37"/>
      <c r="ETW48" s="37"/>
      <c r="ETX48" s="37"/>
      <c r="ETY48" s="37"/>
      <c r="ETZ48" s="37"/>
      <c r="EUA48" s="37"/>
      <c r="EUB48" s="37"/>
      <c r="EUC48" s="37"/>
      <c r="EUD48" s="37"/>
      <c r="EUE48" s="37"/>
      <c r="EUF48" s="37"/>
      <c r="EUG48" s="37"/>
      <c r="EUH48" s="37"/>
      <c r="EUI48" s="37"/>
      <c r="EUJ48" s="37"/>
      <c r="EUK48" s="37"/>
      <c r="EUL48" s="37"/>
      <c r="EUM48" s="37"/>
      <c r="EUN48" s="37"/>
      <c r="EUO48" s="37"/>
      <c r="EUP48" s="37"/>
      <c r="EUQ48" s="37"/>
      <c r="EUR48" s="37"/>
      <c r="EUS48" s="37"/>
      <c r="EUT48" s="37"/>
      <c r="EUU48" s="37"/>
      <c r="EUV48" s="37"/>
      <c r="EUW48" s="37"/>
      <c r="EUX48" s="37"/>
      <c r="EUY48" s="37"/>
      <c r="EUZ48" s="37"/>
      <c r="EVA48" s="37"/>
      <c r="EVB48" s="37"/>
      <c r="EVC48" s="37"/>
      <c r="EVD48" s="37"/>
      <c r="EVE48" s="37"/>
      <c r="EVF48" s="37"/>
      <c r="EVG48" s="37"/>
      <c r="EVH48" s="37"/>
      <c r="EVI48" s="37"/>
      <c r="EVJ48" s="37"/>
      <c r="EVK48" s="37"/>
      <c r="EVL48" s="37"/>
      <c r="EVM48" s="37"/>
      <c r="EVN48" s="37"/>
      <c r="EVO48" s="37"/>
      <c r="EVP48" s="37"/>
      <c r="EVQ48" s="37"/>
      <c r="EVR48" s="37"/>
      <c r="EVS48" s="37"/>
      <c r="EVT48" s="37"/>
      <c r="EVU48" s="37"/>
      <c r="EVV48" s="37"/>
      <c r="EVW48" s="37"/>
      <c r="EVX48" s="37"/>
      <c r="EVY48" s="37"/>
      <c r="EVZ48" s="37"/>
      <c r="EWA48" s="37"/>
      <c r="EWB48" s="37"/>
      <c r="EWC48" s="37"/>
      <c r="EWD48" s="37"/>
      <c r="EWE48" s="37"/>
      <c r="EWF48" s="37"/>
      <c r="EWG48" s="37"/>
      <c r="EWH48" s="37"/>
      <c r="EWI48" s="37"/>
      <c r="EWJ48" s="37"/>
      <c r="EWK48" s="37"/>
      <c r="EWL48" s="37"/>
      <c r="EWM48" s="37"/>
      <c r="EWN48" s="37"/>
      <c r="EWO48" s="37"/>
      <c r="EWP48" s="37"/>
      <c r="EWQ48" s="37"/>
      <c r="EWR48" s="37"/>
      <c r="EWS48" s="37"/>
      <c r="EWT48" s="37"/>
      <c r="EWU48" s="37"/>
      <c r="EWV48" s="37"/>
      <c r="EWW48" s="37"/>
      <c r="EWX48" s="37"/>
      <c r="EWY48" s="37"/>
      <c r="EWZ48" s="37"/>
      <c r="EXA48" s="37"/>
      <c r="EXB48" s="37"/>
      <c r="EXC48" s="37"/>
      <c r="EXD48" s="37"/>
      <c r="EXE48" s="37"/>
      <c r="EXF48" s="37"/>
      <c r="EXG48" s="37"/>
      <c r="EXH48" s="37"/>
      <c r="EXI48" s="37"/>
      <c r="EXJ48" s="37"/>
      <c r="EXK48" s="37"/>
      <c r="EXL48" s="37"/>
      <c r="EXM48" s="37"/>
      <c r="EXN48" s="37"/>
      <c r="EXO48" s="37"/>
      <c r="EXP48" s="37"/>
      <c r="EXQ48" s="37"/>
      <c r="EXR48" s="37"/>
      <c r="EXS48" s="37"/>
      <c r="EXT48" s="37"/>
      <c r="EXU48" s="37"/>
      <c r="EXV48" s="37"/>
      <c r="EXW48" s="37"/>
      <c r="EXX48" s="37"/>
      <c r="EXY48" s="37"/>
      <c r="EXZ48" s="37"/>
      <c r="EYA48" s="37"/>
      <c r="EYB48" s="37"/>
      <c r="EYC48" s="37"/>
      <c r="EYD48" s="37"/>
      <c r="EYE48" s="37"/>
      <c r="EYF48" s="37"/>
      <c r="EYG48" s="37"/>
      <c r="EYH48" s="37"/>
      <c r="EYI48" s="37"/>
      <c r="EYJ48" s="37"/>
      <c r="EYK48" s="37"/>
      <c r="EYL48" s="37"/>
      <c r="EYM48" s="37"/>
      <c r="EYN48" s="37"/>
      <c r="EYO48" s="37"/>
      <c r="EYP48" s="37"/>
      <c r="EYQ48" s="37"/>
      <c r="EYR48" s="37"/>
      <c r="EYS48" s="37"/>
      <c r="EYT48" s="37"/>
      <c r="EYU48" s="37"/>
      <c r="EYV48" s="37"/>
      <c r="EYW48" s="37"/>
      <c r="EYX48" s="37"/>
      <c r="EYY48" s="37"/>
      <c r="EYZ48" s="37"/>
      <c r="EZA48" s="37"/>
      <c r="EZB48" s="37"/>
      <c r="EZC48" s="37"/>
      <c r="EZD48" s="37"/>
      <c r="EZE48" s="37"/>
      <c r="EZF48" s="37"/>
      <c r="EZG48" s="37"/>
      <c r="EZH48" s="37"/>
      <c r="EZI48" s="37"/>
      <c r="EZJ48" s="37"/>
      <c r="EZK48" s="37"/>
      <c r="EZL48" s="37"/>
      <c r="EZM48" s="37"/>
      <c r="EZN48" s="37"/>
      <c r="EZO48" s="37"/>
      <c r="EZP48" s="37"/>
      <c r="EZQ48" s="37"/>
      <c r="EZR48" s="37"/>
      <c r="EZS48" s="37"/>
      <c r="EZT48" s="37"/>
      <c r="EZU48" s="37"/>
      <c r="EZV48" s="37"/>
      <c r="EZW48" s="37"/>
      <c r="EZX48" s="37"/>
      <c r="EZY48" s="37"/>
      <c r="EZZ48" s="37"/>
      <c r="FAA48" s="37"/>
      <c r="FAB48" s="37"/>
      <c r="FAC48" s="37"/>
      <c r="FAD48" s="37"/>
      <c r="FAE48" s="37"/>
      <c r="FAF48" s="37"/>
      <c r="FAG48" s="37"/>
      <c r="FAH48" s="37"/>
      <c r="FAI48" s="37"/>
      <c r="FAJ48" s="37"/>
      <c r="FAK48" s="37"/>
      <c r="FAL48" s="37"/>
      <c r="FAM48" s="37"/>
      <c r="FAN48" s="37"/>
      <c r="FAO48" s="37"/>
      <c r="FAP48" s="37"/>
      <c r="FAQ48" s="37"/>
      <c r="FAR48" s="37"/>
      <c r="FAS48" s="37"/>
      <c r="FAT48" s="37"/>
      <c r="FAU48" s="37"/>
      <c r="FAV48" s="37"/>
      <c r="FAW48" s="37"/>
      <c r="FAX48" s="37"/>
      <c r="FAY48" s="37"/>
      <c r="FAZ48" s="37"/>
      <c r="FBA48" s="37"/>
      <c r="FBB48" s="37"/>
      <c r="FBC48" s="37"/>
      <c r="FBD48" s="37"/>
      <c r="FBE48" s="37"/>
      <c r="FBF48" s="37"/>
      <c r="FBG48" s="37"/>
      <c r="FBH48" s="37"/>
      <c r="FBI48" s="37"/>
      <c r="FBJ48" s="37"/>
      <c r="FBK48" s="37"/>
      <c r="FBL48" s="37"/>
      <c r="FBM48" s="37"/>
      <c r="FBN48" s="37"/>
      <c r="FBO48" s="37"/>
      <c r="FBP48" s="37"/>
      <c r="FBQ48" s="37"/>
      <c r="FBR48" s="37"/>
      <c r="FBS48" s="37"/>
      <c r="FBT48" s="37"/>
      <c r="FBU48" s="37"/>
      <c r="FBV48" s="37"/>
      <c r="FBW48" s="37"/>
      <c r="FBX48" s="37"/>
      <c r="FBY48" s="37"/>
      <c r="FBZ48" s="37"/>
      <c r="FCA48" s="37"/>
      <c r="FCB48" s="37"/>
      <c r="FCC48" s="37"/>
      <c r="FCD48" s="37"/>
      <c r="FCE48" s="37"/>
      <c r="FCF48" s="37"/>
      <c r="FCG48" s="37"/>
      <c r="FCH48" s="37"/>
      <c r="FCI48" s="37"/>
      <c r="FCJ48" s="37"/>
      <c r="FCK48" s="37"/>
      <c r="FCL48" s="37"/>
      <c r="FCM48" s="37"/>
      <c r="FCN48" s="37"/>
      <c r="FCO48" s="37"/>
      <c r="FCP48" s="37"/>
      <c r="FCQ48" s="37"/>
      <c r="FCR48" s="37"/>
      <c r="FCS48" s="37"/>
      <c r="FCT48" s="37"/>
      <c r="FCU48" s="37"/>
      <c r="FCV48" s="37"/>
      <c r="FCW48" s="37"/>
      <c r="FCX48" s="37"/>
      <c r="FCY48" s="37"/>
      <c r="FCZ48" s="37"/>
      <c r="FDA48" s="37"/>
      <c r="FDB48" s="37"/>
      <c r="FDC48" s="37"/>
      <c r="FDD48" s="37"/>
      <c r="FDE48" s="37"/>
      <c r="FDF48" s="37"/>
      <c r="FDG48" s="37"/>
      <c r="FDH48" s="37"/>
      <c r="FDI48" s="37"/>
      <c r="FDJ48" s="37"/>
      <c r="FDK48" s="37"/>
      <c r="FDL48" s="37"/>
      <c r="FDM48" s="37"/>
      <c r="FDN48" s="37"/>
      <c r="FDO48" s="37"/>
      <c r="FDP48" s="37"/>
      <c r="FDQ48" s="37"/>
      <c r="FDR48" s="37"/>
      <c r="FDS48" s="37"/>
      <c r="FDT48" s="37"/>
      <c r="FDU48" s="37"/>
      <c r="FDV48" s="37"/>
      <c r="FDW48" s="37"/>
      <c r="FDX48" s="37"/>
      <c r="FDY48" s="37"/>
      <c r="FDZ48" s="37"/>
      <c r="FEA48" s="37"/>
      <c r="FEB48" s="37"/>
      <c r="FEC48" s="37"/>
      <c r="FED48" s="37"/>
      <c r="FEE48" s="37"/>
      <c r="FEF48" s="37"/>
      <c r="FEG48" s="37"/>
      <c r="FEH48" s="37"/>
      <c r="FEI48" s="37"/>
      <c r="FEJ48" s="37"/>
      <c r="FEK48" s="37"/>
      <c r="FEL48" s="37"/>
      <c r="FEM48" s="37"/>
      <c r="FEN48" s="37"/>
      <c r="FEO48" s="37"/>
      <c r="FEP48" s="37"/>
      <c r="FEQ48" s="37"/>
      <c r="FER48" s="37"/>
      <c r="FES48" s="37"/>
      <c r="FET48" s="37"/>
      <c r="FEU48" s="37"/>
      <c r="FEV48" s="37"/>
      <c r="FEW48" s="37"/>
      <c r="FEX48" s="37"/>
      <c r="FEY48" s="37"/>
      <c r="FEZ48" s="37"/>
      <c r="FFA48" s="37"/>
      <c r="FFB48" s="37"/>
      <c r="FFC48" s="37"/>
      <c r="FFD48" s="37"/>
      <c r="FFE48" s="37"/>
      <c r="FFF48" s="37"/>
      <c r="FFG48" s="37"/>
      <c r="FFH48" s="37"/>
      <c r="FFI48" s="37"/>
      <c r="FFJ48" s="37"/>
      <c r="FFK48" s="37"/>
      <c r="FFL48" s="37"/>
      <c r="FFM48" s="37"/>
      <c r="FFN48" s="37"/>
      <c r="FFO48" s="37"/>
      <c r="FFP48" s="37"/>
      <c r="FFQ48" s="37"/>
      <c r="FFR48" s="37"/>
      <c r="FFS48" s="37"/>
      <c r="FFT48" s="37"/>
      <c r="FFU48" s="37"/>
      <c r="FFV48" s="37"/>
      <c r="FFW48" s="37"/>
      <c r="FFX48" s="37"/>
      <c r="FFY48" s="37"/>
      <c r="FFZ48" s="37"/>
      <c r="FGA48" s="37"/>
      <c r="FGB48" s="37"/>
      <c r="FGC48" s="37"/>
      <c r="FGD48" s="37"/>
      <c r="FGE48" s="37"/>
      <c r="FGF48" s="37"/>
      <c r="FGG48" s="37"/>
      <c r="FGH48" s="37"/>
      <c r="FGI48" s="37"/>
      <c r="FGJ48" s="37"/>
      <c r="FGK48" s="37"/>
      <c r="FGL48" s="37"/>
      <c r="FGM48" s="37"/>
      <c r="FGN48" s="37"/>
      <c r="FGO48" s="37"/>
      <c r="FGP48" s="37"/>
      <c r="FGQ48" s="37"/>
      <c r="FGR48" s="37"/>
      <c r="FGS48" s="37"/>
      <c r="FGT48" s="37"/>
      <c r="FGU48" s="37"/>
      <c r="FGV48" s="37"/>
      <c r="FGW48" s="37"/>
      <c r="FGX48" s="37"/>
      <c r="FGY48" s="37"/>
      <c r="FGZ48" s="37"/>
      <c r="FHA48" s="37"/>
      <c r="FHB48" s="37"/>
      <c r="FHC48" s="37"/>
      <c r="FHD48" s="37"/>
      <c r="FHE48" s="37"/>
      <c r="FHF48" s="37"/>
      <c r="FHG48" s="37"/>
      <c r="FHH48" s="37"/>
      <c r="FHI48" s="37"/>
      <c r="FHJ48" s="37"/>
      <c r="FHK48" s="37"/>
      <c r="FHL48" s="37"/>
      <c r="FHM48" s="37"/>
      <c r="FHN48" s="37"/>
      <c r="FHO48" s="37"/>
      <c r="FHP48" s="37"/>
      <c r="FHQ48" s="37"/>
      <c r="FHR48" s="37"/>
      <c r="FHS48" s="37"/>
      <c r="FHT48" s="37"/>
      <c r="FHU48" s="37"/>
      <c r="FHV48" s="37"/>
      <c r="FHW48" s="37"/>
      <c r="FHX48" s="37"/>
      <c r="FHY48" s="37"/>
      <c r="FHZ48" s="37"/>
      <c r="FIA48" s="37"/>
      <c r="FIB48" s="37"/>
      <c r="FIC48" s="37"/>
      <c r="FID48" s="37"/>
      <c r="FIE48" s="37"/>
      <c r="FIF48" s="37"/>
      <c r="FIG48" s="37"/>
      <c r="FIH48" s="37"/>
      <c r="FII48" s="37"/>
      <c r="FIJ48" s="37"/>
      <c r="FIK48" s="37"/>
      <c r="FIL48" s="37"/>
      <c r="FIM48" s="37"/>
      <c r="FIN48" s="37"/>
      <c r="FIO48" s="37"/>
      <c r="FIP48" s="37"/>
      <c r="FIQ48" s="37"/>
      <c r="FIR48" s="37"/>
      <c r="FIS48" s="37"/>
      <c r="FIT48" s="37"/>
      <c r="FIU48" s="37"/>
      <c r="FIV48" s="37"/>
      <c r="FIW48" s="37"/>
      <c r="FIX48" s="37"/>
      <c r="FIY48" s="37"/>
      <c r="FIZ48" s="37"/>
      <c r="FJA48" s="37"/>
      <c r="FJB48" s="37"/>
      <c r="FJC48" s="37"/>
      <c r="FJD48" s="37"/>
      <c r="FJE48" s="37"/>
      <c r="FJF48" s="37"/>
      <c r="FJG48" s="37"/>
      <c r="FJH48" s="37"/>
      <c r="FJI48" s="37"/>
      <c r="FJJ48" s="37"/>
      <c r="FJK48" s="37"/>
      <c r="FJL48" s="37"/>
      <c r="FJM48" s="37"/>
      <c r="FJN48" s="37"/>
      <c r="FJO48" s="37"/>
      <c r="FJP48" s="37"/>
      <c r="FJQ48" s="37"/>
      <c r="FJR48" s="37"/>
      <c r="FJS48" s="37"/>
      <c r="FJT48" s="37"/>
      <c r="FJU48" s="37"/>
      <c r="FJV48" s="37"/>
      <c r="FJW48" s="37"/>
      <c r="FJX48" s="37"/>
      <c r="FJY48" s="37"/>
      <c r="FJZ48" s="37"/>
      <c r="FKA48" s="37"/>
      <c r="FKB48" s="37"/>
      <c r="FKC48" s="37"/>
      <c r="FKD48" s="37"/>
      <c r="FKE48" s="37"/>
      <c r="FKF48" s="37"/>
      <c r="FKG48" s="37"/>
      <c r="FKH48" s="37"/>
      <c r="FKI48" s="37"/>
      <c r="FKJ48" s="37"/>
      <c r="FKK48" s="37"/>
      <c r="FKL48" s="37"/>
      <c r="FKM48" s="37"/>
      <c r="FKN48" s="37"/>
      <c r="FKO48" s="37"/>
      <c r="FKP48" s="37"/>
      <c r="FKQ48" s="37"/>
      <c r="FKR48" s="37"/>
      <c r="FKS48" s="37"/>
      <c r="FKT48" s="37"/>
      <c r="FKU48" s="37"/>
      <c r="FKV48" s="37"/>
      <c r="FKW48" s="37"/>
      <c r="FKX48" s="37"/>
      <c r="FKY48" s="37"/>
      <c r="FKZ48" s="37"/>
      <c r="FLA48" s="37"/>
      <c r="FLB48" s="37"/>
      <c r="FLC48" s="37"/>
      <c r="FLD48" s="37"/>
      <c r="FLE48" s="37"/>
      <c r="FLF48" s="37"/>
      <c r="FLG48" s="37"/>
      <c r="FLH48" s="37"/>
      <c r="FLI48" s="37"/>
      <c r="FLJ48" s="37"/>
      <c r="FLK48" s="37"/>
      <c r="FLL48" s="37"/>
      <c r="FLM48" s="37"/>
      <c r="FLN48" s="37"/>
      <c r="FLO48" s="37"/>
      <c r="FLP48" s="37"/>
      <c r="FLQ48" s="37"/>
      <c r="FLR48" s="37"/>
      <c r="FLS48" s="37"/>
      <c r="FLT48" s="37"/>
      <c r="FLU48" s="37"/>
      <c r="FLV48" s="37"/>
      <c r="FLW48" s="37"/>
      <c r="FLX48" s="37"/>
      <c r="FLY48" s="37"/>
      <c r="FLZ48" s="37"/>
      <c r="FMA48" s="37"/>
      <c r="FMB48" s="37"/>
      <c r="FMC48" s="37"/>
      <c r="FMD48" s="37"/>
      <c r="FME48" s="37"/>
      <c r="FMF48" s="37"/>
      <c r="FMG48" s="37"/>
      <c r="FMH48" s="37"/>
      <c r="FMI48" s="37"/>
      <c r="FMJ48" s="37"/>
      <c r="FMK48" s="37"/>
      <c r="FML48" s="37"/>
      <c r="FMM48" s="37"/>
      <c r="FMN48" s="37"/>
      <c r="FMO48" s="37"/>
      <c r="FMP48" s="37"/>
      <c r="FMQ48" s="37"/>
      <c r="FMR48" s="37"/>
      <c r="FMS48" s="37"/>
      <c r="FMT48" s="37"/>
      <c r="FMU48" s="37"/>
      <c r="FMV48" s="37"/>
      <c r="FMW48" s="37"/>
      <c r="FMX48" s="37"/>
      <c r="FMY48" s="37"/>
      <c r="FMZ48" s="37"/>
      <c r="FNA48" s="37"/>
      <c r="FNB48" s="37"/>
      <c r="FNC48" s="37"/>
      <c r="FND48" s="37"/>
      <c r="FNE48" s="37"/>
      <c r="FNF48" s="37"/>
      <c r="FNG48" s="37"/>
      <c r="FNH48" s="37"/>
      <c r="FNI48" s="37"/>
      <c r="FNJ48" s="37"/>
      <c r="FNK48" s="37"/>
      <c r="FNL48" s="37"/>
      <c r="FNM48" s="37"/>
      <c r="FNN48" s="37"/>
      <c r="FNO48" s="37"/>
      <c r="FNP48" s="37"/>
      <c r="FNQ48" s="37"/>
      <c r="FNR48" s="37"/>
      <c r="FNS48" s="37"/>
      <c r="FNT48" s="37"/>
      <c r="FNU48" s="37"/>
      <c r="FNV48" s="37"/>
      <c r="FNW48" s="37"/>
      <c r="FNX48" s="37"/>
      <c r="FNY48" s="37"/>
      <c r="FNZ48" s="37"/>
      <c r="FOA48" s="37"/>
      <c r="FOB48" s="37"/>
      <c r="FOC48" s="37"/>
      <c r="FOD48" s="37"/>
      <c r="FOE48" s="37"/>
      <c r="FOF48" s="37"/>
      <c r="FOG48" s="37"/>
      <c r="FOH48" s="37"/>
      <c r="FOI48" s="37"/>
      <c r="FOJ48" s="37"/>
      <c r="FOK48" s="37"/>
      <c r="FOL48" s="37"/>
      <c r="FOM48" s="37"/>
      <c r="FON48" s="37"/>
      <c r="FOO48" s="37"/>
      <c r="FOP48" s="37"/>
      <c r="FOQ48" s="37"/>
      <c r="FOR48" s="37"/>
      <c r="FOS48" s="37"/>
      <c r="FOT48" s="37"/>
      <c r="FOU48" s="37"/>
      <c r="FOV48" s="37"/>
      <c r="FOW48" s="37"/>
      <c r="FOX48" s="37"/>
      <c r="FOY48" s="37"/>
      <c r="FOZ48" s="37"/>
      <c r="FPA48" s="37"/>
      <c r="FPB48" s="37"/>
      <c r="FPC48" s="37"/>
      <c r="FPD48" s="37"/>
      <c r="FPE48" s="37"/>
      <c r="FPF48" s="37"/>
      <c r="FPG48" s="37"/>
      <c r="FPH48" s="37"/>
      <c r="FPI48" s="37"/>
      <c r="FPJ48" s="37"/>
      <c r="FPK48" s="37"/>
      <c r="FPL48" s="37"/>
      <c r="FPM48" s="37"/>
      <c r="FPN48" s="37"/>
      <c r="FPO48" s="37"/>
      <c r="FPP48" s="37"/>
      <c r="FPQ48" s="37"/>
      <c r="FPR48" s="37"/>
      <c r="FPS48" s="37"/>
      <c r="FPT48" s="37"/>
      <c r="FPU48" s="37"/>
      <c r="FPV48" s="37"/>
      <c r="FPW48" s="37"/>
      <c r="FPX48" s="37"/>
      <c r="FPY48" s="37"/>
      <c r="FPZ48" s="37"/>
      <c r="FQA48" s="37"/>
      <c r="FQB48" s="37"/>
      <c r="FQC48" s="37"/>
      <c r="FQD48" s="37"/>
      <c r="FQE48" s="37"/>
      <c r="FQF48" s="37"/>
      <c r="FQG48" s="37"/>
      <c r="FQH48" s="37"/>
      <c r="FQI48" s="37"/>
      <c r="FQJ48" s="37"/>
      <c r="FQK48" s="37"/>
      <c r="FQL48" s="37"/>
      <c r="FQM48" s="37"/>
      <c r="FQN48" s="37"/>
      <c r="FQO48" s="37"/>
      <c r="FQP48" s="37"/>
      <c r="FQQ48" s="37"/>
      <c r="FQR48" s="37"/>
      <c r="FQS48" s="37"/>
      <c r="FQT48" s="37"/>
      <c r="FQU48" s="37"/>
      <c r="FQV48" s="37"/>
      <c r="FQW48" s="37"/>
      <c r="FQX48" s="37"/>
      <c r="FQY48" s="37"/>
      <c r="FQZ48" s="37"/>
      <c r="FRA48" s="37"/>
      <c r="FRB48" s="37"/>
      <c r="FRC48" s="37"/>
      <c r="FRD48" s="37"/>
      <c r="FRE48" s="37"/>
      <c r="FRF48" s="37"/>
      <c r="FRG48" s="37"/>
      <c r="FRH48" s="37"/>
      <c r="FRI48" s="37"/>
      <c r="FRJ48" s="37"/>
      <c r="FRK48" s="37"/>
      <c r="FRL48" s="37"/>
      <c r="FRM48" s="37"/>
      <c r="FRN48" s="37"/>
      <c r="FRO48" s="37"/>
      <c r="FRP48" s="37"/>
      <c r="FRQ48" s="37"/>
      <c r="FRR48" s="37"/>
      <c r="FRS48" s="37"/>
      <c r="FRT48" s="37"/>
      <c r="FRU48" s="37"/>
      <c r="FRV48" s="37"/>
      <c r="FRW48" s="37"/>
      <c r="FRX48" s="37"/>
      <c r="FRY48" s="37"/>
      <c r="FRZ48" s="37"/>
      <c r="FSA48" s="37"/>
      <c r="FSB48" s="37"/>
      <c r="FSC48" s="37"/>
      <c r="FSD48" s="37"/>
      <c r="FSE48" s="37"/>
      <c r="FSF48" s="37"/>
      <c r="FSG48" s="37"/>
      <c r="FSH48" s="37"/>
      <c r="FSI48" s="37"/>
      <c r="FSJ48" s="37"/>
      <c r="FSK48" s="37"/>
      <c r="FSL48" s="37"/>
      <c r="FSM48" s="37"/>
      <c r="FSN48" s="37"/>
      <c r="FSO48" s="37"/>
      <c r="FSP48" s="37"/>
      <c r="FSQ48" s="37"/>
      <c r="FSR48" s="37"/>
      <c r="FSS48" s="37"/>
      <c r="FST48" s="37"/>
      <c r="FSU48" s="37"/>
      <c r="FSV48" s="37"/>
      <c r="FSW48" s="37"/>
      <c r="FSX48" s="37"/>
      <c r="FSY48" s="37"/>
      <c r="FSZ48" s="37"/>
      <c r="FTA48" s="37"/>
      <c r="FTB48" s="37"/>
      <c r="FTC48" s="37"/>
      <c r="FTD48" s="37"/>
      <c r="FTE48" s="37"/>
      <c r="FTF48" s="37"/>
      <c r="FTG48" s="37"/>
      <c r="FTH48" s="37"/>
      <c r="FTI48" s="37"/>
      <c r="FTJ48" s="37"/>
      <c r="FTK48" s="37"/>
      <c r="FTL48" s="37"/>
      <c r="FTM48" s="37"/>
      <c r="FTN48" s="37"/>
      <c r="FTO48" s="37"/>
      <c r="FTP48" s="37"/>
      <c r="FTQ48" s="37"/>
      <c r="FTR48" s="37"/>
      <c r="FTS48" s="37"/>
      <c r="FTT48" s="37"/>
      <c r="FTU48" s="37"/>
      <c r="FTV48" s="37"/>
      <c r="FTW48" s="37"/>
      <c r="FTX48" s="37"/>
      <c r="FTY48" s="37"/>
      <c r="FTZ48" s="37"/>
      <c r="FUA48" s="37"/>
      <c r="FUB48" s="37"/>
      <c r="FUC48" s="37"/>
      <c r="FUD48" s="37"/>
      <c r="FUE48" s="37"/>
      <c r="FUF48" s="37"/>
      <c r="FUG48" s="37"/>
      <c r="FUH48" s="37"/>
      <c r="FUI48" s="37"/>
      <c r="FUJ48" s="37"/>
      <c r="FUK48" s="37"/>
      <c r="FUL48" s="37"/>
      <c r="FUM48" s="37"/>
      <c r="FUN48" s="37"/>
      <c r="FUO48" s="37"/>
      <c r="FUP48" s="37"/>
      <c r="FUQ48" s="37"/>
      <c r="FUR48" s="37"/>
      <c r="FUS48" s="37"/>
      <c r="FUT48" s="37"/>
      <c r="FUU48" s="37"/>
      <c r="FUV48" s="37"/>
      <c r="FUW48" s="37"/>
      <c r="FUX48" s="37"/>
      <c r="FUY48" s="37"/>
      <c r="FUZ48" s="37"/>
      <c r="FVA48" s="37"/>
      <c r="FVB48" s="37"/>
      <c r="FVC48" s="37"/>
      <c r="FVD48" s="37"/>
      <c r="FVE48" s="37"/>
      <c r="FVF48" s="37"/>
      <c r="FVG48" s="37"/>
      <c r="FVH48" s="37"/>
      <c r="FVI48" s="37"/>
      <c r="FVJ48" s="37"/>
      <c r="FVK48" s="37"/>
      <c r="FVL48" s="37"/>
      <c r="FVM48" s="37"/>
      <c r="FVN48" s="37"/>
      <c r="FVO48" s="37"/>
      <c r="FVP48" s="37"/>
      <c r="FVQ48" s="37"/>
      <c r="FVR48" s="37"/>
      <c r="FVS48" s="37"/>
      <c r="FVT48" s="37"/>
      <c r="FVU48" s="37"/>
      <c r="FVV48" s="37"/>
      <c r="FVW48" s="37"/>
      <c r="FVX48" s="37"/>
      <c r="FVY48" s="37"/>
      <c r="FVZ48" s="37"/>
      <c r="FWA48" s="37"/>
      <c r="FWB48" s="37"/>
      <c r="FWC48" s="37"/>
      <c r="FWD48" s="37"/>
      <c r="FWE48" s="37"/>
      <c r="FWF48" s="37"/>
      <c r="FWG48" s="37"/>
      <c r="FWH48" s="37"/>
      <c r="FWI48" s="37"/>
      <c r="FWJ48" s="37"/>
      <c r="FWK48" s="37"/>
      <c r="FWL48" s="37"/>
      <c r="FWM48" s="37"/>
      <c r="FWN48" s="37"/>
      <c r="FWO48" s="37"/>
      <c r="FWP48" s="37"/>
      <c r="FWQ48" s="37"/>
      <c r="FWR48" s="37"/>
      <c r="FWS48" s="37"/>
      <c r="FWT48" s="37"/>
      <c r="FWU48" s="37"/>
      <c r="FWV48" s="37"/>
      <c r="FWW48" s="37"/>
      <c r="FWX48" s="37"/>
      <c r="FWY48" s="37"/>
      <c r="FWZ48" s="37"/>
      <c r="FXA48" s="37"/>
      <c r="FXB48" s="37"/>
      <c r="FXC48" s="37"/>
      <c r="FXD48" s="37"/>
      <c r="FXE48" s="37"/>
      <c r="FXF48" s="37"/>
      <c r="FXG48" s="37"/>
      <c r="FXH48" s="37"/>
      <c r="FXI48" s="37"/>
      <c r="FXJ48" s="37"/>
      <c r="FXK48" s="37"/>
      <c r="FXL48" s="37"/>
      <c r="FXM48" s="37"/>
      <c r="FXN48" s="37"/>
      <c r="FXO48" s="37"/>
      <c r="FXP48" s="37"/>
      <c r="FXQ48" s="37"/>
      <c r="FXR48" s="37"/>
      <c r="FXS48" s="37"/>
      <c r="FXT48" s="37"/>
      <c r="FXU48" s="37"/>
      <c r="FXV48" s="37"/>
      <c r="FXW48" s="37"/>
      <c r="FXX48" s="37"/>
      <c r="FXY48" s="37"/>
      <c r="FXZ48" s="37"/>
      <c r="FYA48" s="37"/>
      <c r="FYB48" s="37"/>
      <c r="FYC48" s="37"/>
      <c r="FYD48" s="37"/>
      <c r="FYE48" s="37"/>
      <c r="FYF48" s="37"/>
      <c r="FYG48" s="37"/>
      <c r="FYH48" s="37"/>
      <c r="FYI48" s="37"/>
      <c r="FYJ48" s="37"/>
      <c r="FYK48" s="37"/>
      <c r="FYL48" s="37"/>
      <c r="FYM48" s="37"/>
      <c r="FYN48" s="37"/>
      <c r="FYO48" s="37"/>
      <c r="FYP48" s="37"/>
      <c r="FYQ48" s="37"/>
      <c r="FYR48" s="37"/>
      <c r="FYS48" s="37"/>
      <c r="FYT48" s="37"/>
      <c r="FYU48" s="37"/>
      <c r="FYV48" s="37"/>
      <c r="FYW48" s="37"/>
      <c r="FYX48" s="37"/>
      <c r="FYY48" s="37"/>
      <c r="FYZ48" s="37"/>
      <c r="FZA48" s="37"/>
      <c r="FZB48" s="37"/>
      <c r="FZC48" s="37"/>
      <c r="FZD48" s="37"/>
      <c r="FZE48" s="37"/>
      <c r="FZF48" s="37"/>
      <c r="FZG48" s="37"/>
      <c r="FZH48" s="37"/>
      <c r="FZI48" s="37"/>
      <c r="FZJ48" s="37"/>
      <c r="FZK48" s="37"/>
      <c r="FZL48" s="37"/>
      <c r="FZM48" s="37"/>
      <c r="FZN48" s="37"/>
      <c r="FZO48" s="37"/>
      <c r="FZP48" s="37"/>
      <c r="FZQ48" s="37"/>
      <c r="FZR48" s="37"/>
      <c r="FZS48" s="37"/>
      <c r="FZT48" s="37"/>
      <c r="FZU48" s="37"/>
      <c r="FZV48" s="37"/>
      <c r="FZW48" s="37"/>
      <c r="FZX48" s="37"/>
      <c r="FZY48" s="37"/>
      <c r="FZZ48" s="37"/>
      <c r="GAA48" s="37"/>
      <c r="GAB48" s="37"/>
      <c r="GAC48" s="37"/>
      <c r="GAD48" s="37"/>
      <c r="GAE48" s="37"/>
      <c r="GAF48" s="37"/>
      <c r="GAG48" s="37"/>
      <c r="GAH48" s="37"/>
      <c r="GAI48" s="37"/>
      <c r="GAJ48" s="37"/>
      <c r="GAK48" s="37"/>
      <c r="GAL48" s="37"/>
      <c r="GAM48" s="37"/>
      <c r="GAN48" s="37"/>
      <c r="GAO48" s="37"/>
      <c r="GAP48" s="37"/>
      <c r="GAQ48" s="37"/>
      <c r="GAR48" s="37"/>
      <c r="GAS48" s="37"/>
      <c r="GAT48" s="37"/>
      <c r="GAU48" s="37"/>
      <c r="GAV48" s="37"/>
      <c r="GAW48" s="37"/>
      <c r="GAX48" s="37"/>
      <c r="GAY48" s="37"/>
      <c r="GAZ48" s="37"/>
      <c r="GBA48" s="37"/>
      <c r="GBB48" s="37"/>
      <c r="GBC48" s="37"/>
      <c r="GBD48" s="37"/>
      <c r="GBE48" s="37"/>
      <c r="GBF48" s="37"/>
      <c r="GBG48" s="37"/>
      <c r="GBH48" s="37"/>
      <c r="GBI48" s="37"/>
      <c r="GBJ48" s="37"/>
      <c r="GBK48" s="37"/>
      <c r="GBL48" s="37"/>
      <c r="GBM48" s="37"/>
      <c r="GBN48" s="37"/>
      <c r="GBO48" s="37"/>
      <c r="GBP48" s="37"/>
      <c r="GBQ48" s="37"/>
      <c r="GBR48" s="37"/>
      <c r="GBS48" s="37"/>
      <c r="GBT48" s="37"/>
      <c r="GBU48" s="37"/>
      <c r="GBV48" s="37"/>
      <c r="GBW48" s="37"/>
      <c r="GBX48" s="37"/>
      <c r="GBY48" s="37"/>
      <c r="GBZ48" s="37"/>
      <c r="GCA48" s="37"/>
      <c r="GCB48" s="37"/>
      <c r="GCC48" s="37"/>
      <c r="GCD48" s="37"/>
      <c r="GCE48" s="37"/>
      <c r="GCF48" s="37"/>
      <c r="GCG48" s="37"/>
      <c r="GCH48" s="37"/>
      <c r="GCI48" s="37"/>
      <c r="GCJ48" s="37"/>
      <c r="GCK48" s="37"/>
      <c r="GCL48" s="37"/>
      <c r="GCM48" s="37"/>
      <c r="GCN48" s="37"/>
      <c r="GCO48" s="37"/>
      <c r="GCP48" s="37"/>
      <c r="GCQ48" s="37"/>
      <c r="GCR48" s="37"/>
      <c r="GCS48" s="37"/>
      <c r="GCT48" s="37"/>
      <c r="GCU48" s="37"/>
      <c r="GCV48" s="37"/>
      <c r="GCW48" s="37"/>
      <c r="GCX48" s="37"/>
      <c r="GCY48" s="37"/>
      <c r="GCZ48" s="37"/>
      <c r="GDA48" s="37"/>
      <c r="GDB48" s="37"/>
      <c r="GDC48" s="37"/>
      <c r="GDD48" s="37"/>
      <c r="GDE48" s="37"/>
      <c r="GDF48" s="37"/>
      <c r="GDG48" s="37"/>
      <c r="GDH48" s="37"/>
      <c r="GDI48" s="37"/>
      <c r="GDJ48" s="37"/>
      <c r="GDK48" s="37"/>
      <c r="GDL48" s="37"/>
      <c r="GDM48" s="37"/>
      <c r="GDN48" s="37"/>
      <c r="GDO48" s="37"/>
      <c r="GDP48" s="37"/>
      <c r="GDQ48" s="37"/>
      <c r="GDR48" s="37"/>
      <c r="GDS48" s="37"/>
      <c r="GDT48" s="37"/>
      <c r="GDU48" s="37"/>
      <c r="GDV48" s="37"/>
      <c r="GDW48" s="37"/>
      <c r="GDX48" s="37"/>
      <c r="GDY48" s="37"/>
      <c r="GDZ48" s="37"/>
      <c r="GEA48" s="37"/>
      <c r="GEB48" s="37"/>
      <c r="GEC48" s="37"/>
      <c r="GED48" s="37"/>
      <c r="GEE48" s="37"/>
      <c r="GEF48" s="37"/>
      <c r="GEG48" s="37"/>
      <c r="GEH48" s="37"/>
      <c r="GEI48" s="37"/>
      <c r="GEJ48" s="37"/>
      <c r="GEK48" s="37"/>
      <c r="GEL48" s="37"/>
      <c r="GEM48" s="37"/>
      <c r="GEN48" s="37"/>
      <c r="GEO48" s="37"/>
      <c r="GEP48" s="37"/>
      <c r="GEQ48" s="37"/>
      <c r="GER48" s="37"/>
      <c r="GES48" s="37"/>
      <c r="GET48" s="37"/>
      <c r="GEU48" s="37"/>
      <c r="GEV48" s="37"/>
      <c r="GEW48" s="37"/>
      <c r="GEX48" s="37"/>
      <c r="GEY48" s="37"/>
      <c r="GEZ48" s="37"/>
      <c r="GFA48" s="37"/>
      <c r="GFB48" s="37"/>
      <c r="GFC48" s="37"/>
      <c r="GFD48" s="37"/>
      <c r="GFE48" s="37"/>
      <c r="GFF48" s="37"/>
      <c r="GFG48" s="37"/>
      <c r="GFH48" s="37"/>
      <c r="GFI48" s="37"/>
      <c r="GFJ48" s="37"/>
      <c r="GFK48" s="37"/>
      <c r="GFL48" s="37"/>
      <c r="GFM48" s="37"/>
      <c r="GFN48" s="37"/>
      <c r="GFO48" s="37"/>
      <c r="GFP48" s="37"/>
      <c r="GFQ48" s="37"/>
      <c r="GFR48" s="37"/>
      <c r="GFS48" s="37"/>
      <c r="GFT48" s="37"/>
      <c r="GFU48" s="37"/>
      <c r="GFV48" s="37"/>
      <c r="GFW48" s="37"/>
      <c r="GFX48" s="37"/>
      <c r="GFY48" s="37"/>
      <c r="GFZ48" s="37"/>
      <c r="GGA48" s="37"/>
      <c r="GGB48" s="37"/>
      <c r="GGC48" s="37"/>
      <c r="GGD48" s="37"/>
      <c r="GGE48" s="37"/>
      <c r="GGF48" s="37"/>
      <c r="GGG48" s="37"/>
      <c r="GGH48" s="37"/>
      <c r="GGI48" s="37"/>
      <c r="GGJ48" s="37"/>
      <c r="GGK48" s="37"/>
      <c r="GGL48" s="37"/>
      <c r="GGM48" s="37"/>
      <c r="GGN48" s="37"/>
      <c r="GGO48" s="37"/>
      <c r="GGP48" s="37"/>
      <c r="GGQ48" s="37"/>
      <c r="GGR48" s="37"/>
      <c r="GGS48" s="37"/>
      <c r="GGT48" s="37"/>
      <c r="GGU48" s="37"/>
      <c r="GGV48" s="37"/>
      <c r="GGW48" s="37"/>
      <c r="GGX48" s="37"/>
      <c r="GGY48" s="37"/>
      <c r="GGZ48" s="37"/>
      <c r="GHA48" s="37"/>
      <c r="GHB48" s="37"/>
      <c r="GHC48" s="37"/>
      <c r="GHD48" s="37"/>
      <c r="GHE48" s="37"/>
      <c r="GHF48" s="37"/>
      <c r="GHG48" s="37"/>
      <c r="GHH48" s="37"/>
      <c r="GHI48" s="37"/>
      <c r="GHJ48" s="37"/>
      <c r="GHK48" s="37"/>
      <c r="GHL48" s="37"/>
      <c r="GHM48" s="37"/>
      <c r="GHN48" s="37"/>
      <c r="GHO48" s="37"/>
      <c r="GHP48" s="37"/>
      <c r="GHQ48" s="37"/>
      <c r="GHR48" s="37"/>
      <c r="GHS48" s="37"/>
      <c r="GHT48" s="37"/>
      <c r="GHU48" s="37"/>
      <c r="GHV48" s="37"/>
      <c r="GHW48" s="37"/>
      <c r="GHX48" s="37"/>
      <c r="GHY48" s="37"/>
      <c r="GHZ48" s="37"/>
      <c r="GIA48" s="37"/>
      <c r="GIB48" s="37"/>
      <c r="GIC48" s="37"/>
      <c r="GID48" s="37"/>
      <c r="GIE48" s="37"/>
      <c r="GIF48" s="37"/>
      <c r="GIG48" s="37"/>
      <c r="GIH48" s="37"/>
      <c r="GII48" s="37"/>
      <c r="GIJ48" s="37"/>
      <c r="GIK48" s="37"/>
      <c r="GIL48" s="37"/>
      <c r="GIM48" s="37"/>
      <c r="GIN48" s="37"/>
      <c r="GIO48" s="37"/>
      <c r="GIP48" s="37"/>
      <c r="GIQ48" s="37"/>
      <c r="GIR48" s="37"/>
      <c r="GIS48" s="37"/>
      <c r="GIT48" s="37"/>
      <c r="GIU48" s="37"/>
      <c r="GIV48" s="37"/>
      <c r="GIW48" s="37"/>
      <c r="GIX48" s="37"/>
      <c r="GIY48" s="37"/>
      <c r="GIZ48" s="37"/>
      <c r="GJA48" s="37"/>
      <c r="GJB48" s="37"/>
      <c r="GJC48" s="37"/>
      <c r="GJD48" s="37"/>
      <c r="GJE48" s="37"/>
      <c r="GJF48" s="37"/>
      <c r="GJG48" s="37"/>
      <c r="GJH48" s="37"/>
      <c r="GJI48" s="37"/>
      <c r="GJJ48" s="37"/>
      <c r="GJK48" s="37"/>
      <c r="GJL48" s="37"/>
      <c r="GJM48" s="37"/>
      <c r="GJN48" s="37"/>
      <c r="GJO48" s="37"/>
      <c r="GJP48" s="37"/>
      <c r="GJQ48" s="37"/>
      <c r="GJR48" s="37"/>
      <c r="GJS48" s="37"/>
      <c r="GJT48" s="37"/>
      <c r="GJU48" s="37"/>
      <c r="GJV48" s="37"/>
      <c r="GJW48" s="37"/>
      <c r="GJX48" s="37"/>
      <c r="GJY48" s="37"/>
      <c r="GJZ48" s="37"/>
      <c r="GKA48" s="37"/>
      <c r="GKB48" s="37"/>
      <c r="GKC48" s="37"/>
      <c r="GKD48" s="37"/>
      <c r="GKE48" s="37"/>
      <c r="GKF48" s="37"/>
      <c r="GKG48" s="37"/>
      <c r="GKH48" s="37"/>
      <c r="GKI48" s="37"/>
      <c r="GKJ48" s="37"/>
      <c r="GKK48" s="37"/>
      <c r="GKL48" s="37"/>
      <c r="GKM48" s="37"/>
      <c r="GKN48" s="37"/>
      <c r="GKO48" s="37"/>
      <c r="GKP48" s="37"/>
      <c r="GKQ48" s="37"/>
      <c r="GKR48" s="37"/>
      <c r="GKS48" s="37"/>
      <c r="GKT48" s="37"/>
      <c r="GKU48" s="37"/>
      <c r="GKV48" s="37"/>
      <c r="GKW48" s="37"/>
      <c r="GKX48" s="37"/>
      <c r="GKY48" s="37"/>
      <c r="GKZ48" s="37"/>
      <c r="GLA48" s="37"/>
      <c r="GLB48" s="37"/>
      <c r="GLC48" s="37"/>
      <c r="GLD48" s="37"/>
      <c r="GLE48" s="37"/>
      <c r="GLF48" s="37"/>
      <c r="GLG48" s="37"/>
      <c r="GLH48" s="37"/>
      <c r="GLI48" s="37"/>
      <c r="GLJ48" s="37"/>
      <c r="GLK48" s="37"/>
      <c r="GLL48" s="37"/>
      <c r="GLM48" s="37"/>
      <c r="GLN48" s="37"/>
      <c r="GLO48" s="37"/>
      <c r="GLP48" s="37"/>
      <c r="GLQ48" s="37"/>
      <c r="GLR48" s="37"/>
      <c r="GLS48" s="37"/>
      <c r="GLT48" s="37"/>
      <c r="GLU48" s="37"/>
      <c r="GLV48" s="37"/>
      <c r="GLW48" s="37"/>
      <c r="GLX48" s="37"/>
      <c r="GLY48" s="37"/>
      <c r="GLZ48" s="37"/>
      <c r="GMA48" s="37"/>
      <c r="GMB48" s="37"/>
      <c r="GMC48" s="37"/>
      <c r="GMD48" s="37"/>
      <c r="GME48" s="37"/>
      <c r="GMF48" s="37"/>
      <c r="GMG48" s="37"/>
      <c r="GMH48" s="37"/>
      <c r="GMI48" s="37"/>
      <c r="GMJ48" s="37"/>
      <c r="GMK48" s="37"/>
      <c r="GML48" s="37"/>
      <c r="GMM48" s="37"/>
      <c r="GMN48" s="37"/>
      <c r="GMO48" s="37"/>
      <c r="GMP48" s="37"/>
      <c r="GMQ48" s="37"/>
      <c r="GMR48" s="37"/>
      <c r="GMS48" s="37"/>
      <c r="GMT48" s="37"/>
      <c r="GMU48" s="37"/>
      <c r="GMV48" s="37"/>
      <c r="GMW48" s="37"/>
      <c r="GMX48" s="37"/>
      <c r="GMY48" s="37"/>
      <c r="GMZ48" s="37"/>
      <c r="GNA48" s="37"/>
      <c r="GNB48" s="37"/>
      <c r="GNC48" s="37"/>
      <c r="GND48" s="37"/>
      <c r="GNE48" s="37"/>
      <c r="GNF48" s="37"/>
      <c r="GNG48" s="37"/>
      <c r="GNH48" s="37"/>
      <c r="GNI48" s="37"/>
      <c r="GNJ48" s="37"/>
      <c r="GNK48" s="37"/>
      <c r="GNL48" s="37"/>
      <c r="GNM48" s="37"/>
      <c r="GNN48" s="37"/>
      <c r="GNO48" s="37"/>
      <c r="GNP48" s="37"/>
      <c r="GNQ48" s="37"/>
      <c r="GNR48" s="37"/>
      <c r="GNS48" s="37"/>
      <c r="GNT48" s="37"/>
      <c r="GNU48" s="37"/>
      <c r="GNV48" s="37"/>
      <c r="GNW48" s="37"/>
      <c r="GNX48" s="37"/>
      <c r="GNY48" s="37"/>
      <c r="GNZ48" s="37"/>
      <c r="GOA48" s="37"/>
      <c r="GOB48" s="37"/>
      <c r="GOC48" s="37"/>
      <c r="GOD48" s="37"/>
      <c r="GOE48" s="37"/>
      <c r="GOF48" s="37"/>
      <c r="GOG48" s="37"/>
      <c r="GOH48" s="37"/>
      <c r="GOI48" s="37"/>
      <c r="GOJ48" s="37"/>
      <c r="GOK48" s="37"/>
      <c r="GOL48" s="37"/>
      <c r="GOM48" s="37"/>
      <c r="GON48" s="37"/>
      <c r="GOO48" s="37"/>
      <c r="GOP48" s="37"/>
      <c r="GOQ48" s="37"/>
      <c r="GOR48" s="37"/>
      <c r="GOS48" s="37"/>
      <c r="GOT48" s="37"/>
      <c r="GOU48" s="37"/>
      <c r="GOV48" s="37"/>
      <c r="GOW48" s="37"/>
      <c r="GOX48" s="37"/>
      <c r="GOY48" s="37"/>
      <c r="GOZ48" s="37"/>
      <c r="GPA48" s="37"/>
      <c r="GPB48" s="37"/>
      <c r="GPC48" s="37"/>
      <c r="GPD48" s="37"/>
      <c r="GPE48" s="37"/>
      <c r="GPF48" s="37"/>
      <c r="GPG48" s="37"/>
      <c r="GPH48" s="37"/>
      <c r="GPI48" s="37"/>
      <c r="GPJ48" s="37"/>
      <c r="GPK48" s="37"/>
      <c r="GPL48" s="37"/>
      <c r="GPM48" s="37"/>
      <c r="GPN48" s="37"/>
      <c r="GPO48" s="37"/>
      <c r="GPP48" s="37"/>
      <c r="GPQ48" s="37"/>
      <c r="GPR48" s="37"/>
      <c r="GPS48" s="37"/>
      <c r="GPT48" s="37"/>
      <c r="GPU48" s="37"/>
      <c r="GPV48" s="37"/>
      <c r="GPW48" s="37"/>
      <c r="GPX48" s="37"/>
      <c r="GPY48" s="37"/>
      <c r="GPZ48" s="37"/>
      <c r="GQA48" s="37"/>
      <c r="GQB48" s="37"/>
      <c r="GQC48" s="37"/>
      <c r="GQD48" s="37"/>
      <c r="GQE48" s="37"/>
      <c r="GQF48" s="37"/>
      <c r="GQG48" s="37"/>
      <c r="GQH48" s="37"/>
      <c r="GQI48" s="37"/>
      <c r="GQJ48" s="37"/>
      <c r="GQK48" s="37"/>
      <c r="GQL48" s="37"/>
      <c r="GQM48" s="37"/>
      <c r="GQN48" s="37"/>
      <c r="GQO48" s="37"/>
      <c r="GQP48" s="37"/>
      <c r="GQQ48" s="37"/>
      <c r="GQR48" s="37"/>
      <c r="GQS48" s="37"/>
      <c r="GQT48" s="37"/>
      <c r="GQU48" s="37"/>
      <c r="GQV48" s="37"/>
      <c r="GQW48" s="37"/>
      <c r="GQX48" s="37"/>
      <c r="GQY48" s="37"/>
      <c r="GQZ48" s="37"/>
      <c r="GRA48" s="37"/>
      <c r="GRB48" s="37"/>
      <c r="GRC48" s="37"/>
      <c r="GRD48" s="37"/>
      <c r="GRE48" s="37"/>
      <c r="GRF48" s="37"/>
      <c r="GRG48" s="37"/>
      <c r="GRH48" s="37"/>
      <c r="GRI48" s="37"/>
      <c r="GRJ48" s="37"/>
      <c r="GRK48" s="37"/>
      <c r="GRL48" s="37"/>
      <c r="GRM48" s="37"/>
      <c r="GRN48" s="37"/>
      <c r="GRO48" s="37"/>
      <c r="GRP48" s="37"/>
      <c r="GRQ48" s="37"/>
      <c r="GRR48" s="37"/>
      <c r="GRS48" s="37"/>
      <c r="GRT48" s="37"/>
      <c r="GRU48" s="37"/>
      <c r="GRV48" s="37"/>
      <c r="GRW48" s="37"/>
      <c r="GRX48" s="37"/>
      <c r="GRY48" s="37"/>
      <c r="GRZ48" s="37"/>
      <c r="GSA48" s="37"/>
      <c r="GSB48" s="37"/>
      <c r="GSC48" s="37"/>
      <c r="GSD48" s="37"/>
      <c r="GSE48" s="37"/>
      <c r="GSF48" s="37"/>
      <c r="GSG48" s="37"/>
      <c r="GSH48" s="37"/>
      <c r="GSI48" s="37"/>
      <c r="GSJ48" s="37"/>
      <c r="GSK48" s="37"/>
      <c r="GSL48" s="37"/>
      <c r="GSM48" s="37"/>
      <c r="GSN48" s="37"/>
      <c r="GSO48" s="37"/>
      <c r="GSP48" s="37"/>
      <c r="GSQ48" s="37"/>
      <c r="GSR48" s="37"/>
      <c r="GSS48" s="37"/>
      <c r="GST48" s="37"/>
      <c r="GSU48" s="37"/>
      <c r="GSV48" s="37"/>
      <c r="GSW48" s="37"/>
      <c r="GSX48" s="37"/>
      <c r="GSY48" s="37"/>
      <c r="GSZ48" s="37"/>
      <c r="GTA48" s="37"/>
      <c r="GTB48" s="37"/>
      <c r="GTC48" s="37"/>
      <c r="GTD48" s="37"/>
      <c r="GTE48" s="37"/>
      <c r="GTF48" s="37"/>
      <c r="GTG48" s="37"/>
      <c r="GTH48" s="37"/>
      <c r="GTI48" s="37"/>
      <c r="GTJ48" s="37"/>
      <c r="GTK48" s="37"/>
      <c r="GTL48" s="37"/>
      <c r="GTM48" s="37"/>
      <c r="GTN48" s="37"/>
      <c r="GTO48" s="37"/>
      <c r="GTP48" s="37"/>
      <c r="GTQ48" s="37"/>
      <c r="GTR48" s="37"/>
      <c r="GTS48" s="37"/>
      <c r="GTT48" s="37"/>
      <c r="GTU48" s="37"/>
      <c r="GTV48" s="37"/>
      <c r="GTW48" s="37"/>
      <c r="GTX48" s="37"/>
      <c r="GTY48" s="37"/>
      <c r="GTZ48" s="37"/>
      <c r="GUA48" s="37"/>
      <c r="GUB48" s="37"/>
      <c r="GUC48" s="37"/>
      <c r="GUD48" s="37"/>
      <c r="GUE48" s="37"/>
      <c r="GUF48" s="37"/>
      <c r="GUG48" s="37"/>
      <c r="GUH48" s="37"/>
      <c r="GUI48" s="37"/>
      <c r="GUJ48" s="37"/>
      <c r="GUK48" s="37"/>
      <c r="GUL48" s="37"/>
      <c r="GUM48" s="37"/>
      <c r="GUN48" s="37"/>
      <c r="GUO48" s="37"/>
      <c r="GUP48" s="37"/>
      <c r="GUQ48" s="37"/>
      <c r="GUR48" s="37"/>
      <c r="GUS48" s="37"/>
      <c r="GUT48" s="37"/>
      <c r="GUU48" s="37"/>
      <c r="GUV48" s="37"/>
      <c r="GUW48" s="37"/>
      <c r="GUX48" s="37"/>
      <c r="GUY48" s="37"/>
      <c r="GUZ48" s="37"/>
      <c r="GVA48" s="37"/>
      <c r="GVB48" s="37"/>
      <c r="GVC48" s="37"/>
      <c r="GVD48" s="37"/>
      <c r="GVE48" s="37"/>
      <c r="GVF48" s="37"/>
      <c r="GVG48" s="37"/>
      <c r="GVH48" s="37"/>
      <c r="GVI48" s="37"/>
      <c r="GVJ48" s="37"/>
      <c r="GVK48" s="37"/>
      <c r="GVL48" s="37"/>
      <c r="GVM48" s="37"/>
      <c r="GVN48" s="37"/>
      <c r="GVO48" s="37"/>
      <c r="GVP48" s="37"/>
      <c r="GVQ48" s="37"/>
      <c r="GVR48" s="37"/>
      <c r="GVS48" s="37"/>
      <c r="GVT48" s="37"/>
      <c r="GVU48" s="37"/>
      <c r="GVV48" s="37"/>
      <c r="GVW48" s="37"/>
      <c r="GVX48" s="37"/>
      <c r="GVY48" s="37"/>
      <c r="GVZ48" s="37"/>
      <c r="GWA48" s="37"/>
      <c r="GWB48" s="37"/>
      <c r="GWC48" s="37"/>
      <c r="GWD48" s="37"/>
      <c r="GWE48" s="37"/>
      <c r="GWF48" s="37"/>
      <c r="GWG48" s="37"/>
      <c r="GWH48" s="37"/>
      <c r="GWI48" s="37"/>
      <c r="GWJ48" s="37"/>
      <c r="GWK48" s="37"/>
      <c r="GWL48" s="37"/>
      <c r="GWM48" s="37"/>
      <c r="GWN48" s="37"/>
      <c r="GWO48" s="37"/>
      <c r="GWP48" s="37"/>
      <c r="GWQ48" s="37"/>
      <c r="GWR48" s="37"/>
      <c r="GWS48" s="37"/>
      <c r="GWT48" s="37"/>
      <c r="GWU48" s="37"/>
      <c r="GWV48" s="37"/>
      <c r="GWW48" s="37"/>
      <c r="GWX48" s="37"/>
      <c r="GWY48" s="37"/>
      <c r="GWZ48" s="37"/>
      <c r="GXA48" s="37"/>
      <c r="GXB48" s="37"/>
      <c r="GXC48" s="37"/>
      <c r="GXD48" s="37"/>
      <c r="GXE48" s="37"/>
      <c r="GXF48" s="37"/>
      <c r="GXG48" s="37"/>
      <c r="GXH48" s="37"/>
      <c r="GXI48" s="37"/>
      <c r="GXJ48" s="37"/>
      <c r="GXK48" s="37"/>
      <c r="GXL48" s="37"/>
      <c r="GXM48" s="37"/>
      <c r="GXN48" s="37"/>
      <c r="GXO48" s="37"/>
      <c r="GXP48" s="37"/>
      <c r="GXQ48" s="37"/>
      <c r="GXR48" s="37"/>
      <c r="GXS48" s="37"/>
      <c r="GXT48" s="37"/>
      <c r="GXU48" s="37"/>
      <c r="GXV48" s="37"/>
      <c r="GXW48" s="37"/>
      <c r="GXX48" s="37"/>
      <c r="GXY48" s="37"/>
      <c r="GXZ48" s="37"/>
      <c r="GYA48" s="37"/>
      <c r="GYB48" s="37"/>
      <c r="GYC48" s="37"/>
      <c r="GYD48" s="37"/>
      <c r="GYE48" s="37"/>
      <c r="GYF48" s="37"/>
      <c r="GYG48" s="37"/>
      <c r="GYH48" s="37"/>
      <c r="GYI48" s="37"/>
      <c r="GYJ48" s="37"/>
      <c r="GYK48" s="37"/>
      <c r="GYL48" s="37"/>
      <c r="GYM48" s="37"/>
      <c r="GYN48" s="37"/>
      <c r="GYO48" s="37"/>
      <c r="GYP48" s="37"/>
      <c r="GYQ48" s="37"/>
      <c r="GYR48" s="37"/>
      <c r="GYS48" s="37"/>
      <c r="GYT48" s="37"/>
      <c r="GYU48" s="37"/>
      <c r="GYV48" s="37"/>
      <c r="GYW48" s="37"/>
      <c r="GYX48" s="37"/>
      <c r="GYY48" s="37"/>
      <c r="GYZ48" s="37"/>
      <c r="GZA48" s="37"/>
      <c r="GZB48" s="37"/>
      <c r="GZC48" s="37"/>
      <c r="GZD48" s="37"/>
      <c r="GZE48" s="37"/>
      <c r="GZF48" s="37"/>
      <c r="GZG48" s="37"/>
      <c r="GZH48" s="37"/>
      <c r="GZI48" s="37"/>
      <c r="GZJ48" s="37"/>
      <c r="GZK48" s="37"/>
      <c r="GZL48" s="37"/>
      <c r="GZM48" s="37"/>
      <c r="GZN48" s="37"/>
      <c r="GZO48" s="37"/>
      <c r="GZP48" s="37"/>
      <c r="GZQ48" s="37"/>
      <c r="GZR48" s="37"/>
      <c r="GZS48" s="37"/>
      <c r="GZT48" s="37"/>
      <c r="GZU48" s="37"/>
      <c r="GZV48" s="37"/>
      <c r="GZW48" s="37"/>
      <c r="GZX48" s="37"/>
      <c r="GZY48" s="37"/>
      <c r="GZZ48" s="37"/>
      <c r="HAA48" s="37"/>
      <c r="HAB48" s="37"/>
      <c r="HAC48" s="37"/>
      <c r="HAD48" s="37"/>
      <c r="HAE48" s="37"/>
      <c r="HAF48" s="37"/>
      <c r="HAG48" s="37"/>
      <c r="HAH48" s="37"/>
      <c r="HAI48" s="37"/>
      <c r="HAJ48" s="37"/>
      <c r="HAK48" s="37"/>
      <c r="HAL48" s="37"/>
      <c r="HAM48" s="37"/>
      <c r="HAN48" s="37"/>
      <c r="HAO48" s="37"/>
      <c r="HAP48" s="37"/>
      <c r="HAQ48" s="37"/>
      <c r="HAR48" s="37"/>
      <c r="HAS48" s="37"/>
      <c r="HAT48" s="37"/>
      <c r="HAU48" s="37"/>
      <c r="HAV48" s="37"/>
      <c r="HAW48" s="37"/>
      <c r="HAX48" s="37"/>
      <c r="HAY48" s="37"/>
      <c r="HAZ48" s="37"/>
      <c r="HBA48" s="37"/>
      <c r="HBB48" s="37"/>
      <c r="HBC48" s="37"/>
      <c r="HBD48" s="37"/>
      <c r="HBE48" s="37"/>
      <c r="HBF48" s="37"/>
      <c r="HBG48" s="37"/>
      <c r="HBH48" s="37"/>
      <c r="HBI48" s="37"/>
      <c r="HBJ48" s="37"/>
      <c r="HBK48" s="37"/>
      <c r="HBL48" s="37"/>
      <c r="HBM48" s="37"/>
      <c r="HBN48" s="37"/>
      <c r="HBO48" s="37"/>
      <c r="HBP48" s="37"/>
      <c r="HBQ48" s="37"/>
      <c r="HBR48" s="37"/>
      <c r="HBS48" s="37"/>
      <c r="HBT48" s="37"/>
      <c r="HBU48" s="37"/>
      <c r="HBV48" s="37"/>
      <c r="HBW48" s="37"/>
      <c r="HBX48" s="37"/>
      <c r="HBY48" s="37"/>
      <c r="HBZ48" s="37"/>
      <c r="HCA48" s="37"/>
      <c r="HCB48" s="37"/>
      <c r="HCC48" s="37"/>
      <c r="HCD48" s="37"/>
      <c r="HCE48" s="37"/>
      <c r="HCF48" s="37"/>
      <c r="HCG48" s="37"/>
      <c r="HCH48" s="37"/>
      <c r="HCI48" s="37"/>
      <c r="HCJ48" s="37"/>
      <c r="HCK48" s="37"/>
      <c r="HCL48" s="37"/>
      <c r="HCM48" s="37"/>
      <c r="HCN48" s="37"/>
      <c r="HCO48" s="37"/>
      <c r="HCP48" s="37"/>
      <c r="HCQ48" s="37"/>
      <c r="HCR48" s="37"/>
      <c r="HCS48" s="37"/>
      <c r="HCT48" s="37"/>
      <c r="HCU48" s="37"/>
      <c r="HCV48" s="37"/>
      <c r="HCW48" s="37"/>
      <c r="HCX48" s="37"/>
      <c r="HCY48" s="37"/>
      <c r="HCZ48" s="37"/>
      <c r="HDA48" s="37"/>
      <c r="HDB48" s="37"/>
      <c r="HDC48" s="37"/>
      <c r="HDD48" s="37"/>
      <c r="HDE48" s="37"/>
      <c r="HDF48" s="37"/>
      <c r="HDG48" s="37"/>
      <c r="HDH48" s="37"/>
      <c r="HDI48" s="37"/>
      <c r="HDJ48" s="37"/>
      <c r="HDK48" s="37"/>
      <c r="HDL48" s="37"/>
      <c r="HDM48" s="37"/>
      <c r="HDN48" s="37"/>
      <c r="HDO48" s="37"/>
      <c r="HDP48" s="37"/>
      <c r="HDQ48" s="37"/>
      <c r="HDR48" s="37"/>
      <c r="HDS48" s="37"/>
      <c r="HDT48" s="37"/>
      <c r="HDU48" s="37"/>
      <c r="HDV48" s="37"/>
      <c r="HDW48" s="37"/>
      <c r="HDX48" s="37"/>
      <c r="HDY48" s="37"/>
      <c r="HDZ48" s="37"/>
      <c r="HEA48" s="37"/>
      <c r="HEB48" s="37"/>
      <c r="HEC48" s="37"/>
      <c r="HED48" s="37"/>
      <c r="HEE48" s="37"/>
      <c r="HEF48" s="37"/>
      <c r="HEG48" s="37"/>
      <c r="HEH48" s="37"/>
      <c r="HEI48" s="37"/>
      <c r="HEJ48" s="37"/>
      <c r="HEK48" s="37"/>
      <c r="HEL48" s="37"/>
      <c r="HEM48" s="37"/>
      <c r="HEN48" s="37"/>
      <c r="HEO48" s="37"/>
      <c r="HEP48" s="37"/>
      <c r="HEQ48" s="37"/>
      <c r="HER48" s="37"/>
      <c r="HES48" s="37"/>
      <c r="HET48" s="37"/>
      <c r="HEU48" s="37"/>
      <c r="HEV48" s="37"/>
      <c r="HEW48" s="37"/>
      <c r="HEX48" s="37"/>
      <c r="HEY48" s="37"/>
      <c r="HEZ48" s="37"/>
      <c r="HFA48" s="37"/>
      <c r="HFB48" s="37"/>
      <c r="HFC48" s="37"/>
      <c r="HFD48" s="37"/>
      <c r="HFE48" s="37"/>
      <c r="HFF48" s="37"/>
      <c r="HFG48" s="37"/>
      <c r="HFH48" s="37"/>
      <c r="HFI48" s="37"/>
      <c r="HFJ48" s="37"/>
      <c r="HFK48" s="37"/>
      <c r="HFL48" s="37"/>
      <c r="HFM48" s="37"/>
      <c r="HFN48" s="37"/>
      <c r="HFO48" s="37"/>
      <c r="HFP48" s="37"/>
      <c r="HFQ48" s="37"/>
      <c r="HFR48" s="37"/>
      <c r="HFS48" s="37"/>
      <c r="HFT48" s="37"/>
      <c r="HFU48" s="37"/>
      <c r="HFV48" s="37"/>
      <c r="HFW48" s="37"/>
      <c r="HFX48" s="37"/>
      <c r="HFY48" s="37"/>
      <c r="HFZ48" s="37"/>
      <c r="HGA48" s="37"/>
      <c r="HGB48" s="37"/>
      <c r="HGC48" s="37"/>
      <c r="HGD48" s="37"/>
      <c r="HGE48" s="37"/>
      <c r="HGF48" s="37"/>
      <c r="HGG48" s="37"/>
      <c r="HGH48" s="37"/>
      <c r="HGI48" s="37"/>
      <c r="HGJ48" s="37"/>
      <c r="HGK48" s="37"/>
      <c r="HGL48" s="37"/>
      <c r="HGM48" s="37"/>
      <c r="HGN48" s="37"/>
      <c r="HGO48" s="37"/>
      <c r="HGP48" s="37"/>
      <c r="HGQ48" s="37"/>
      <c r="HGR48" s="37"/>
      <c r="HGS48" s="37"/>
      <c r="HGT48" s="37"/>
      <c r="HGU48" s="37"/>
      <c r="HGV48" s="37"/>
      <c r="HGW48" s="37"/>
      <c r="HGX48" s="37"/>
      <c r="HGY48" s="37"/>
      <c r="HGZ48" s="37"/>
      <c r="HHA48" s="37"/>
      <c r="HHB48" s="37"/>
      <c r="HHC48" s="37"/>
      <c r="HHD48" s="37"/>
      <c r="HHE48" s="37"/>
      <c r="HHF48" s="37"/>
      <c r="HHG48" s="37"/>
      <c r="HHH48" s="37"/>
      <c r="HHI48" s="37"/>
      <c r="HHJ48" s="37"/>
      <c r="HHK48" s="37"/>
      <c r="HHL48" s="37"/>
      <c r="HHM48" s="37"/>
      <c r="HHN48" s="37"/>
      <c r="HHO48" s="37"/>
      <c r="HHP48" s="37"/>
      <c r="HHQ48" s="37"/>
      <c r="HHR48" s="37"/>
      <c r="HHS48" s="37"/>
      <c r="HHT48" s="37"/>
      <c r="HHU48" s="37"/>
      <c r="HHV48" s="37"/>
      <c r="HHW48" s="37"/>
      <c r="HHX48" s="37"/>
      <c r="HHY48" s="37"/>
      <c r="HHZ48" s="37"/>
      <c r="HIA48" s="37"/>
      <c r="HIB48" s="37"/>
      <c r="HIC48" s="37"/>
      <c r="HID48" s="37"/>
      <c r="HIE48" s="37"/>
      <c r="HIF48" s="37"/>
      <c r="HIG48" s="37"/>
      <c r="HIH48" s="37"/>
      <c r="HII48" s="37"/>
      <c r="HIJ48" s="37"/>
      <c r="HIK48" s="37"/>
      <c r="HIL48" s="37"/>
      <c r="HIM48" s="37"/>
      <c r="HIN48" s="37"/>
      <c r="HIO48" s="37"/>
      <c r="HIP48" s="37"/>
      <c r="HIQ48" s="37"/>
      <c r="HIR48" s="37"/>
      <c r="HIS48" s="37"/>
      <c r="HIT48" s="37"/>
      <c r="HIU48" s="37"/>
      <c r="HIV48" s="37"/>
      <c r="HIW48" s="37"/>
      <c r="HIX48" s="37"/>
      <c r="HIY48" s="37"/>
      <c r="HIZ48" s="37"/>
      <c r="HJA48" s="37"/>
      <c r="HJB48" s="37"/>
      <c r="HJC48" s="37"/>
      <c r="HJD48" s="37"/>
      <c r="HJE48" s="37"/>
      <c r="HJF48" s="37"/>
      <c r="HJG48" s="37"/>
      <c r="HJH48" s="37"/>
      <c r="HJI48" s="37"/>
      <c r="HJJ48" s="37"/>
      <c r="HJK48" s="37"/>
      <c r="HJL48" s="37"/>
      <c r="HJM48" s="37"/>
      <c r="HJN48" s="37"/>
      <c r="HJO48" s="37"/>
      <c r="HJP48" s="37"/>
      <c r="HJQ48" s="37"/>
      <c r="HJR48" s="37"/>
      <c r="HJS48" s="37"/>
      <c r="HJT48" s="37"/>
      <c r="HJU48" s="37"/>
      <c r="HJV48" s="37"/>
      <c r="HJW48" s="37"/>
      <c r="HJX48" s="37"/>
      <c r="HJY48" s="37"/>
      <c r="HJZ48" s="37"/>
      <c r="HKA48" s="37"/>
      <c r="HKB48" s="37"/>
      <c r="HKC48" s="37"/>
      <c r="HKD48" s="37"/>
      <c r="HKE48" s="37"/>
      <c r="HKF48" s="37"/>
      <c r="HKG48" s="37"/>
      <c r="HKH48" s="37"/>
      <c r="HKI48" s="37"/>
      <c r="HKJ48" s="37"/>
      <c r="HKK48" s="37"/>
      <c r="HKL48" s="37"/>
      <c r="HKM48" s="37"/>
      <c r="HKN48" s="37"/>
      <c r="HKO48" s="37"/>
      <c r="HKP48" s="37"/>
      <c r="HKQ48" s="37"/>
      <c r="HKR48" s="37"/>
      <c r="HKS48" s="37"/>
      <c r="HKT48" s="37"/>
      <c r="HKU48" s="37"/>
      <c r="HKV48" s="37"/>
      <c r="HKW48" s="37"/>
      <c r="HKX48" s="37"/>
      <c r="HKY48" s="37"/>
      <c r="HKZ48" s="37"/>
      <c r="HLA48" s="37"/>
      <c r="HLB48" s="37"/>
      <c r="HLC48" s="37"/>
      <c r="HLD48" s="37"/>
      <c r="HLE48" s="37"/>
      <c r="HLF48" s="37"/>
      <c r="HLG48" s="37"/>
      <c r="HLH48" s="37"/>
      <c r="HLI48" s="37"/>
      <c r="HLJ48" s="37"/>
      <c r="HLK48" s="37"/>
      <c r="HLL48" s="37"/>
      <c r="HLM48" s="37"/>
      <c r="HLN48" s="37"/>
      <c r="HLO48" s="37"/>
      <c r="HLP48" s="37"/>
      <c r="HLQ48" s="37"/>
      <c r="HLR48" s="37"/>
      <c r="HLS48" s="37"/>
      <c r="HLT48" s="37"/>
      <c r="HLU48" s="37"/>
      <c r="HLV48" s="37"/>
      <c r="HLW48" s="37"/>
      <c r="HLX48" s="37"/>
      <c r="HLY48" s="37"/>
      <c r="HLZ48" s="37"/>
      <c r="HMA48" s="37"/>
      <c r="HMB48" s="37"/>
      <c r="HMC48" s="37"/>
      <c r="HMD48" s="37"/>
      <c r="HME48" s="37"/>
      <c r="HMF48" s="37"/>
      <c r="HMG48" s="37"/>
      <c r="HMH48" s="37"/>
      <c r="HMI48" s="37"/>
      <c r="HMJ48" s="37"/>
      <c r="HMK48" s="37"/>
      <c r="HML48" s="37"/>
      <c r="HMM48" s="37"/>
      <c r="HMN48" s="37"/>
      <c r="HMO48" s="37"/>
      <c r="HMP48" s="37"/>
      <c r="HMQ48" s="37"/>
      <c r="HMR48" s="37"/>
      <c r="HMS48" s="37"/>
      <c r="HMT48" s="37"/>
      <c r="HMU48" s="37"/>
      <c r="HMV48" s="37"/>
      <c r="HMW48" s="37"/>
      <c r="HMX48" s="37"/>
      <c r="HMY48" s="37"/>
      <c r="HMZ48" s="37"/>
      <c r="HNA48" s="37"/>
      <c r="HNB48" s="37"/>
      <c r="HNC48" s="37"/>
      <c r="HND48" s="37"/>
      <c r="HNE48" s="37"/>
      <c r="HNF48" s="37"/>
      <c r="HNG48" s="37"/>
      <c r="HNH48" s="37"/>
      <c r="HNI48" s="37"/>
      <c r="HNJ48" s="37"/>
      <c r="HNK48" s="37"/>
      <c r="HNL48" s="37"/>
      <c r="HNM48" s="37"/>
      <c r="HNN48" s="37"/>
      <c r="HNO48" s="37"/>
      <c r="HNP48" s="37"/>
      <c r="HNQ48" s="37"/>
      <c r="HNR48" s="37"/>
      <c r="HNS48" s="37"/>
      <c r="HNT48" s="37"/>
      <c r="HNU48" s="37"/>
      <c r="HNV48" s="37"/>
      <c r="HNW48" s="37"/>
      <c r="HNX48" s="37"/>
      <c r="HNY48" s="37"/>
      <c r="HNZ48" s="37"/>
      <c r="HOA48" s="37"/>
      <c r="HOB48" s="37"/>
      <c r="HOC48" s="37"/>
      <c r="HOD48" s="37"/>
      <c r="HOE48" s="37"/>
      <c r="HOF48" s="37"/>
      <c r="HOG48" s="37"/>
      <c r="HOH48" s="37"/>
      <c r="HOI48" s="37"/>
      <c r="HOJ48" s="37"/>
      <c r="HOK48" s="37"/>
      <c r="HOL48" s="37"/>
      <c r="HOM48" s="37"/>
      <c r="HON48" s="37"/>
      <c r="HOO48" s="37"/>
      <c r="HOP48" s="37"/>
      <c r="HOQ48" s="37"/>
      <c r="HOR48" s="37"/>
      <c r="HOS48" s="37"/>
      <c r="HOT48" s="37"/>
      <c r="HOU48" s="37"/>
      <c r="HOV48" s="37"/>
      <c r="HOW48" s="37"/>
      <c r="HOX48" s="37"/>
      <c r="HOY48" s="37"/>
      <c r="HOZ48" s="37"/>
      <c r="HPA48" s="37"/>
      <c r="HPB48" s="37"/>
      <c r="HPC48" s="37"/>
      <c r="HPD48" s="37"/>
      <c r="HPE48" s="37"/>
      <c r="HPF48" s="37"/>
      <c r="HPG48" s="37"/>
      <c r="HPH48" s="37"/>
      <c r="HPI48" s="37"/>
      <c r="HPJ48" s="37"/>
      <c r="HPK48" s="37"/>
      <c r="HPL48" s="37"/>
      <c r="HPM48" s="37"/>
      <c r="HPN48" s="37"/>
      <c r="HPO48" s="37"/>
      <c r="HPP48" s="37"/>
      <c r="HPQ48" s="37"/>
      <c r="HPR48" s="37"/>
      <c r="HPS48" s="37"/>
      <c r="HPT48" s="37"/>
      <c r="HPU48" s="37"/>
      <c r="HPV48" s="37"/>
      <c r="HPW48" s="37"/>
      <c r="HPX48" s="37"/>
      <c r="HPY48" s="37"/>
      <c r="HPZ48" s="37"/>
      <c r="HQA48" s="37"/>
      <c r="HQB48" s="37"/>
      <c r="HQC48" s="37"/>
      <c r="HQD48" s="37"/>
      <c r="HQE48" s="37"/>
      <c r="HQF48" s="37"/>
      <c r="HQG48" s="37"/>
      <c r="HQH48" s="37"/>
      <c r="HQI48" s="37"/>
      <c r="HQJ48" s="37"/>
      <c r="HQK48" s="37"/>
      <c r="HQL48" s="37"/>
      <c r="HQM48" s="37"/>
      <c r="HQN48" s="37"/>
      <c r="HQO48" s="37"/>
      <c r="HQP48" s="37"/>
      <c r="HQQ48" s="37"/>
      <c r="HQR48" s="37"/>
      <c r="HQS48" s="37"/>
      <c r="HQT48" s="37"/>
      <c r="HQU48" s="37"/>
      <c r="HQV48" s="37"/>
      <c r="HQW48" s="37"/>
      <c r="HQX48" s="37"/>
      <c r="HQY48" s="37"/>
      <c r="HQZ48" s="37"/>
      <c r="HRA48" s="37"/>
      <c r="HRB48" s="37"/>
      <c r="HRC48" s="37"/>
      <c r="HRD48" s="37"/>
      <c r="HRE48" s="37"/>
      <c r="HRF48" s="37"/>
      <c r="HRG48" s="37"/>
      <c r="HRH48" s="37"/>
      <c r="HRI48" s="37"/>
      <c r="HRJ48" s="37"/>
      <c r="HRK48" s="37"/>
      <c r="HRL48" s="37"/>
      <c r="HRM48" s="37"/>
      <c r="HRN48" s="37"/>
      <c r="HRO48" s="37"/>
      <c r="HRP48" s="37"/>
      <c r="HRQ48" s="37"/>
      <c r="HRR48" s="37"/>
      <c r="HRS48" s="37"/>
      <c r="HRT48" s="37"/>
      <c r="HRU48" s="37"/>
      <c r="HRV48" s="37"/>
      <c r="HRW48" s="37"/>
      <c r="HRX48" s="37"/>
      <c r="HRY48" s="37"/>
      <c r="HRZ48" s="37"/>
      <c r="HSA48" s="37"/>
      <c r="HSB48" s="37"/>
      <c r="HSC48" s="37"/>
      <c r="HSD48" s="37"/>
      <c r="HSE48" s="37"/>
      <c r="HSF48" s="37"/>
      <c r="HSG48" s="37"/>
      <c r="HSH48" s="37"/>
      <c r="HSI48" s="37"/>
      <c r="HSJ48" s="37"/>
      <c r="HSK48" s="37"/>
      <c r="HSL48" s="37"/>
      <c r="HSM48" s="37"/>
      <c r="HSN48" s="37"/>
      <c r="HSO48" s="37"/>
      <c r="HSP48" s="37"/>
      <c r="HSQ48" s="37"/>
      <c r="HSR48" s="37"/>
      <c r="HSS48" s="37"/>
      <c r="HST48" s="37"/>
      <c r="HSU48" s="37"/>
      <c r="HSV48" s="37"/>
      <c r="HSW48" s="37"/>
      <c r="HSX48" s="37"/>
      <c r="HSY48" s="37"/>
      <c r="HSZ48" s="37"/>
      <c r="HTA48" s="37"/>
      <c r="HTB48" s="37"/>
      <c r="HTC48" s="37"/>
      <c r="HTD48" s="37"/>
      <c r="HTE48" s="37"/>
      <c r="HTF48" s="37"/>
      <c r="HTG48" s="37"/>
      <c r="HTH48" s="37"/>
      <c r="HTI48" s="37"/>
      <c r="HTJ48" s="37"/>
      <c r="HTK48" s="37"/>
      <c r="HTL48" s="37"/>
      <c r="HTM48" s="37"/>
      <c r="HTN48" s="37"/>
      <c r="HTO48" s="37"/>
      <c r="HTP48" s="37"/>
      <c r="HTQ48" s="37"/>
      <c r="HTR48" s="37"/>
      <c r="HTS48" s="37"/>
      <c r="HTT48" s="37"/>
      <c r="HTU48" s="37"/>
      <c r="HTV48" s="37"/>
      <c r="HTW48" s="37"/>
      <c r="HTX48" s="37"/>
      <c r="HTY48" s="37"/>
      <c r="HTZ48" s="37"/>
      <c r="HUA48" s="37"/>
      <c r="HUB48" s="37"/>
      <c r="HUC48" s="37"/>
      <c r="HUD48" s="37"/>
      <c r="HUE48" s="37"/>
      <c r="HUF48" s="37"/>
      <c r="HUG48" s="37"/>
      <c r="HUH48" s="37"/>
      <c r="HUI48" s="37"/>
      <c r="HUJ48" s="37"/>
      <c r="HUK48" s="37"/>
      <c r="HUL48" s="37"/>
      <c r="HUM48" s="37"/>
      <c r="HUN48" s="37"/>
      <c r="HUO48" s="37"/>
      <c r="HUP48" s="37"/>
      <c r="HUQ48" s="37"/>
      <c r="HUR48" s="37"/>
      <c r="HUS48" s="37"/>
      <c r="HUT48" s="37"/>
      <c r="HUU48" s="37"/>
      <c r="HUV48" s="37"/>
      <c r="HUW48" s="37"/>
      <c r="HUX48" s="37"/>
      <c r="HUY48" s="37"/>
      <c r="HUZ48" s="37"/>
      <c r="HVA48" s="37"/>
      <c r="HVB48" s="37"/>
      <c r="HVC48" s="37"/>
      <c r="HVD48" s="37"/>
      <c r="HVE48" s="37"/>
      <c r="HVF48" s="37"/>
      <c r="HVG48" s="37"/>
      <c r="HVH48" s="37"/>
      <c r="HVI48" s="37"/>
      <c r="HVJ48" s="37"/>
      <c r="HVK48" s="37"/>
      <c r="HVL48" s="37"/>
      <c r="HVM48" s="37"/>
      <c r="HVN48" s="37"/>
      <c r="HVO48" s="37"/>
      <c r="HVP48" s="37"/>
      <c r="HVQ48" s="37"/>
      <c r="HVR48" s="37"/>
      <c r="HVS48" s="37"/>
      <c r="HVT48" s="37"/>
      <c r="HVU48" s="37"/>
      <c r="HVV48" s="37"/>
      <c r="HVW48" s="37"/>
      <c r="HVX48" s="37"/>
      <c r="HVY48" s="37"/>
      <c r="HVZ48" s="37"/>
      <c r="HWA48" s="37"/>
      <c r="HWB48" s="37"/>
      <c r="HWC48" s="37"/>
      <c r="HWD48" s="37"/>
      <c r="HWE48" s="37"/>
      <c r="HWF48" s="37"/>
      <c r="HWG48" s="37"/>
      <c r="HWH48" s="37"/>
      <c r="HWI48" s="37"/>
      <c r="HWJ48" s="37"/>
      <c r="HWK48" s="37"/>
      <c r="HWL48" s="37"/>
      <c r="HWM48" s="37"/>
      <c r="HWN48" s="37"/>
      <c r="HWO48" s="37"/>
      <c r="HWP48" s="37"/>
      <c r="HWQ48" s="37"/>
      <c r="HWR48" s="37"/>
      <c r="HWS48" s="37"/>
      <c r="HWT48" s="37"/>
      <c r="HWU48" s="37"/>
      <c r="HWV48" s="37"/>
      <c r="HWW48" s="37"/>
      <c r="HWX48" s="37"/>
      <c r="HWY48" s="37"/>
      <c r="HWZ48" s="37"/>
      <c r="HXA48" s="37"/>
      <c r="HXB48" s="37"/>
      <c r="HXC48" s="37"/>
      <c r="HXD48" s="37"/>
      <c r="HXE48" s="37"/>
      <c r="HXF48" s="37"/>
      <c r="HXG48" s="37"/>
      <c r="HXH48" s="37"/>
      <c r="HXI48" s="37"/>
      <c r="HXJ48" s="37"/>
      <c r="HXK48" s="37"/>
      <c r="HXL48" s="37"/>
      <c r="HXM48" s="37"/>
      <c r="HXN48" s="37"/>
      <c r="HXO48" s="37"/>
      <c r="HXP48" s="37"/>
      <c r="HXQ48" s="37"/>
      <c r="HXR48" s="37"/>
      <c r="HXS48" s="37"/>
      <c r="HXT48" s="37"/>
      <c r="HXU48" s="37"/>
      <c r="HXV48" s="37"/>
      <c r="HXW48" s="37"/>
      <c r="HXX48" s="37"/>
      <c r="HXY48" s="37"/>
      <c r="HXZ48" s="37"/>
      <c r="HYA48" s="37"/>
      <c r="HYB48" s="37"/>
      <c r="HYC48" s="37"/>
      <c r="HYD48" s="37"/>
      <c r="HYE48" s="37"/>
      <c r="HYF48" s="37"/>
      <c r="HYG48" s="37"/>
      <c r="HYH48" s="37"/>
      <c r="HYI48" s="37"/>
      <c r="HYJ48" s="37"/>
      <c r="HYK48" s="37"/>
      <c r="HYL48" s="37"/>
      <c r="HYM48" s="37"/>
      <c r="HYN48" s="37"/>
      <c r="HYO48" s="37"/>
      <c r="HYP48" s="37"/>
      <c r="HYQ48" s="37"/>
      <c r="HYR48" s="37"/>
      <c r="HYS48" s="37"/>
      <c r="HYT48" s="37"/>
      <c r="HYU48" s="37"/>
      <c r="HYV48" s="37"/>
      <c r="HYW48" s="37"/>
      <c r="HYX48" s="37"/>
      <c r="HYY48" s="37"/>
      <c r="HYZ48" s="37"/>
      <c r="HZA48" s="37"/>
      <c r="HZB48" s="37"/>
      <c r="HZC48" s="37"/>
      <c r="HZD48" s="37"/>
      <c r="HZE48" s="37"/>
      <c r="HZF48" s="37"/>
      <c r="HZG48" s="37"/>
      <c r="HZH48" s="37"/>
      <c r="HZI48" s="37"/>
      <c r="HZJ48" s="37"/>
      <c r="HZK48" s="37"/>
      <c r="HZL48" s="37"/>
      <c r="HZM48" s="37"/>
      <c r="HZN48" s="37"/>
      <c r="HZO48" s="37"/>
      <c r="HZP48" s="37"/>
      <c r="HZQ48" s="37"/>
      <c r="HZR48" s="37"/>
      <c r="HZS48" s="37"/>
      <c r="HZT48" s="37"/>
      <c r="HZU48" s="37"/>
      <c r="HZV48" s="37"/>
      <c r="HZW48" s="37"/>
      <c r="HZX48" s="37"/>
      <c r="HZY48" s="37"/>
      <c r="HZZ48" s="37"/>
      <c r="IAA48" s="37"/>
      <c r="IAB48" s="37"/>
      <c r="IAC48" s="37"/>
      <c r="IAD48" s="37"/>
      <c r="IAE48" s="37"/>
      <c r="IAF48" s="37"/>
      <c r="IAG48" s="37"/>
      <c r="IAH48" s="37"/>
      <c r="IAI48" s="37"/>
      <c r="IAJ48" s="37"/>
      <c r="IAK48" s="37"/>
      <c r="IAL48" s="37"/>
      <c r="IAM48" s="37"/>
      <c r="IAN48" s="37"/>
      <c r="IAO48" s="37"/>
      <c r="IAP48" s="37"/>
      <c r="IAQ48" s="37"/>
      <c r="IAR48" s="37"/>
      <c r="IAS48" s="37"/>
      <c r="IAT48" s="37"/>
      <c r="IAU48" s="37"/>
      <c r="IAV48" s="37"/>
      <c r="IAW48" s="37"/>
      <c r="IAX48" s="37"/>
      <c r="IAY48" s="37"/>
      <c r="IAZ48" s="37"/>
      <c r="IBA48" s="37"/>
      <c r="IBB48" s="37"/>
      <c r="IBC48" s="37"/>
      <c r="IBD48" s="37"/>
      <c r="IBE48" s="37"/>
      <c r="IBF48" s="37"/>
      <c r="IBG48" s="37"/>
      <c r="IBH48" s="37"/>
      <c r="IBI48" s="37"/>
      <c r="IBJ48" s="37"/>
      <c r="IBK48" s="37"/>
      <c r="IBL48" s="37"/>
      <c r="IBM48" s="37"/>
      <c r="IBN48" s="37"/>
      <c r="IBO48" s="37"/>
      <c r="IBP48" s="37"/>
      <c r="IBQ48" s="37"/>
      <c r="IBR48" s="37"/>
      <c r="IBS48" s="37"/>
      <c r="IBT48" s="37"/>
      <c r="IBU48" s="37"/>
      <c r="IBV48" s="37"/>
      <c r="IBW48" s="37"/>
      <c r="IBX48" s="37"/>
      <c r="IBY48" s="37"/>
      <c r="IBZ48" s="37"/>
      <c r="ICA48" s="37"/>
      <c r="ICB48" s="37"/>
      <c r="ICC48" s="37"/>
      <c r="ICD48" s="37"/>
      <c r="ICE48" s="37"/>
      <c r="ICF48" s="37"/>
      <c r="ICG48" s="37"/>
      <c r="ICH48" s="37"/>
      <c r="ICI48" s="37"/>
      <c r="ICJ48" s="37"/>
      <c r="ICK48" s="37"/>
      <c r="ICL48" s="37"/>
      <c r="ICM48" s="37"/>
      <c r="ICN48" s="37"/>
      <c r="ICO48" s="37"/>
      <c r="ICP48" s="37"/>
      <c r="ICQ48" s="37"/>
      <c r="ICR48" s="37"/>
      <c r="ICS48" s="37"/>
      <c r="ICT48" s="37"/>
      <c r="ICU48" s="37"/>
      <c r="ICV48" s="37"/>
      <c r="ICW48" s="37"/>
      <c r="ICX48" s="37"/>
      <c r="ICY48" s="37"/>
      <c r="ICZ48" s="37"/>
      <c r="IDA48" s="37"/>
      <c r="IDB48" s="37"/>
      <c r="IDC48" s="37"/>
      <c r="IDD48" s="37"/>
      <c r="IDE48" s="37"/>
      <c r="IDF48" s="37"/>
      <c r="IDG48" s="37"/>
      <c r="IDH48" s="37"/>
      <c r="IDI48" s="37"/>
      <c r="IDJ48" s="37"/>
      <c r="IDK48" s="37"/>
      <c r="IDL48" s="37"/>
      <c r="IDM48" s="37"/>
      <c r="IDN48" s="37"/>
      <c r="IDO48" s="37"/>
      <c r="IDP48" s="37"/>
      <c r="IDQ48" s="37"/>
      <c r="IDR48" s="37"/>
      <c r="IDS48" s="37"/>
      <c r="IDT48" s="37"/>
      <c r="IDU48" s="37"/>
      <c r="IDV48" s="37"/>
      <c r="IDW48" s="37"/>
      <c r="IDX48" s="37"/>
      <c r="IDY48" s="37"/>
      <c r="IDZ48" s="37"/>
      <c r="IEA48" s="37"/>
      <c r="IEB48" s="37"/>
      <c r="IEC48" s="37"/>
      <c r="IED48" s="37"/>
      <c r="IEE48" s="37"/>
      <c r="IEF48" s="37"/>
      <c r="IEG48" s="37"/>
      <c r="IEH48" s="37"/>
      <c r="IEI48" s="37"/>
      <c r="IEJ48" s="37"/>
      <c r="IEK48" s="37"/>
      <c r="IEL48" s="37"/>
      <c r="IEM48" s="37"/>
      <c r="IEN48" s="37"/>
      <c r="IEO48" s="37"/>
      <c r="IEP48" s="37"/>
      <c r="IEQ48" s="37"/>
      <c r="IER48" s="37"/>
      <c r="IES48" s="37"/>
      <c r="IET48" s="37"/>
      <c r="IEU48" s="37"/>
      <c r="IEV48" s="37"/>
      <c r="IEW48" s="37"/>
      <c r="IEX48" s="37"/>
      <c r="IEY48" s="37"/>
      <c r="IEZ48" s="37"/>
      <c r="IFA48" s="37"/>
      <c r="IFB48" s="37"/>
      <c r="IFC48" s="37"/>
      <c r="IFD48" s="37"/>
      <c r="IFE48" s="37"/>
      <c r="IFF48" s="37"/>
      <c r="IFG48" s="37"/>
      <c r="IFH48" s="37"/>
      <c r="IFI48" s="37"/>
      <c r="IFJ48" s="37"/>
      <c r="IFK48" s="37"/>
      <c r="IFL48" s="37"/>
      <c r="IFM48" s="37"/>
      <c r="IFN48" s="37"/>
      <c r="IFO48" s="37"/>
      <c r="IFP48" s="37"/>
      <c r="IFQ48" s="37"/>
      <c r="IFR48" s="37"/>
      <c r="IFS48" s="37"/>
      <c r="IFT48" s="37"/>
      <c r="IFU48" s="37"/>
      <c r="IFV48" s="37"/>
      <c r="IFW48" s="37"/>
      <c r="IFX48" s="37"/>
      <c r="IFY48" s="37"/>
      <c r="IFZ48" s="37"/>
      <c r="IGA48" s="37"/>
      <c r="IGB48" s="37"/>
      <c r="IGC48" s="37"/>
      <c r="IGD48" s="37"/>
      <c r="IGE48" s="37"/>
      <c r="IGF48" s="37"/>
      <c r="IGG48" s="37"/>
      <c r="IGH48" s="37"/>
      <c r="IGI48" s="37"/>
      <c r="IGJ48" s="37"/>
      <c r="IGK48" s="37"/>
      <c r="IGL48" s="37"/>
      <c r="IGM48" s="37"/>
      <c r="IGN48" s="37"/>
      <c r="IGO48" s="37"/>
      <c r="IGP48" s="37"/>
      <c r="IGQ48" s="37"/>
      <c r="IGR48" s="37"/>
      <c r="IGS48" s="37"/>
      <c r="IGT48" s="37"/>
      <c r="IGU48" s="37"/>
      <c r="IGV48" s="37"/>
      <c r="IGW48" s="37"/>
      <c r="IGX48" s="37"/>
      <c r="IGY48" s="37"/>
      <c r="IGZ48" s="37"/>
      <c r="IHA48" s="37"/>
      <c r="IHB48" s="37"/>
      <c r="IHC48" s="37"/>
      <c r="IHD48" s="37"/>
      <c r="IHE48" s="37"/>
      <c r="IHF48" s="37"/>
      <c r="IHG48" s="37"/>
      <c r="IHH48" s="37"/>
      <c r="IHI48" s="37"/>
      <c r="IHJ48" s="37"/>
      <c r="IHK48" s="37"/>
      <c r="IHL48" s="37"/>
      <c r="IHM48" s="37"/>
      <c r="IHN48" s="37"/>
      <c r="IHO48" s="37"/>
      <c r="IHP48" s="37"/>
      <c r="IHQ48" s="37"/>
      <c r="IHR48" s="37"/>
      <c r="IHS48" s="37"/>
      <c r="IHT48" s="37"/>
      <c r="IHU48" s="37"/>
      <c r="IHV48" s="37"/>
      <c r="IHW48" s="37"/>
      <c r="IHX48" s="37"/>
      <c r="IHY48" s="37"/>
      <c r="IHZ48" s="37"/>
      <c r="IIA48" s="37"/>
      <c r="IIB48" s="37"/>
      <c r="IIC48" s="37"/>
      <c r="IID48" s="37"/>
      <c r="IIE48" s="37"/>
      <c r="IIF48" s="37"/>
      <c r="IIG48" s="37"/>
      <c r="IIH48" s="37"/>
      <c r="III48" s="37"/>
      <c r="IIJ48" s="37"/>
      <c r="IIK48" s="37"/>
      <c r="IIL48" s="37"/>
      <c r="IIM48" s="37"/>
      <c r="IIN48" s="37"/>
      <c r="IIO48" s="37"/>
      <c r="IIP48" s="37"/>
      <c r="IIQ48" s="37"/>
      <c r="IIR48" s="37"/>
      <c r="IIS48" s="37"/>
      <c r="IIT48" s="37"/>
      <c r="IIU48" s="37"/>
      <c r="IIV48" s="37"/>
      <c r="IIW48" s="37"/>
      <c r="IIX48" s="37"/>
      <c r="IIY48" s="37"/>
      <c r="IIZ48" s="37"/>
      <c r="IJA48" s="37"/>
      <c r="IJB48" s="37"/>
      <c r="IJC48" s="37"/>
      <c r="IJD48" s="37"/>
      <c r="IJE48" s="37"/>
      <c r="IJF48" s="37"/>
      <c r="IJG48" s="37"/>
      <c r="IJH48" s="37"/>
      <c r="IJI48" s="37"/>
      <c r="IJJ48" s="37"/>
      <c r="IJK48" s="37"/>
      <c r="IJL48" s="37"/>
      <c r="IJM48" s="37"/>
      <c r="IJN48" s="37"/>
      <c r="IJO48" s="37"/>
      <c r="IJP48" s="37"/>
      <c r="IJQ48" s="37"/>
      <c r="IJR48" s="37"/>
      <c r="IJS48" s="37"/>
      <c r="IJT48" s="37"/>
      <c r="IJU48" s="37"/>
      <c r="IJV48" s="37"/>
      <c r="IJW48" s="37"/>
      <c r="IJX48" s="37"/>
      <c r="IJY48" s="37"/>
      <c r="IJZ48" s="37"/>
      <c r="IKA48" s="37"/>
      <c r="IKB48" s="37"/>
      <c r="IKC48" s="37"/>
      <c r="IKD48" s="37"/>
      <c r="IKE48" s="37"/>
      <c r="IKF48" s="37"/>
      <c r="IKG48" s="37"/>
      <c r="IKH48" s="37"/>
      <c r="IKI48" s="37"/>
      <c r="IKJ48" s="37"/>
      <c r="IKK48" s="37"/>
      <c r="IKL48" s="37"/>
      <c r="IKM48" s="37"/>
      <c r="IKN48" s="37"/>
      <c r="IKO48" s="37"/>
      <c r="IKP48" s="37"/>
      <c r="IKQ48" s="37"/>
      <c r="IKR48" s="37"/>
      <c r="IKS48" s="37"/>
      <c r="IKT48" s="37"/>
      <c r="IKU48" s="37"/>
      <c r="IKV48" s="37"/>
      <c r="IKW48" s="37"/>
      <c r="IKX48" s="37"/>
      <c r="IKY48" s="37"/>
      <c r="IKZ48" s="37"/>
      <c r="ILA48" s="37"/>
      <c r="ILB48" s="37"/>
      <c r="ILC48" s="37"/>
      <c r="ILD48" s="37"/>
      <c r="ILE48" s="37"/>
      <c r="ILF48" s="37"/>
      <c r="ILG48" s="37"/>
      <c r="ILH48" s="37"/>
      <c r="ILI48" s="37"/>
      <c r="ILJ48" s="37"/>
      <c r="ILK48" s="37"/>
      <c r="ILL48" s="37"/>
      <c r="ILM48" s="37"/>
      <c r="ILN48" s="37"/>
      <c r="ILO48" s="37"/>
      <c r="ILP48" s="37"/>
      <c r="ILQ48" s="37"/>
      <c r="ILR48" s="37"/>
      <c r="ILS48" s="37"/>
      <c r="ILT48" s="37"/>
      <c r="ILU48" s="37"/>
      <c r="ILV48" s="37"/>
      <c r="ILW48" s="37"/>
      <c r="ILX48" s="37"/>
      <c r="ILY48" s="37"/>
      <c r="ILZ48" s="37"/>
      <c r="IMA48" s="37"/>
      <c r="IMB48" s="37"/>
      <c r="IMC48" s="37"/>
      <c r="IMD48" s="37"/>
      <c r="IME48" s="37"/>
      <c r="IMF48" s="37"/>
      <c r="IMG48" s="37"/>
      <c r="IMH48" s="37"/>
      <c r="IMI48" s="37"/>
      <c r="IMJ48" s="37"/>
      <c r="IMK48" s="37"/>
      <c r="IML48" s="37"/>
      <c r="IMM48" s="37"/>
      <c r="IMN48" s="37"/>
      <c r="IMO48" s="37"/>
      <c r="IMP48" s="37"/>
      <c r="IMQ48" s="37"/>
      <c r="IMR48" s="37"/>
      <c r="IMS48" s="37"/>
      <c r="IMT48" s="37"/>
      <c r="IMU48" s="37"/>
      <c r="IMV48" s="37"/>
      <c r="IMW48" s="37"/>
      <c r="IMX48" s="37"/>
      <c r="IMY48" s="37"/>
      <c r="IMZ48" s="37"/>
      <c r="INA48" s="37"/>
      <c r="INB48" s="37"/>
      <c r="INC48" s="37"/>
      <c r="IND48" s="37"/>
      <c r="INE48" s="37"/>
      <c r="INF48" s="37"/>
      <c r="ING48" s="37"/>
      <c r="INH48" s="37"/>
      <c r="INI48" s="37"/>
      <c r="INJ48" s="37"/>
      <c r="INK48" s="37"/>
      <c r="INL48" s="37"/>
      <c r="INM48" s="37"/>
      <c r="INN48" s="37"/>
      <c r="INO48" s="37"/>
      <c r="INP48" s="37"/>
      <c r="INQ48" s="37"/>
      <c r="INR48" s="37"/>
      <c r="INS48" s="37"/>
      <c r="INT48" s="37"/>
      <c r="INU48" s="37"/>
      <c r="INV48" s="37"/>
      <c r="INW48" s="37"/>
      <c r="INX48" s="37"/>
      <c r="INY48" s="37"/>
      <c r="INZ48" s="37"/>
      <c r="IOA48" s="37"/>
      <c r="IOB48" s="37"/>
      <c r="IOC48" s="37"/>
      <c r="IOD48" s="37"/>
      <c r="IOE48" s="37"/>
      <c r="IOF48" s="37"/>
      <c r="IOG48" s="37"/>
      <c r="IOH48" s="37"/>
      <c r="IOI48" s="37"/>
      <c r="IOJ48" s="37"/>
      <c r="IOK48" s="37"/>
      <c r="IOL48" s="37"/>
      <c r="IOM48" s="37"/>
      <c r="ION48" s="37"/>
      <c r="IOO48" s="37"/>
      <c r="IOP48" s="37"/>
      <c r="IOQ48" s="37"/>
      <c r="IOR48" s="37"/>
      <c r="IOS48" s="37"/>
      <c r="IOT48" s="37"/>
      <c r="IOU48" s="37"/>
      <c r="IOV48" s="37"/>
      <c r="IOW48" s="37"/>
      <c r="IOX48" s="37"/>
      <c r="IOY48" s="37"/>
      <c r="IOZ48" s="37"/>
      <c r="IPA48" s="37"/>
      <c r="IPB48" s="37"/>
      <c r="IPC48" s="37"/>
      <c r="IPD48" s="37"/>
      <c r="IPE48" s="37"/>
      <c r="IPF48" s="37"/>
      <c r="IPG48" s="37"/>
      <c r="IPH48" s="37"/>
      <c r="IPI48" s="37"/>
      <c r="IPJ48" s="37"/>
      <c r="IPK48" s="37"/>
      <c r="IPL48" s="37"/>
      <c r="IPM48" s="37"/>
      <c r="IPN48" s="37"/>
      <c r="IPO48" s="37"/>
      <c r="IPP48" s="37"/>
      <c r="IPQ48" s="37"/>
      <c r="IPR48" s="37"/>
      <c r="IPS48" s="37"/>
      <c r="IPT48" s="37"/>
      <c r="IPU48" s="37"/>
      <c r="IPV48" s="37"/>
      <c r="IPW48" s="37"/>
      <c r="IPX48" s="37"/>
      <c r="IPY48" s="37"/>
      <c r="IPZ48" s="37"/>
      <c r="IQA48" s="37"/>
      <c r="IQB48" s="37"/>
      <c r="IQC48" s="37"/>
      <c r="IQD48" s="37"/>
      <c r="IQE48" s="37"/>
      <c r="IQF48" s="37"/>
      <c r="IQG48" s="37"/>
      <c r="IQH48" s="37"/>
      <c r="IQI48" s="37"/>
      <c r="IQJ48" s="37"/>
      <c r="IQK48" s="37"/>
      <c r="IQL48" s="37"/>
      <c r="IQM48" s="37"/>
      <c r="IQN48" s="37"/>
      <c r="IQO48" s="37"/>
      <c r="IQP48" s="37"/>
      <c r="IQQ48" s="37"/>
      <c r="IQR48" s="37"/>
      <c r="IQS48" s="37"/>
      <c r="IQT48" s="37"/>
      <c r="IQU48" s="37"/>
      <c r="IQV48" s="37"/>
      <c r="IQW48" s="37"/>
      <c r="IQX48" s="37"/>
      <c r="IQY48" s="37"/>
      <c r="IQZ48" s="37"/>
      <c r="IRA48" s="37"/>
      <c r="IRB48" s="37"/>
      <c r="IRC48" s="37"/>
      <c r="IRD48" s="37"/>
      <c r="IRE48" s="37"/>
      <c r="IRF48" s="37"/>
      <c r="IRG48" s="37"/>
      <c r="IRH48" s="37"/>
      <c r="IRI48" s="37"/>
      <c r="IRJ48" s="37"/>
      <c r="IRK48" s="37"/>
      <c r="IRL48" s="37"/>
      <c r="IRM48" s="37"/>
      <c r="IRN48" s="37"/>
      <c r="IRO48" s="37"/>
      <c r="IRP48" s="37"/>
      <c r="IRQ48" s="37"/>
      <c r="IRR48" s="37"/>
      <c r="IRS48" s="37"/>
      <c r="IRT48" s="37"/>
      <c r="IRU48" s="37"/>
      <c r="IRV48" s="37"/>
      <c r="IRW48" s="37"/>
      <c r="IRX48" s="37"/>
      <c r="IRY48" s="37"/>
      <c r="IRZ48" s="37"/>
      <c r="ISA48" s="37"/>
      <c r="ISB48" s="37"/>
      <c r="ISC48" s="37"/>
      <c r="ISD48" s="37"/>
      <c r="ISE48" s="37"/>
      <c r="ISF48" s="37"/>
      <c r="ISG48" s="37"/>
      <c r="ISH48" s="37"/>
      <c r="ISI48" s="37"/>
      <c r="ISJ48" s="37"/>
      <c r="ISK48" s="37"/>
      <c r="ISL48" s="37"/>
      <c r="ISM48" s="37"/>
      <c r="ISN48" s="37"/>
      <c r="ISO48" s="37"/>
      <c r="ISP48" s="37"/>
      <c r="ISQ48" s="37"/>
      <c r="ISR48" s="37"/>
      <c r="ISS48" s="37"/>
      <c r="IST48" s="37"/>
      <c r="ISU48" s="37"/>
      <c r="ISV48" s="37"/>
      <c r="ISW48" s="37"/>
      <c r="ISX48" s="37"/>
      <c r="ISY48" s="37"/>
      <c r="ISZ48" s="37"/>
      <c r="ITA48" s="37"/>
      <c r="ITB48" s="37"/>
      <c r="ITC48" s="37"/>
      <c r="ITD48" s="37"/>
      <c r="ITE48" s="37"/>
      <c r="ITF48" s="37"/>
      <c r="ITG48" s="37"/>
      <c r="ITH48" s="37"/>
      <c r="ITI48" s="37"/>
      <c r="ITJ48" s="37"/>
      <c r="ITK48" s="37"/>
      <c r="ITL48" s="37"/>
      <c r="ITM48" s="37"/>
      <c r="ITN48" s="37"/>
      <c r="ITO48" s="37"/>
      <c r="ITP48" s="37"/>
      <c r="ITQ48" s="37"/>
      <c r="ITR48" s="37"/>
      <c r="ITS48" s="37"/>
      <c r="ITT48" s="37"/>
      <c r="ITU48" s="37"/>
      <c r="ITV48" s="37"/>
      <c r="ITW48" s="37"/>
      <c r="ITX48" s="37"/>
      <c r="ITY48" s="37"/>
      <c r="ITZ48" s="37"/>
      <c r="IUA48" s="37"/>
      <c r="IUB48" s="37"/>
      <c r="IUC48" s="37"/>
      <c r="IUD48" s="37"/>
      <c r="IUE48" s="37"/>
      <c r="IUF48" s="37"/>
      <c r="IUG48" s="37"/>
      <c r="IUH48" s="37"/>
      <c r="IUI48" s="37"/>
      <c r="IUJ48" s="37"/>
      <c r="IUK48" s="37"/>
      <c r="IUL48" s="37"/>
      <c r="IUM48" s="37"/>
      <c r="IUN48" s="37"/>
      <c r="IUO48" s="37"/>
      <c r="IUP48" s="37"/>
      <c r="IUQ48" s="37"/>
      <c r="IUR48" s="37"/>
      <c r="IUS48" s="37"/>
      <c r="IUT48" s="37"/>
      <c r="IUU48" s="37"/>
      <c r="IUV48" s="37"/>
      <c r="IUW48" s="37"/>
      <c r="IUX48" s="37"/>
      <c r="IUY48" s="37"/>
      <c r="IUZ48" s="37"/>
      <c r="IVA48" s="37"/>
      <c r="IVB48" s="37"/>
      <c r="IVC48" s="37"/>
      <c r="IVD48" s="37"/>
      <c r="IVE48" s="37"/>
      <c r="IVF48" s="37"/>
      <c r="IVG48" s="37"/>
      <c r="IVH48" s="37"/>
      <c r="IVI48" s="37"/>
      <c r="IVJ48" s="37"/>
      <c r="IVK48" s="37"/>
      <c r="IVL48" s="37"/>
      <c r="IVM48" s="37"/>
      <c r="IVN48" s="37"/>
      <c r="IVO48" s="37"/>
      <c r="IVP48" s="37"/>
      <c r="IVQ48" s="37"/>
      <c r="IVR48" s="37"/>
      <c r="IVS48" s="37"/>
      <c r="IVT48" s="37"/>
      <c r="IVU48" s="37"/>
      <c r="IVV48" s="37"/>
      <c r="IVW48" s="37"/>
      <c r="IVX48" s="37"/>
      <c r="IVY48" s="37"/>
      <c r="IVZ48" s="37"/>
      <c r="IWA48" s="37"/>
      <c r="IWB48" s="37"/>
      <c r="IWC48" s="37"/>
      <c r="IWD48" s="37"/>
      <c r="IWE48" s="37"/>
      <c r="IWF48" s="37"/>
      <c r="IWG48" s="37"/>
      <c r="IWH48" s="37"/>
      <c r="IWI48" s="37"/>
      <c r="IWJ48" s="37"/>
      <c r="IWK48" s="37"/>
      <c r="IWL48" s="37"/>
      <c r="IWM48" s="37"/>
      <c r="IWN48" s="37"/>
      <c r="IWO48" s="37"/>
      <c r="IWP48" s="37"/>
      <c r="IWQ48" s="37"/>
      <c r="IWR48" s="37"/>
      <c r="IWS48" s="37"/>
      <c r="IWT48" s="37"/>
      <c r="IWU48" s="37"/>
      <c r="IWV48" s="37"/>
      <c r="IWW48" s="37"/>
      <c r="IWX48" s="37"/>
      <c r="IWY48" s="37"/>
      <c r="IWZ48" s="37"/>
      <c r="IXA48" s="37"/>
      <c r="IXB48" s="37"/>
      <c r="IXC48" s="37"/>
      <c r="IXD48" s="37"/>
      <c r="IXE48" s="37"/>
      <c r="IXF48" s="37"/>
      <c r="IXG48" s="37"/>
      <c r="IXH48" s="37"/>
      <c r="IXI48" s="37"/>
      <c r="IXJ48" s="37"/>
      <c r="IXK48" s="37"/>
      <c r="IXL48" s="37"/>
      <c r="IXM48" s="37"/>
      <c r="IXN48" s="37"/>
      <c r="IXO48" s="37"/>
      <c r="IXP48" s="37"/>
      <c r="IXQ48" s="37"/>
      <c r="IXR48" s="37"/>
      <c r="IXS48" s="37"/>
      <c r="IXT48" s="37"/>
      <c r="IXU48" s="37"/>
      <c r="IXV48" s="37"/>
      <c r="IXW48" s="37"/>
      <c r="IXX48" s="37"/>
      <c r="IXY48" s="37"/>
      <c r="IXZ48" s="37"/>
      <c r="IYA48" s="37"/>
      <c r="IYB48" s="37"/>
      <c r="IYC48" s="37"/>
      <c r="IYD48" s="37"/>
      <c r="IYE48" s="37"/>
      <c r="IYF48" s="37"/>
      <c r="IYG48" s="37"/>
      <c r="IYH48" s="37"/>
      <c r="IYI48" s="37"/>
      <c r="IYJ48" s="37"/>
      <c r="IYK48" s="37"/>
      <c r="IYL48" s="37"/>
      <c r="IYM48" s="37"/>
      <c r="IYN48" s="37"/>
      <c r="IYO48" s="37"/>
      <c r="IYP48" s="37"/>
      <c r="IYQ48" s="37"/>
      <c r="IYR48" s="37"/>
      <c r="IYS48" s="37"/>
      <c r="IYT48" s="37"/>
      <c r="IYU48" s="37"/>
      <c r="IYV48" s="37"/>
      <c r="IYW48" s="37"/>
      <c r="IYX48" s="37"/>
      <c r="IYY48" s="37"/>
      <c r="IYZ48" s="37"/>
      <c r="IZA48" s="37"/>
      <c r="IZB48" s="37"/>
      <c r="IZC48" s="37"/>
      <c r="IZD48" s="37"/>
      <c r="IZE48" s="37"/>
      <c r="IZF48" s="37"/>
      <c r="IZG48" s="37"/>
      <c r="IZH48" s="37"/>
      <c r="IZI48" s="37"/>
      <c r="IZJ48" s="37"/>
      <c r="IZK48" s="37"/>
      <c r="IZL48" s="37"/>
      <c r="IZM48" s="37"/>
      <c r="IZN48" s="37"/>
      <c r="IZO48" s="37"/>
      <c r="IZP48" s="37"/>
      <c r="IZQ48" s="37"/>
      <c r="IZR48" s="37"/>
      <c r="IZS48" s="37"/>
      <c r="IZT48" s="37"/>
      <c r="IZU48" s="37"/>
      <c r="IZV48" s="37"/>
      <c r="IZW48" s="37"/>
      <c r="IZX48" s="37"/>
      <c r="IZY48" s="37"/>
      <c r="IZZ48" s="37"/>
      <c r="JAA48" s="37"/>
      <c r="JAB48" s="37"/>
      <c r="JAC48" s="37"/>
      <c r="JAD48" s="37"/>
      <c r="JAE48" s="37"/>
      <c r="JAF48" s="37"/>
      <c r="JAG48" s="37"/>
      <c r="JAH48" s="37"/>
      <c r="JAI48" s="37"/>
      <c r="JAJ48" s="37"/>
      <c r="JAK48" s="37"/>
      <c r="JAL48" s="37"/>
      <c r="JAM48" s="37"/>
      <c r="JAN48" s="37"/>
      <c r="JAO48" s="37"/>
      <c r="JAP48" s="37"/>
      <c r="JAQ48" s="37"/>
      <c r="JAR48" s="37"/>
      <c r="JAS48" s="37"/>
      <c r="JAT48" s="37"/>
      <c r="JAU48" s="37"/>
      <c r="JAV48" s="37"/>
      <c r="JAW48" s="37"/>
      <c r="JAX48" s="37"/>
      <c r="JAY48" s="37"/>
      <c r="JAZ48" s="37"/>
      <c r="JBA48" s="37"/>
      <c r="JBB48" s="37"/>
      <c r="JBC48" s="37"/>
      <c r="JBD48" s="37"/>
      <c r="JBE48" s="37"/>
      <c r="JBF48" s="37"/>
      <c r="JBG48" s="37"/>
      <c r="JBH48" s="37"/>
      <c r="JBI48" s="37"/>
      <c r="JBJ48" s="37"/>
      <c r="JBK48" s="37"/>
      <c r="JBL48" s="37"/>
      <c r="JBM48" s="37"/>
      <c r="JBN48" s="37"/>
      <c r="JBO48" s="37"/>
      <c r="JBP48" s="37"/>
      <c r="JBQ48" s="37"/>
      <c r="JBR48" s="37"/>
      <c r="JBS48" s="37"/>
      <c r="JBT48" s="37"/>
      <c r="JBU48" s="37"/>
      <c r="JBV48" s="37"/>
      <c r="JBW48" s="37"/>
      <c r="JBX48" s="37"/>
      <c r="JBY48" s="37"/>
      <c r="JBZ48" s="37"/>
      <c r="JCA48" s="37"/>
      <c r="JCB48" s="37"/>
      <c r="JCC48" s="37"/>
      <c r="JCD48" s="37"/>
      <c r="JCE48" s="37"/>
      <c r="JCF48" s="37"/>
      <c r="JCG48" s="37"/>
      <c r="JCH48" s="37"/>
      <c r="JCI48" s="37"/>
      <c r="JCJ48" s="37"/>
      <c r="JCK48" s="37"/>
      <c r="JCL48" s="37"/>
      <c r="JCM48" s="37"/>
      <c r="JCN48" s="37"/>
      <c r="JCO48" s="37"/>
      <c r="JCP48" s="37"/>
      <c r="JCQ48" s="37"/>
      <c r="JCR48" s="37"/>
      <c r="JCS48" s="37"/>
      <c r="JCT48" s="37"/>
      <c r="JCU48" s="37"/>
      <c r="JCV48" s="37"/>
      <c r="JCW48" s="37"/>
      <c r="JCX48" s="37"/>
      <c r="JCY48" s="37"/>
      <c r="JCZ48" s="37"/>
      <c r="JDA48" s="37"/>
      <c r="JDB48" s="37"/>
      <c r="JDC48" s="37"/>
      <c r="JDD48" s="37"/>
      <c r="JDE48" s="37"/>
      <c r="JDF48" s="37"/>
      <c r="JDG48" s="37"/>
      <c r="JDH48" s="37"/>
      <c r="JDI48" s="37"/>
      <c r="JDJ48" s="37"/>
      <c r="JDK48" s="37"/>
      <c r="JDL48" s="37"/>
      <c r="JDM48" s="37"/>
      <c r="JDN48" s="37"/>
      <c r="JDO48" s="37"/>
      <c r="JDP48" s="37"/>
      <c r="JDQ48" s="37"/>
      <c r="JDR48" s="37"/>
      <c r="JDS48" s="37"/>
      <c r="JDT48" s="37"/>
      <c r="JDU48" s="37"/>
      <c r="JDV48" s="37"/>
      <c r="JDW48" s="37"/>
      <c r="JDX48" s="37"/>
      <c r="JDY48" s="37"/>
      <c r="JDZ48" s="37"/>
      <c r="JEA48" s="37"/>
      <c r="JEB48" s="37"/>
      <c r="JEC48" s="37"/>
      <c r="JED48" s="37"/>
      <c r="JEE48" s="37"/>
      <c r="JEF48" s="37"/>
      <c r="JEG48" s="37"/>
      <c r="JEH48" s="37"/>
      <c r="JEI48" s="37"/>
      <c r="JEJ48" s="37"/>
      <c r="JEK48" s="37"/>
      <c r="JEL48" s="37"/>
      <c r="JEM48" s="37"/>
      <c r="JEN48" s="37"/>
      <c r="JEO48" s="37"/>
      <c r="JEP48" s="37"/>
      <c r="JEQ48" s="37"/>
      <c r="JER48" s="37"/>
      <c r="JES48" s="37"/>
      <c r="JET48" s="37"/>
      <c r="JEU48" s="37"/>
      <c r="JEV48" s="37"/>
      <c r="JEW48" s="37"/>
      <c r="JEX48" s="37"/>
      <c r="JEY48" s="37"/>
      <c r="JEZ48" s="37"/>
      <c r="JFA48" s="37"/>
      <c r="JFB48" s="37"/>
      <c r="JFC48" s="37"/>
      <c r="JFD48" s="37"/>
      <c r="JFE48" s="37"/>
      <c r="JFF48" s="37"/>
      <c r="JFG48" s="37"/>
      <c r="JFH48" s="37"/>
      <c r="JFI48" s="37"/>
      <c r="JFJ48" s="37"/>
      <c r="JFK48" s="37"/>
      <c r="JFL48" s="37"/>
      <c r="JFM48" s="37"/>
      <c r="JFN48" s="37"/>
      <c r="JFO48" s="37"/>
      <c r="JFP48" s="37"/>
      <c r="JFQ48" s="37"/>
      <c r="JFR48" s="37"/>
      <c r="JFS48" s="37"/>
      <c r="JFT48" s="37"/>
      <c r="JFU48" s="37"/>
      <c r="JFV48" s="37"/>
      <c r="JFW48" s="37"/>
      <c r="JFX48" s="37"/>
      <c r="JFY48" s="37"/>
      <c r="JFZ48" s="37"/>
      <c r="JGA48" s="37"/>
      <c r="JGB48" s="37"/>
      <c r="JGC48" s="37"/>
      <c r="JGD48" s="37"/>
      <c r="JGE48" s="37"/>
      <c r="JGF48" s="37"/>
      <c r="JGG48" s="37"/>
      <c r="JGH48" s="37"/>
      <c r="JGI48" s="37"/>
      <c r="JGJ48" s="37"/>
      <c r="JGK48" s="37"/>
      <c r="JGL48" s="37"/>
      <c r="JGM48" s="37"/>
      <c r="JGN48" s="37"/>
      <c r="JGO48" s="37"/>
      <c r="JGP48" s="37"/>
      <c r="JGQ48" s="37"/>
      <c r="JGR48" s="37"/>
      <c r="JGS48" s="37"/>
      <c r="JGT48" s="37"/>
      <c r="JGU48" s="37"/>
      <c r="JGV48" s="37"/>
      <c r="JGW48" s="37"/>
      <c r="JGX48" s="37"/>
      <c r="JGY48" s="37"/>
      <c r="JGZ48" s="37"/>
      <c r="JHA48" s="37"/>
      <c r="JHB48" s="37"/>
      <c r="JHC48" s="37"/>
      <c r="JHD48" s="37"/>
      <c r="JHE48" s="37"/>
      <c r="JHF48" s="37"/>
      <c r="JHG48" s="37"/>
      <c r="JHH48" s="37"/>
      <c r="JHI48" s="37"/>
      <c r="JHJ48" s="37"/>
      <c r="JHK48" s="37"/>
      <c r="JHL48" s="37"/>
      <c r="JHM48" s="37"/>
      <c r="JHN48" s="37"/>
      <c r="JHO48" s="37"/>
      <c r="JHP48" s="37"/>
      <c r="JHQ48" s="37"/>
      <c r="JHR48" s="37"/>
      <c r="JHS48" s="37"/>
      <c r="JHT48" s="37"/>
      <c r="JHU48" s="37"/>
      <c r="JHV48" s="37"/>
      <c r="JHW48" s="37"/>
      <c r="JHX48" s="37"/>
      <c r="JHY48" s="37"/>
      <c r="JHZ48" s="37"/>
      <c r="JIA48" s="37"/>
      <c r="JIB48" s="37"/>
      <c r="JIC48" s="37"/>
      <c r="JID48" s="37"/>
      <c r="JIE48" s="37"/>
      <c r="JIF48" s="37"/>
      <c r="JIG48" s="37"/>
      <c r="JIH48" s="37"/>
      <c r="JII48" s="37"/>
      <c r="JIJ48" s="37"/>
      <c r="JIK48" s="37"/>
      <c r="JIL48" s="37"/>
      <c r="JIM48" s="37"/>
      <c r="JIN48" s="37"/>
      <c r="JIO48" s="37"/>
      <c r="JIP48" s="37"/>
      <c r="JIQ48" s="37"/>
      <c r="JIR48" s="37"/>
      <c r="JIS48" s="37"/>
      <c r="JIT48" s="37"/>
      <c r="JIU48" s="37"/>
      <c r="JIV48" s="37"/>
      <c r="JIW48" s="37"/>
      <c r="JIX48" s="37"/>
      <c r="JIY48" s="37"/>
      <c r="JIZ48" s="37"/>
      <c r="JJA48" s="37"/>
      <c r="JJB48" s="37"/>
      <c r="JJC48" s="37"/>
      <c r="JJD48" s="37"/>
      <c r="JJE48" s="37"/>
      <c r="JJF48" s="37"/>
      <c r="JJG48" s="37"/>
      <c r="JJH48" s="37"/>
      <c r="JJI48" s="37"/>
      <c r="JJJ48" s="37"/>
      <c r="JJK48" s="37"/>
      <c r="JJL48" s="37"/>
      <c r="JJM48" s="37"/>
      <c r="JJN48" s="37"/>
      <c r="JJO48" s="37"/>
      <c r="JJP48" s="37"/>
      <c r="JJQ48" s="37"/>
      <c r="JJR48" s="37"/>
      <c r="JJS48" s="37"/>
      <c r="JJT48" s="37"/>
      <c r="JJU48" s="37"/>
      <c r="JJV48" s="37"/>
      <c r="JJW48" s="37"/>
      <c r="JJX48" s="37"/>
      <c r="JJY48" s="37"/>
      <c r="JJZ48" s="37"/>
      <c r="JKA48" s="37"/>
      <c r="JKB48" s="37"/>
      <c r="JKC48" s="37"/>
      <c r="JKD48" s="37"/>
      <c r="JKE48" s="37"/>
      <c r="JKF48" s="37"/>
      <c r="JKG48" s="37"/>
      <c r="JKH48" s="37"/>
      <c r="JKI48" s="37"/>
      <c r="JKJ48" s="37"/>
      <c r="JKK48" s="37"/>
      <c r="JKL48" s="37"/>
      <c r="JKM48" s="37"/>
      <c r="JKN48" s="37"/>
      <c r="JKO48" s="37"/>
      <c r="JKP48" s="37"/>
      <c r="JKQ48" s="37"/>
      <c r="JKR48" s="37"/>
      <c r="JKS48" s="37"/>
      <c r="JKT48" s="37"/>
      <c r="JKU48" s="37"/>
      <c r="JKV48" s="37"/>
      <c r="JKW48" s="37"/>
      <c r="JKX48" s="37"/>
      <c r="JKY48" s="37"/>
      <c r="JKZ48" s="37"/>
      <c r="JLA48" s="37"/>
      <c r="JLB48" s="37"/>
      <c r="JLC48" s="37"/>
      <c r="JLD48" s="37"/>
      <c r="JLE48" s="37"/>
      <c r="JLF48" s="37"/>
      <c r="JLG48" s="37"/>
      <c r="JLH48" s="37"/>
      <c r="JLI48" s="37"/>
      <c r="JLJ48" s="37"/>
      <c r="JLK48" s="37"/>
      <c r="JLL48" s="37"/>
      <c r="JLM48" s="37"/>
      <c r="JLN48" s="37"/>
      <c r="JLO48" s="37"/>
      <c r="JLP48" s="37"/>
      <c r="JLQ48" s="37"/>
      <c r="JLR48" s="37"/>
      <c r="JLS48" s="37"/>
      <c r="JLT48" s="37"/>
      <c r="JLU48" s="37"/>
      <c r="JLV48" s="37"/>
      <c r="JLW48" s="37"/>
      <c r="JLX48" s="37"/>
      <c r="JLY48" s="37"/>
      <c r="JLZ48" s="37"/>
      <c r="JMA48" s="37"/>
      <c r="JMB48" s="37"/>
      <c r="JMC48" s="37"/>
      <c r="JMD48" s="37"/>
      <c r="JME48" s="37"/>
      <c r="JMF48" s="37"/>
      <c r="JMG48" s="37"/>
      <c r="JMH48" s="37"/>
      <c r="JMI48" s="37"/>
      <c r="JMJ48" s="37"/>
      <c r="JMK48" s="37"/>
      <c r="JML48" s="37"/>
      <c r="JMM48" s="37"/>
      <c r="JMN48" s="37"/>
      <c r="JMO48" s="37"/>
      <c r="JMP48" s="37"/>
      <c r="JMQ48" s="37"/>
      <c r="JMR48" s="37"/>
      <c r="JMS48" s="37"/>
      <c r="JMT48" s="37"/>
      <c r="JMU48" s="37"/>
      <c r="JMV48" s="37"/>
      <c r="JMW48" s="37"/>
      <c r="JMX48" s="37"/>
      <c r="JMY48" s="37"/>
      <c r="JMZ48" s="37"/>
      <c r="JNA48" s="37"/>
      <c r="JNB48" s="37"/>
      <c r="JNC48" s="37"/>
      <c r="JND48" s="37"/>
      <c r="JNE48" s="37"/>
      <c r="JNF48" s="37"/>
      <c r="JNG48" s="37"/>
      <c r="JNH48" s="37"/>
      <c r="JNI48" s="37"/>
      <c r="JNJ48" s="37"/>
      <c r="JNK48" s="37"/>
      <c r="JNL48" s="37"/>
      <c r="JNM48" s="37"/>
      <c r="JNN48" s="37"/>
      <c r="JNO48" s="37"/>
      <c r="JNP48" s="37"/>
      <c r="JNQ48" s="37"/>
      <c r="JNR48" s="37"/>
      <c r="JNS48" s="37"/>
      <c r="JNT48" s="37"/>
      <c r="JNU48" s="37"/>
      <c r="JNV48" s="37"/>
      <c r="JNW48" s="37"/>
      <c r="JNX48" s="37"/>
      <c r="JNY48" s="37"/>
      <c r="JNZ48" s="37"/>
      <c r="JOA48" s="37"/>
      <c r="JOB48" s="37"/>
      <c r="JOC48" s="37"/>
      <c r="JOD48" s="37"/>
      <c r="JOE48" s="37"/>
      <c r="JOF48" s="37"/>
      <c r="JOG48" s="37"/>
      <c r="JOH48" s="37"/>
      <c r="JOI48" s="37"/>
      <c r="JOJ48" s="37"/>
      <c r="JOK48" s="37"/>
      <c r="JOL48" s="37"/>
      <c r="JOM48" s="37"/>
      <c r="JON48" s="37"/>
      <c r="JOO48" s="37"/>
      <c r="JOP48" s="37"/>
      <c r="JOQ48" s="37"/>
      <c r="JOR48" s="37"/>
      <c r="JOS48" s="37"/>
      <c r="JOT48" s="37"/>
      <c r="JOU48" s="37"/>
      <c r="JOV48" s="37"/>
      <c r="JOW48" s="37"/>
      <c r="JOX48" s="37"/>
      <c r="JOY48" s="37"/>
      <c r="JOZ48" s="37"/>
      <c r="JPA48" s="37"/>
      <c r="JPB48" s="37"/>
      <c r="JPC48" s="37"/>
      <c r="JPD48" s="37"/>
      <c r="JPE48" s="37"/>
      <c r="JPF48" s="37"/>
      <c r="JPG48" s="37"/>
      <c r="JPH48" s="37"/>
      <c r="JPI48" s="37"/>
      <c r="JPJ48" s="37"/>
      <c r="JPK48" s="37"/>
      <c r="JPL48" s="37"/>
      <c r="JPM48" s="37"/>
      <c r="JPN48" s="37"/>
      <c r="JPO48" s="37"/>
      <c r="JPP48" s="37"/>
      <c r="JPQ48" s="37"/>
      <c r="JPR48" s="37"/>
      <c r="JPS48" s="37"/>
      <c r="JPT48" s="37"/>
      <c r="JPU48" s="37"/>
      <c r="JPV48" s="37"/>
      <c r="JPW48" s="37"/>
      <c r="JPX48" s="37"/>
      <c r="JPY48" s="37"/>
      <c r="JPZ48" s="37"/>
      <c r="JQA48" s="37"/>
      <c r="JQB48" s="37"/>
      <c r="JQC48" s="37"/>
      <c r="JQD48" s="37"/>
      <c r="JQE48" s="37"/>
      <c r="JQF48" s="37"/>
      <c r="JQG48" s="37"/>
      <c r="JQH48" s="37"/>
      <c r="JQI48" s="37"/>
      <c r="JQJ48" s="37"/>
      <c r="JQK48" s="37"/>
      <c r="JQL48" s="37"/>
      <c r="JQM48" s="37"/>
      <c r="JQN48" s="37"/>
      <c r="JQO48" s="37"/>
      <c r="JQP48" s="37"/>
      <c r="JQQ48" s="37"/>
      <c r="JQR48" s="37"/>
      <c r="JQS48" s="37"/>
      <c r="JQT48" s="37"/>
      <c r="JQU48" s="37"/>
      <c r="JQV48" s="37"/>
      <c r="JQW48" s="37"/>
      <c r="JQX48" s="37"/>
      <c r="JQY48" s="37"/>
      <c r="JQZ48" s="37"/>
      <c r="JRA48" s="37"/>
      <c r="JRB48" s="37"/>
      <c r="JRC48" s="37"/>
      <c r="JRD48" s="37"/>
      <c r="JRE48" s="37"/>
      <c r="JRF48" s="37"/>
      <c r="JRG48" s="37"/>
      <c r="JRH48" s="37"/>
      <c r="JRI48" s="37"/>
      <c r="JRJ48" s="37"/>
      <c r="JRK48" s="37"/>
      <c r="JRL48" s="37"/>
      <c r="JRM48" s="37"/>
      <c r="JRN48" s="37"/>
      <c r="JRO48" s="37"/>
      <c r="JRP48" s="37"/>
      <c r="JRQ48" s="37"/>
      <c r="JRR48" s="37"/>
      <c r="JRS48" s="37"/>
      <c r="JRT48" s="37"/>
      <c r="JRU48" s="37"/>
      <c r="JRV48" s="37"/>
      <c r="JRW48" s="37"/>
      <c r="JRX48" s="37"/>
      <c r="JRY48" s="37"/>
      <c r="JRZ48" s="37"/>
      <c r="JSA48" s="37"/>
      <c r="JSB48" s="37"/>
      <c r="JSC48" s="37"/>
      <c r="JSD48" s="37"/>
      <c r="JSE48" s="37"/>
      <c r="JSF48" s="37"/>
      <c r="JSG48" s="37"/>
      <c r="JSH48" s="37"/>
      <c r="JSI48" s="37"/>
      <c r="JSJ48" s="37"/>
      <c r="JSK48" s="37"/>
      <c r="JSL48" s="37"/>
      <c r="JSM48" s="37"/>
      <c r="JSN48" s="37"/>
      <c r="JSO48" s="37"/>
      <c r="JSP48" s="37"/>
      <c r="JSQ48" s="37"/>
      <c r="JSR48" s="37"/>
      <c r="JSS48" s="37"/>
      <c r="JST48" s="37"/>
      <c r="JSU48" s="37"/>
      <c r="JSV48" s="37"/>
      <c r="JSW48" s="37"/>
      <c r="JSX48" s="37"/>
      <c r="JSY48" s="37"/>
      <c r="JSZ48" s="37"/>
      <c r="JTA48" s="37"/>
      <c r="JTB48" s="37"/>
      <c r="JTC48" s="37"/>
      <c r="JTD48" s="37"/>
      <c r="JTE48" s="37"/>
      <c r="JTF48" s="37"/>
      <c r="JTG48" s="37"/>
      <c r="JTH48" s="37"/>
      <c r="JTI48" s="37"/>
      <c r="JTJ48" s="37"/>
      <c r="JTK48" s="37"/>
      <c r="JTL48" s="37"/>
      <c r="JTM48" s="37"/>
      <c r="JTN48" s="37"/>
      <c r="JTO48" s="37"/>
      <c r="JTP48" s="37"/>
      <c r="JTQ48" s="37"/>
      <c r="JTR48" s="37"/>
      <c r="JTS48" s="37"/>
      <c r="JTT48" s="37"/>
      <c r="JTU48" s="37"/>
      <c r="JTV48" s="37"/>
      <c r="JTW48" s="37"/>
      <c r="JTX48" s="37"/>
      <c r="JTY48" s="37"/>
      <c r="JTZ48" s="37"/>
      <c r="JUA48" s="37"/>
      <c r="JUB48" s="37"/>
      <c r="JUC48" s="37"/>
      <c r="JUD48" s="37"/>
      <c r="JUE48" s="37"/>
      <c r="JUF48" s="37"/>
      <c r="JUG48" s="37"/>
      <c r="JUH48" s="37"/>
      <c r="JUI48" s="37"/>
      <c r="JUJ48" s="37"/>
      <c r="JUK48" s="37"/>
      <c r="JUL48" s="37"/>
      <c r="JUM48" s="37"/>
      <c r="JUN48" s="37"/>
      <c r="JUO48" s="37"/>
      <c r="JUP48" s="37"/>
      <c r="JUQ48" s="37"/>
      <c r="JUR48" s="37"/>
      <c r="JUS48" s="37"/>
      <c r="JUT48" s="37"/>
      <c r="JUU48" s="37"/>
      <c r="JUV48" s="37"/>
      <c r="JUW48" s="37"/>
      <c r="JUX48" s="37"/>
      <c r="JUY48" s="37"/>
      <c r="JUZ48" s="37"/>
      <c r="JVA48" s="37"/>
      <c r="JVB48" s="37"/>
      <c r="JVC48" s="37"/>
      <c r="JVD48" s="37"/>
      <c r="JVE48" s="37"/>
      <c r="JVF48" s="37"/>
      <c r="JVG48" s="37"/>
      <c r="JVH48" s="37"/>
      <c r="JVI48" s="37"/>
      <c r="JVJ48" s="37"/>
      <c r="JVK48" s="37"/>
      <c r="JVL48" s="37"/>
      <c r="JVM48" s="37"/>
      <c r="JVN48" s="37"/>
      <c r="JVO48" s="37"/>
      <c r="JVP48" s="37"/>
      <c r="JVQ48" s="37"/>
      <c r="JVR48" s="37"/>
      <c r="JVS48" s="37"/>
      <c r="JVT48" s="37"/>
      <c r="JVU48" s="37"/>
      <c r="JVV48" s="37"/>
      <c r="JVW48" s="37"/>
      <c r="JVX48" s="37"/>
      <c r="JVY48" s="37"/>
      <c r="JVZ48" s="37"/>
      <c r="JWA48" s="37"/>
      <c r="JWB48" s="37"/>
      <c r="JWC48" s="37"/>
      <c r="JWD48" s="37"/>
      <c r="JWE48" s="37"/>
      <c r="JWF48" s="37"/>
      <c r="JWG48" s="37"/>
      <c r="JWH48" s="37"/>
      <c r="JWI48" s="37"/>
      <c r="JWJ48" s="37"/>
      <c r="JWK48" s="37"/>
      <c r="JWL48" s="37"/>
      <c r="JWM48" s="37"/>
      <c r="JWN48" s="37"/>
      <c r="JWO48" s="37"/>
      <c r="JWP48" s="37"/>
      <c r="JWQ48" s="37"/>
      <c r="JWR48" s="37"/>
      <c r="JWS48" s="37"/>
      <c r="JWT48" s="37"/>
      <c r="JWU48" s="37"/>
      <c r="JWV48" s="37"/>
      <c r="JWW48" s="37"/>
      <c r="JWX48" s="37"/>
      <c r="JWY48" s="37"/>
      <c r="JWZ48" s="37"/>
      <c r="JXA48" s="37"/>
      <c r="JXB48" s="37"/>
      <c r="JXC48" s="37"/>
      <c r="JXD48" s="37"/>
      <c r="JXE48" s="37"/>
      <c r="JXF48" s="37"/>
      <c r="JXG48" s="37"/>
      <c r="JXH48" s="37"/>
      <c r="JXI48" s="37"/>
      <c r="JXJ48" s="37"/>
      <c r="JXK48" s="37"/>
      <c r="JXL48" s="37"/>
      <c r="JXM48" s="37"/>
      <c r="JXN48" s="37"/>
      <c r="JXO48" s="37"/>
      <c r="JXP48" s="37"/>
      <c r="JXQ48" s="37"/>
      <c r="JXR48" s="37"/>
      <c r="JXS48" s="37"/>
      <c r="JXT48" s="37"/>
      <c r="JXU48" s="37"/>
      <c r="JXV48" s="37"/>
      <c r="JXW48" s="37"/>
      <c r="JXX48" s="37"/>
      <c r="JXY48" s="37"/>
      <c r="JXZ48" s="37"/>
      <c r="JYA48" s="37"/>
      <c r="JYB48" s="37"/>
      <c r="JYC48" s="37"/>
      <c r="JYD48" s="37"/>
      <c r="JYE48" s="37"/>
      <c r="JYF48" s="37"/>
      <c r="JYG48" s="37"/>
      <c r="JYH48" s="37"/>
      <c r="JYI48" s="37"/>
      <c r="JYJ48" s="37"/>
      <c r="JYK48" s="37"/>
      <c r="JYL48" s="37"/>
      <c r="JYM48" s="37"/>
      <c r="JYN48" s="37"/>
      <c r="JYO48" s="37"/>
      <c r="JYP48" s="37"/>
      <c r="JYQ48" s="37"/>
      <c r="JYR48" s="37"/>
      <c r="JYS48" s="37"/>
      <c r="JYT48" s="37"/>
      <c r="JYU48" s="37"/>
      <c r="JYV48" s="37"/>
      <c r="JYW48" s="37"/>
      <c r="JYX48" s="37"/>
      <c r="JYY48" s="37"/>
      <c r="JYZ48" s="37"/>
      <c r="JZA48" s="37"/>
      <c r="JZB48" s="37"/>
      <c r="JZC48" s="37"/>
      <c r="JZD48" s="37"/>
      <c r="JZE48" s="37"/>
      <c r="JZF48" s="37"/>
      <c r="JZG48" s="37"/>
      <c r="JZH48" s="37"/>
      <c r="JZI48" s="37"/>
      <c r="JZJ48" s="37"/>
      <c r="JZK48" s="37"/>
      <c r="JZL48" s="37"/>
      <c r="JZM48" s="37"/>
      <c r="JZN48" s="37"/>
      <c r="JZO48" s="37"/>
      <c r="JZP48" s="37"/>
      <c r="JZQ48" s="37"/>
      <c r="JZR48" s="37"/>
      <c r="JZS48" s="37"/>
      <c r="JZT48" s="37"/>
      <c r="JZU48" s="37"/>
      <c r="JZV48" s="37"/>
      <c r="JZW48" s="37"/>
      <c r="JZX48" s="37"/>
      <c r="JZY48" s="37"/>
      <c r="JZZ48" s="37"/>
      <c r="KAA48" s="37"/>
      <c r="KAB48" s="37"/>
      <c r="KAC48" s="37"/>
      <c r="KAD48" s="37"/>
      <c r="KAE48" s="37"/>
      <c r="KAF48" s="37"/>
      <c r="KAG48" s="37"/>
      <c r="KAH48" s="37"/>
      <c r="KAI48" s="37"/>
      <c r="KAJ48" s="37"/>
      <c r="KAK48" s="37"/>
      <c r="KAL48" s="37"/>
      <c r="KAM48" s="37"/>
      <c r="KAN48" s="37"/>
      <c r="KAO48" s="37"/>
      <c r="KAP48" s="37"/>
      <c r="KAQ48" s="37"/>
      <c r="KAR48" s="37"/>
      <c r="KAS48" s="37"/>
      <c r="KAT48" s="37"/>
      <c r="KAU48" s="37"/>
      <c r="KAV48" s="37"/>
      <c r="KAW48" s="37"/>
      <c r="KAX48" s="37"/>
      <c r="KAY48" s="37"/>
      <c r="KAZ48" s="37"/>
      <c r="KBA48" s="37"/>
      <c r="KBB48" s="37"/>
      <c r="KBC48" s="37"/>
      <c r="KBD48" s="37"/>
      <c r="KBE48" s="37"/>
      <c r="KBF48" s="37"/>
      <c r="KBG48" s="37"/>
      <c r="KBH48" s="37"/>
      <c r="KBI48" s="37"/>
      <c r="KBJ48" s="37"/>
      <c r="KBK48" s="37"/>
      <c r="KBL48" s="37"/>
      <c r="KBM48" s="37"/>
      <c r="KBN48" s="37"/>
      <c r="KBO48" s="37"/>
      <c r="KBP48" s="37"/>
      <c r="KBQ48" s="37"/>
      <c r="KBR48" s="37"/>
      <c r="KBS48" s="37"/>
      <c r="KBT48" s="37"/>
      <c r="KBU48" s="37"/>
      <c r="KBV48" s="37"/>
      <c r="KBW48" s="37"/>
      <c r="KBX48" s="37"/>
      <c r="KBY48" s="37"/>
      <c r="KBZ48" s="37"/>
      <c r="KCA48" s="37"/>
      <c r="KCB48" s="37"/>
      <c r="KCC48" s="37"/>
      <c r="KCD48" s="37"/>
      <c r="KCE48" s="37"/>
      <c r="KCF48" s="37"/>
      <c r="KCG48" s="37"/>
      <c r="KCH48" s="37"/>
      <c r="KCI48" s="37"/>
      <c r="KCJ48" s="37"/>
      <c r="KCK48" s="37"/>
      <c r="KCL48" s="37"/>
      <c r="KCM48" s="37"/>
      <c r="KCN48" s="37"/>
      <c r="KCO48" s="37"/>
      <c r="KCP48" s="37"/>
      <c r="KCQ48" s="37"/>
      <c r="KCR48" s="37"/>
      <c r="KCS48" s="37"/>
      <c r="KCT48" s="37"/>
      <c r="KCU48" s="37"/>
      <c r="KCV48" s="37"/>
      <c r="KCW48" s="37"/>
      <c r="KCX48" s="37"/>
      <c r="KCY48" s="37"/>
      <c r="KCZ48" s="37"/>
      <c r="KDA48" s="37"/>
      <c r="KDB48" s="37"/>
      <c r="KDC48" s="37"/>
      <c r="KDD48" s="37"/>
      <c r="KDE48" s="37"/>
      <c r="KDF48" s="37"/>
      <c r="KDG48" s="37"/>
      <c r="KDH48" s="37"/>
      <c r="KDI48" s="37"/>
      <c r="KDJ48" s="37"/>
      <c r="KDK48" s="37"/>
      <c r="KDL48" s="37"/>
      <c r="KDM48" s="37"/>
      <c r="KDN48" s="37"/>
      <c r="KDO48" s="37"/>
      <c r="KDP48" s="37"/>
      <c r="KDQ48" s="37"/>
      <c r="KDR48" s="37"/>
      <c r="KDS48" s="37"/>
      <c r="KDT48" s="37"/>
      <c r="KDU48" s="37"/>
      <c r="KDV48" s="37"/>
      <c r="KDW48" s="37"/>
      <c r="KDX48" s="37"/>
      <c r="KDY48" s="37"/>
      <c r="KDZ48" s="37"/>
      <c r="KEA48" s="37"/>
      <c r="KEB48" s="37"/>
      <c r="KEC48" s="37"/>
      <c r="KED48" s="37"/>
      <c r="KEE48" s="37"/>
      <c r="KEF48" s="37"/>
      <c r="KEG48" s="37"/>
      <c r="KEH48" s="37"/>
      <c r="KEI48" s="37"/>
      <c r="KEJ48" s="37"/>
      <c r="KEK48" s="37"/>
      <c r="KEL48" s="37"/>
      <c r="KEM48" s="37"/>
      <c r="KEN48" s="37"/>
      <c r="KEO48" s="37"/>
      <c r="KEP48" s="37"/>
      <c r="KEQ48" s="37"/>
      <c r="KER48" s="37"/>
      <c r="KES48" s="37"/>
      <c r="KET48" s="37"/>
      <c r="KEU48" s="37"/>
      <c r="KEV48" s="37"/>
      <c r="KEW48" s="37"/>
      <c r="KEX48" s="37"/>
      <c r="KEY48" s="37"/>
      <c r="KEZ48" s="37"/>
      <c r="KFA48" s="37"/>
      <c r="KFB48" s="37"/>
      <c r="KFC48" s="37"/>
      <c r="KFD48" s="37"/>
      <c r="KFE48" s="37"/>
      <c r="KFF48" s="37"/>
      <c r="KFG48" s="37"/>
      <c r="KFH48" s="37"/>
      <c r="KFI48" s="37"/>
      <c r="KFJ48" s="37"/>
      <c r="KFK48" s="37"/>
      <c r="KFL48" s="37"/>
      <c r="KFM48" s="37"/>
      <c r="KFN48" s="37"/>
      <c r="KFO48" s="37"/>
      <c r="KFP48" s="37"/>
      <c r="KFQ48" s="37"/>
      <c r="KFR48" s="37"/>
      <c r="KFS48" s="37"/>
      <c r="KFT48" s="37"/>
      <c r="KFU48" s="37"/>
      <c r="KFV48" s="37"/>
      <c r="KFW48" s="37"/>
      <c r="KFX48" s="37"/>
      <c r="KFY48" s="37"/>
      <c r="KFZ48" s="37"/>
      <c r="KGA48" s="37"/>
      <c r="KGB48" s="37"/>
      <c r="KGC48" s="37"/>
      <c r="KGD48" s="37"/>
      <c r="KGE48" s="37"/>
      <c r="KGF48" s="37"/>
      <c r="KGG48" s="37"/>
      <c r="KGH48" s="37"/>
      <c r="KGI48" s="37"/>
      <c r="KGJ48" s="37"/>
      <c r="KGK48" s="37"/>
      <c r="KGL48" s="37"/>
      <c r="KGM48" s="37"/>
      <c r="KGN48" s="37"/>
      <c r="KGO48" s="37"/>
      <c r="KGP48" s="37"/>
      <c r="KGQ48" s="37"/>
      <c r="KGR48" s="37"/>
      <c r="KGS48" s="37"/>
      <c r="KGT48" s="37"/>
      <c r="KGU48" s="37"/>
      <c r="KGV48" s="37"/>
      <c r="KGW48" s="37"/>
      <c r="KGX48" s="37"/>
      <c r="KGY48" s="37"/>
      <c r="KGZ48" s="37"/>
      <c r="KHA48" s="37"/>
      <c r="KHB48" s="37"/>
      <c r="KHC48" s="37"/>
      <c r="KHD48" s="37"/>
      <c r="KHE48" s="37"/>
      <c r="KHF48" s="37"/>
      <c r="KHG48" s="37"/>
      <c r="KHH48" s="37"/>
      <c r="KHI48" s="37"/>
      <c r="KHJ48" s="37"/>
      <c r="KHK48" s="37"/>
      <c r="KHL48" s="37"/>
      <c r="KHM48" s="37"/>
      <c r="KHN48" s="37"/>
      <c r="KHO48" s="37"/>
      <c r="KHP48" s="37"/>
      <c r="KHQ48" s="37"/>
      <c r="KHR48" s="37"/>
      <c r="KHS48" s="37"/>
      <c r="KHT48" s="37"/>
      <c r="KHU48" s="37"/>
      <c r="KHV48" s="37"/>
      <c r="KHW48" s="37"/>
      <c r="KHX48" s="37"/>
      <c r="KHY48" s="37"/>
      <c r="KHZ48" s="37"/>
      <c r="KIA48" s="37"/>
      <c r="KIB48" s="37"/>
      <c r="KIC48" s="37"/>
      <c r="KID48" s="37"/>
      <c r="KIE48" s="37"/>
      <c r="KIF48" s="37"/>
      <c r="KIG48" s="37"/>
      <c r="KIH48" s="37"/>
      <c r="KII48" s="37"/>
      <c r="KIJ48" s="37"/>
      <c r="KIK48" s="37"/>
      <c r="KIL48" s="37"/>
      <c r="KIM48" s="37"/>
      <c r="KIN48" s="37"/>
      <c r="KIO48" s="37"/>
      <c r="KIP48" s="37"/>
      <c r="KIQ48" s="37"/>
      <c r="KIR48" s="37"/>
      <c r="KIS48" s="37"/>
      <c r="KIT48" s="37"/>
      <c r="KIU48" s="37"/>
      <c r="KIV48" s="37"/>
      <c r="KIW48" s="37"/>
      <c r="KIX48" s="37"/>
      <c r="KIY48" s="37"/>
      <c r="KIZ48" s="37"/>
      <c r="KJA48" s="37"/>
      <c r="KJB48" s="37"/>
      <c r="KJC48" s="37"/>
      <c r="KJD48" s="37"/>
      <c r="KJE48" s="37"/>
      <c r="KJF48" s="37"/>
      <c r="KJG48" s="37"/>
      <c r="KJH48" s="37"/>
      <c r="KJI48" s="37"/>
      <c r="KJJ48" s="37"/>
      <c r="KJK48" s="37"/>
      <c r="KJL48" s="37"/>
      <c r="KJM48" s="37"/>
      <c r="KJN48" s="37"/>
      <c r="KJO48" s="37"/>
      <c r="KJP48" s="37"/>
      <c r="KJQ48" s="37"/>
      <c r="KJR48" s="37"/>
      <c r="KJS48" s="37"/>
      <c r="KJT48" s="37"/>
      <c r="KJU48" s="37"/>
      <c r="KJV48" s="37"/>
      <c r="KJW48" s="37"/>
      <c r="KJX48" s="37"/>
      <c r="KJY48" s="37"/>
      <c r="KJZ48" s="37"/>
      <c r="KKA48" s="37"/>
      <c r="KKB48" s="37"/>
      <c r="KKC48" s="37"/>
      <c r="KKD48" s="37"/>
      <c r="KKE48" s="37"/>
      <c r="KKF48" s="37"/>
      <c r="KKG48" s="37"/>
      <c r="KKH48" s="37"/>
      <c r="KKI48" s="37"/>
      <c r="KKJ48" s="37"/>
      <c r="KKK48" s="37"/>
      <c r="KKL48" s="37"/>
      <c r="KKM48" s="37"/>
      <c r="KKN48" s="37"/>
      <c r="KKO48" s="37"/>
      <c r="KKP48" s="37"/>
      <c r="KKQ48" s="37"/>
      <c r="KKR48" s="37"/>
      <c r="KKS48" s="37"/>
      <c r="KKT48" s="37"/>
      <c r="KKU48" s="37"/>
      <c r="KKV48" s="37"/>
      <c r="KKW48" s="37"/>
      <c r="KKX48" s="37"/>
      <c r="KKY48" s="37"/>
      <c r="KKZ48" s="37"/>
      <c r="KLA48" s="37"/>
      <c r="KLB48" s="37"/>
      <c r="KLC48" s="37"/>
      <c r="KLD48" s="37"/>
      <c r="KLE48" s="37"/>
      <c r="KLF48" s="37"/>
      <c r="KLG48" s="37"/>
      <c r="KLH48" s="37"/>
      <c r="KLI48" s="37"/>
      <c r="KLJ48" s="37"/>
      <c r="KLK48" s="37"/>
      <c r="KLL48" s="37"/>
      <c r="KLM48" s="37"/>
      <c r="KLN48" s="37"/>
      <c r="KLO48" s="37"/>
      <c r="KLP48" s="37"/>
      <c r="KLQ48" s="37"/>
      <c r="KLR48" s="37"/>
      <c r="KLS48" s="37"/>
      <c r="KLT48" s="37"/>
      <c r="KLU48" s="37"/>
      <c r="KLV48" s="37"/>
      <c r="KLW48" s="37"/>
      <c r="KLX48" s="37"/>
      <c r="KLY48" s="37"/>
      <c r="KLZ48" s="37"/>
      <c r="KMA48" s="37"/>
      <c r="KMB48" s="37"/>
      <c r="KMC48" s="37"/>
      <c r="KMD48" s="37"/>
      <c r="KME48" s="37"/>
      <c r="KMF48" s="37"/>
      <c r="KMG48" s="37"/>
      <c r="KMH48" s="37"/>
      <c r="KMI48" s="37"/>
      <c r="KMJ48" s="37"/>
      <c r="KMK48" s="37"/>
      <c r="KML48" s="37"/>
      <c r="KMM48" s="37"/>
      <c r="KMN48" s="37"/>
      <c r="KMO48" s="37"/>
      <c r="KMP48" s="37"/>
      <c r="KMQ48" s="37"/>
      <c r="KMR48" s="37"/>
      <c r="KMS48" s="37"/>
      <c r="KMT48" s="37"/>
      <c r="KMU48" s="37"/>
      <c r="KMV48" s="37"/>
      <c r="KMW48" s="37"/>
      <c r="KMX48" s="37"/>
      <c r="KMY48" s="37"/>
      <c r="KMZ48" s="37"/>
      <c r="KNA48" s="37"/>
      <c r="KNB48" s="37"/>
      <c r="KNC48" s="37"/>
      <c r="KND48" s="37"/>
      <c r="KNE48" s="37"/>
      <c r="KNF48" s="37"/>
      <c r="KNG48" s="37"/>
      <c r="KNH48" s="37"/>
      <c r="KNI48" s="37"/>
      <c r="KNJ48" s="37"/>
      <c r="KNK48" s="37"/>
      <c r="KNL48" s="37"/>
      <c r="KNM48" s="37"/>
      <c r="KNN48" s="37"/>
      <c r="KNO48" s="37"/>
      <c r="KNP48" s="37"/>
      <c r="KNQ48" s="37"/>
      <c r="KNR48" s="37"/>
      <c r="KNS48" s="37"/>
      <c r="KNT48" s="37"/>
      <c r="KNU48" s="37"/>
      <c r="KNV48" s="37"/>
      <c r="KNW48" s="37"/>
      <c r="KNX48" s="37"/>
      <c r="KNY48" s="37"/>
      <c r="KNZ48" s="37"/>
      <c r="KOA48" s="37"/>
      <c r="KOB48" s="37"/>
      <c r="KOC48" s="37"/>
      <c r="KOD48" s="37"/>
      <c r="KOE48" s="37"/>
      <c r="KOF48" s="37"/>
      <c r="KOG48" s="37"/>
      <c r="KOH48" s="37"/>
      <c r="KOI48" s="37"/>
      <c r="KOJ48" s="37"/>
      <c r="KOK48" s="37"/>
      <c r="KOL48" s="37"/>
      <c r="KOM48" s="37"/>
      <c r="KON48" s="37"/>
      <c r="KOO48" s="37"/>
      <c r="KOP48" s="37"/>
      <c r="KOQ48" s="37"/>
      <c r="KOR48" s="37"/>
      <c r="KOS48" s="37"/>
      <c r="KOT48" s="37"/>
      <c r="KOU48" s="37"/>
      <c r="KOV48" s="37"/>
      <c r="KOW48" s="37"/>
      <c r="KOX48" s="37"/>
      <c r="KOY48" s="37"/>
      <c r="KOZ48" s="37"/>
      <c r="KPA48" s="37"/>
      <c r="KPB48" s="37"/>
      <c r="KPC48" s="37"/>
      <c r="KPD48" s="37"/>
      <c r="KPE48" s="37"/>
      <c r="KPF48" s="37"/>
      <c r="KPG48" s="37"/>
      <c r="KPH48" s="37"/>
      <c r="KPI48" s="37"/>
      <c r="KPJ48" s="37"/>
      <c r="KPK48" s="37"/>
      <c r="KPL48" s="37"/>
      <c r="KPM48" s="37"/>
      <c r="KPN48" s="37"/>
      <c r="KPO48" s="37"/>
      <c r="KPP48" s="37"/>
      <c r="KPQ48" s="37"/>
      <c r="KPR48" s="37"/>
      <c r="KPS48" s="37"/>
      <c r="KPT48" s="37"/>
      <c r="KPU48" s="37"/>
      <c r="KPV48" s="37"/>
      <c r="KPW48" s="37"/>
      <c r="KPX48" s="37"/>
      <c r="KPY48" s="37"/>
      <c r="KPZ48" s="37"/>
      <c r="KQA48" s="37"/>
      <c r="KQB48" s="37"/>
      <c r="KQC48" s="37"/>
      <c r="KQD48" s="37"/>
      <c r="KQE48" s="37"/>
      <c r="KQF48" s="37"/>
      <c r="KQG48" s="37"/>
      <c r="KQH48" s="37"/>
      <c r="KQI48" s="37"/>
      <c r="KQJ48" s="37"/>
      <c r="KQK48" s="37"/>
      <c r="KQL48" s="37"/>
      <c r="KQM48" s="37"/>
      <c r="KQN48" s="37"/>
      <c r="KQO48" s="37"/>
      <c r="KQP48" s="37"/>
      <c r="KQQ48" s="37"/>
      <c r="KQR48" s="37"/>
      <c r="KQS48" s="37"/>
      <c r="KQT48" s="37"/>
      <c r="KQU48" s="37"/>
      <c r="KQV48" s="37"/>
      <c r="KQW48" s="37"/>
      <c r="KQX48" s="37"/>
      <c r="KQY48" s="37"/>
      <c r="KQZ48" s="37"/>
      <c r="KRA48" s="37"/>
      <c r="KRB48" s="37"/>
      <c r="KRC48" s="37"/>
      <c r="KRD48" s="37"/>
      <c r="KRE48" s="37"/>
      <c r="KRF48" s="37"/>
      <c r="KRG48" s="37"/>
      <c r="KRH48" s="37"/>
      <c r="KRI48" s="37"/>
      <c r="KRJ48" s="37"/>
      <c r="KRK48" s="37"/>
      <c r="KRL48" s="37"/>
      <c r="KRM48" s="37"/>
      <c r="KRN48" s="37"/>
      <c r="KRO48" s="37"/>
      <c r="KRP48" s="37"/>
      <c r="KRQ48" s="37"/>
      <c r="KRR48" s="37"/>
      <c r="KRS48" s="37"/>
      <c r="KRT48" s="37"/>
      <c r="KRU48" s="37"/>
      <c r="KRV48" s="37"/>
      <c r="KRW48" s="37"/>
      <c r="KRX48" s="37"/>
      <c r="KRY48" s="37"/>
      <c r="KRZ48" s="37"/>
      <c r="KSA48" s="37"/>
      <c r="KSB48" s="37"/>
      <c r="KSC48" s="37"/>
      <c r="KSD48" s="37"/>
      <c r="KSE48" s="37"/>
      <c r="KSF48" s="37"/>
      <c r="KSG48" s="37"/>
      <c r="KSH48" s="37"/>
      <c r="KSI48" s="37"/>
      <c r="KSJ48" s="37"/>
      <c r="KSK48" s="37"/>
      <c r="KSL48" s="37"/>
      <c r="KSM48" s="37"/>
      <c r="KSN48" s="37"/>
      <c r="KSO48" s="37"/>
      <c r="KSP48" s="37"/>
      <c r="KSQ48" s="37"/>
      <c r="KSR48" s="37"/>
      <c r="KSS48" s="37"/>
      <c r="KST48" s="37"/>
      <c r="KSU48" s="37"/>
      <c r="KSV48" s="37"/>
      <c r="KSW48" s="37"/>
      <c r="KSX48" s="37"/>
      <c r="KSY48" s="37"/>
      <c r="KSZ48" s="37"/>
      <c r="KTA48" s="37"/>
      <c r="KTB48" s="37"/>
      <c r="KTC48" s="37"/>
      <c r="KTD48" s="37"/>
      <c r="KTE48" s="37"/>
      <c r="KTF48" s="37"/>
      <c r="KTG48" s="37"/>
      <c r="KTH48" s="37"/>
      <c r="KTI48" s="37"/>
      <c r="KTJ48" s="37"/>
      <c r="KTK48" s="37"/>
      <c r="KTL48" s="37"/>
      <c r="KTM48" s="37"/>
      <c r="KTN48" s="37"/>
      <c r="KTO48" s="37"/>
      <c r="KTP48" s="37"/>
      <c r="KTQ48" s="37"/>
      <c r="KTR48" s="37"/>
      <c r="KTS48" s="37"/>
      <c r="KTT48" s="37"/>
      <c r="KTU48" s="37"/>
      <c r="KTV48" s="37"/>
      <c r="KTW48" s="37"/>
      <c r="KTX48" s="37"/>
      <c r="KTY48" s="37"/>
      <c r="KTZ48" s="37"/>
      <c r="KUA48" s="37"/>
      <c r="KUB48" s="37"/>
      <c r="KUC48" s="37"/>
      <c r="KUD48" s="37"/>
      <c r="KUE48" s="37"/>
      <c r="KUF48" s="37"/>
      <c r="KUG48" s="37"/>
      <c r="KUH48" s="37"/>
      <c r="KUI48" s="37"/>
      <c r="KUJ48" s="37"/>
      <c r="KUK48" s="37"/>
      <c r="KUL48" s="37"/>
      <c r="KUM48" s="37"/>
      <c r="KUN48" s="37"/>
      <c r="KUO48" s="37"/>
      <c r="KUP48" s="37"/>
      <c r="KUQ48" s="37"/>
      <c r="KUR48" s="37"/>
      <c r="KUS48" s="37"/>
      <c r="KUT48" s="37"/>
      <c r="KUU48" s="37"/>
      <c r="KUV48" s="37"/>
      <c r="KUW48" s="37"/>
      <c r="KUX48" s="37"/>
      <c r="KUY48" s="37"/>
      <c r="KUZ48" s="37"/>
      <c r="KVA48" s="37"/>
      <c r="KVB48" s="37"/>
      <c r="KVC48" s="37"/>
      <c r="KVD48" s="37"/>
      <c r="KVE48" s="37"/>
      <c r="KVF48" s="37"/>
      <c r="KVG48" s="37"/>
      <c r="KVH48" s="37"/>
      <c r="KVI48" s="37"/>
      <c r="KVJ48" s="37"/>
      <c r="KVK48" s="37"/>
      <c r="KVL48" s="37"/>
      <c r="KVM48" s="37"/>
      <c r="KVN48" s="37"/>
      <c r="KVO48" s="37"/>
      <c r="KVP48" s="37"/>
      <c r="KVQ48" s="37"/>
      <c r="KVR48" s="37"/>
      <c r="KVS48" s="37"/>
      <c r="KVT48" s="37"/>
      <c r="KVU48" s="37"/>
      <c r="KVV48" s="37"/>
      <c r="KVW48" s="37"/>
      <c r="KVX48" s="37"/>
      <c r="KVY48" s="37"/>
      <c r="KVZ48" s="37"/>
      <c r="KWA48" s="37"/>
      <c r="KWB48" s="37"/>
      <c r="KWC48" s="37"/>
      <c r="KWD48" s="37"/>
      <c r="KWE48" s="37"/>
      <c r="KWF48" s="37"/>
      <c r="KWG48" s="37"/>
      <c r="KWH48" s="37"/>
      <c r="KWI48" s="37"/>
      <c r="KWJ48" s="37"/>
      <c r="KWK48" s="37"/>
      <c r="KWL48" s="37"/>
      <c r="KWM48" s="37"/>
      <c r="KWN48" s="37"/>
      <c r="KWO48" s="37"/>
      <c r="KWP48" s="37"/>
      <c r="KWQ48" s="37"/>
      <c r="KWR48" s="37"/>
      <c r="KWS48" s="37"/>
      <c r="KWT48" s="37"/>
      <c r="KWU48" s="37"/>
      <c r="KWV48" s="37"/>
      <c r="KWW48" s="37"/>
      <c r="KWX48" s="37"/>
      <c r="KWY48" s="37"/>
      <c r="KWZ48" s="37"/>
      <c r="KXA48" s="37"/>
      <c r="KXB48" s="37"/>
      <c r="KXC48" s="37"/>
      <c r="KXD48" s="37"/>
      <c r="KXE48" s="37"/>
      <c r="KXF48" s="37"/>
      <c r="KXG48" s="37"/>
      <c r="KXH48" s="37"/>
      <c r="KXI48" s="37"/>
      <c r="KXJ48" s="37"/>
      <c r="KXK48" s="37"/>
      <c r="KXL48" s="37"/>
      <c r="KXM48" s="37"/>
      <c r="KXN48" s="37"/>
      <c r="KXO48" s="37"/>
      <c r="KXP48" s="37"/>
      <c r="KXQ48" s="37"/>
      <c r="KXR48" s="37"/>
      <c r="KXS48" s="37"/>
      <c r="KXT48" s="37"/>
      <c r="KXU48" s="37"/>
      <c r="KXV48" s="37"/>
      <c r="KXW48" s="37"/>
      <c r="KXX48" s="37"/>
      <c r="KXY48" s="37"/>
      <c r="KXZ48" s="37"/>
      <c r="KYA48" s="37"/>
      <c r="KYB48" s="37"/>
      <c r="KYC48" s="37"/>
      <c r="KYD48" s="37"/>
      <c r="KYE48" s="37"/>
      <c r="KYF48" s="37"/>
      <c r="KYG48" s="37"/>
      <c r="KYH48" s="37"/>
      <c r="KYI48" s="37"/>
      <c r="KYJ48" s="37"/>
      <c r="KYK48" s="37"/>
      <c r="KYL48" s="37"/>
      <c r="KYM48" s="37"/>
      <c r="KYN48" s="37"/>
      <c r="KYO48" s="37"/>
      <c r="KYP48" s="37"/>
      <c r="KYQ48" s="37"/>
      <c r="KYR48" s="37"/>
      <c r="KYS48" s="37"/>
      <c r="KYT48" s="37"/>
      <c r="KYU48" s="37"/>
      <c r="KYV48" s="37"/>
      <c r="KYW48" s="37"/>
      <c r="KYX48" s="37"/>
      <c r="KYY48" s="37"/>
      <c r="KYZ48" s="37"/>
      <c r="KZA48" s="37"/>
      <c r="KZB48" s="37"/>
      <c r="KZC48" s="37"/>
      <c r="KZD48" s="37"/>
      <c r="KZE48" s="37"/>
      <c r="KZF48" s="37"/>
      <c r="KZG48" s="37"/>
      <c r="KZH48" s="37"/>
      <c r="KZI48" s="37"/>
      <c r="KZJ48" s="37"/>
      <c r="KZK48" s="37"/>
      <c r="KZL48" s="37"/>
      <c r="KZM48" s="37"/>
      <c r="KZN48" s="37"/>
      <c r="KZO48" s="37"/>
      <c r="KZP48" s="37"/>
      <c r="KZQ48" s="37"/>
      <c r="KZR48" s="37"/>
      <c r="KZS48" s="37"/>
      <c r="KZT48" s="37"/>
      <c r="KZU48" s="37"/>
      <c r="KZV48" s="37"/>
      <c r="KZW48" s="37"/>
      <c r="KZX48" s="37"/>
      <c r="KZY48" s="37"/>
      <c r="KZZ48" s="37"/>
      <c r="LAA48" s="37"/>
      <c r="LAB48" s="37"/>
      <c r="LAC48" s="37"/>
      <c r="LAD48" s="37"/>
      <c r="LAE48" s="37"/>
      <c r="LAF48" s="37"/>
      <c r="LAG48" s="37"/>
      <c r="LAH48" s="37"/>
      <c r="LAI48" s="37"/>
      <c r="LAJ48" s="37"/>
      <c r="LAK48" s="37"/>
      <c r="LAL48" s="37"/>
      <c r="LAM48" s="37"/>
      <c r="LAN48" s="37"/>
      <c r="LAO48" s="37"/>
      <c r="LAP48" s="37"/>
      <c r="LAQ48" s="37"/>
      <c r="LAR48" s="37"/>
      <c r="LAS48" s="37"/>
      <c r="LAT48" s="37"/>
      <c r="LAU48" s="37"/>
      <c r="LAV48" s="37"/>
      <c r="LAW48" s="37"/>
      <c r="LAX48" s="37"/>
      <c r="LAY48" s="37"/>
      <c r="LAZ48" s="37"/>
      <c r="LBA48" s="37"/>
      <c r="LBB48" s="37"/>
      <c r="LBC48" s="37"/>
      <c r="LBD48" s="37"/>
      <c r="LBE48" s="37"/>
      <c r="LBF48" s="37"/>
      <c r="LBG48" s="37"/>
      <c r="LBH48" s="37"/>
      <c r="LBI48" s="37"/>
      <c r="LBJ48" s="37"/>
      <c r="LBK48" s="37"/>
      <c r="LBL48" s="37"/>
      <c r="LBM48" s="37"/>
      <c r="LBN48" s="37"/>
      <c r="LBO48" s="37"/>
      <c r="LBP48" s="37"/>
      <c r="LBQ48" s="37"/>
      <c r="LBR48" s="37"/>
      <c r="LBS48" s="37"/>
      <c r="LBT48" s="37"/>
      <c r="LBU48" s="37"/>
      <c r="LBV48" s="37"/>
      <c r="LBW48" s="37"/>
      <c r="LBX48" s="37"/>
      <c r="LBY48" s="37"/>
      <c r="LBZ48" s="37"/>
      <c r="LCA48" s="37"/>
      <c r="LCB48" s="37"/>
      <c r="LCC48" s="37"/>
      <c r="LCD48" s="37"/>
      <c r="LCE48" s="37"/>
      <c r="LCF48" s="37"/>
      <c r="LCG48" s="37"/>
      <c r="LCH48" s="37"/>
      <c r="LCI48" s="37"/>
      <c r="LCJ48" s="37"/>
      <c r="LCK48" s="37"/>
      <c r="LCL48" s="37"/>
      <c r="LCM48" s="37"/>
      <c r="LCN48" s="37"/>
      <c r="LCO48" s="37"/>
      <c r="LCP48" s="37"/>
      <c r="LCQ48" s="37"/>
      <c r="LCR48" s="37"/>
      <c r="LCS48" s="37"/>
      <c r="LCT48" s="37"/>
      <c r="LCU48" s="37"/>
      <c r="LCV48" s="37"/>
      <c r="LCW48" s="37"/>
      <c r="LCX48" s="37"/>
      <c r="LCY48" s="37"/>
      <c r="LCZ48" s="37"/>
      <c r="LDA48" s="37"/>
      <c r="LDB48" s="37"/>
      <c r="LDC48" s="37"/>
      <c r="LDD48" s="37"/>
      <c r="LDE48" s="37"/>
      <c r="LDF48" s="37"/>
      <c r="LDG48" s="37"/>
      <c r="LDH48" s="37"/>
      <c r="LDI48" s="37"/>
      <c r="LDJ48" s="37"/>
      <c r="LDK48" s="37"/>
      <c r="LDL48" s="37"/>
      <c r="LDM48" s="37"/>
      <c r="LDN48" s="37"/>
      <c r="LDO48" s="37"/>
      <c r="LDP48" s="37"/>
      <c r="LDQ48" s="37"/>
      <c r="LDR48" s="37"/>
      <c r="LDS48" s="37"/>
      <c r="LDT48" s="37"/>
      <c r="LDU48" s="37"/>
      <c r="LDV48" s="37"/>
      <c r="LDW48" s="37"/>
      <c r="LDX48" s="37"/>
      <c r="LDY48" s="37"/>
      <c r="LDZ48" s="37"/>
      <c r="LEA48" s="37"/>
      <c r="LEB48" s="37"/>
      <c r="LEC48" s="37"/>
      <c r="LED48" s="37"/>
      <c r="LEE48" s="37"/>
      <c r="LEF48" s="37"/>
      <c r="LEG48" s="37"/>
      <c r="LEH48" s="37"/>
      <c r="LEI48" s="37"/>
      <c r="LEJ48" s="37"/>
      <c r="LEK48" s="37"/>
      <c r="LEL48" s="37"/>
      <c r="LEM48" s="37"/>
      <c r="LEN48" s="37"/>
      <c r="LEO48" s="37"/>
      <c r="LEP48" s="37"/>
      <c r="LEQ48" s="37"/>
      <c r="LER48" s="37"/>
      <c r="LES48" s="37"/>
      <c r="LET48" s="37"/>
      <c r="LEU48" s="37"/>
      <c r="LEV48" s="37"/>
      <c r="LEW48" s="37"/>
      <c r="LEX48" s="37"/>
      <c r="LEY48" s="37"/>
      <c r="LEZ48" s="37"/>
      <c r="LFA48" s="37"/>
      <c r="LFB48" s="37"/>
      <c r="LFC48" s="37"/>
      <c r="LFD48" s="37"/>
      <c r="LFE48" s="37"/>
      <c r="LFF48" s="37"/>
      <c r="LFG48" s="37"/>
      <c r="LFH48" s="37"/>
      <c r="LFI48" s="37"/>
      <c r="LFJ48" s="37"/>
      <c r="LFK48" s="37"/>
      <c r="LFL48" s="37"/>
      <c r="LFM48" s="37"/>
      <c r="LFN48" s="37"/>
      <c r="LFO48" s="37"/>
      <c r="LFP48" s="37"/>
      <c r="LFQ48" s="37"/>
      <c r="LFR48" s="37"/>
      <c r="LFS48" s="37"/>
      <c r="LFT48" s="37"/>
      <c r="LFU48" s="37"/>
      <c r="LFV48" s="37"/>
      <c r="LFW48" s="37"/>
      <c r="LFX48" s="37"/>
      <c r="LFY48" s="37"/>
      <c r="LFZ48" s="37"/>
      <c r="LGA48" s="37"/>
      <c r="LGB48" s="37"/>
      <c r="LGC48" s="37"/>
      <c r="LGD48" s="37"/>
      <c r="LGE48" s="37"/>
      <c r="LGF48" s="37"/>
      <c r="LGG48" s="37"/>
      <c r="LGH48" s="37"/>
      <c r="LGI48" s="37"/>
      <c r="LGJ48" s="37"/>
      <c r="LGK48" s="37"/>
      <c r="LGL48" s="37"/>
      <c r="LGM48" s="37"/>
      <c r="LGN48" s="37"/>
      <c r="LGO48" s="37"/>
      <c r="LGP48" s="37"/>
      <c r="LGQ48" s="37"/>
      <c r="LGR48" s="37"/>
      <c r="LGS48" s="37"/>
      <c r="LGT48" s="37"/>
      <c r="LGU48" s="37"/>
      <c r="LGV48" s="37"/>
      <c r="LGW48" s="37"/>
      <c r="LGX48" s="37"/>
      <c r="LGY48" s="37"/>
      <c r="LGZ48" s="37"/>
      <c r="LHA48" s="37"/>
      <c r="LHB48" s="37"/>
      <c r="LHC48" s="37"/>
      <c r="LHD48" s="37"/>
      <c r="LHE48" s="37"/>
      <c r="LHF48" s="37"/>
      <c r="LHG48" s="37"/>
      <c r="LHH48" s="37"/>
      <c r="LHI48" s="37"/>
      <c r="LHJ48" s="37"/>
      <c r="LHK48" s="37"/>
      <c r="LHL48" s="37"/>
      <c r="LHM48" s="37"/>
      <c r="LHN48" s="37"/>
      <c r="LHO48" s="37"/>
      <c r="LHP48" s="37"/>
      <c r="LHQ48" s="37"/>
      <c r="LHR48" s="37"/>
      <c r="LHS48" s="37"/>
      <c r="LHT48" s="37"/>
      <c r="LHU48" s="37"/>
      <c r="LHV48" s="37"/>
      <c r="LHW48" s="37"/>
      <c r="LHX48" s="37"/>
      <c r="LHY48" s="37"/>
      <c r="LHZ48" s="37"/>
      <c r="LIA48" s="37"/>
      <c r="LIB48" s="37"/>
      <c r="LIC48" s="37"/>
      <c r="LID48" s="37"/>
      <c r="LIE48" s="37"/>
      <c r="LIF48" s="37"/>
      <c r="LIG48" s="37"/>
      <c r="LIH48" s="37"/>
      <c r="LII48" s="37"/>
      <c r="LIJ48" s="37"/>
      <c r="LIK48" s="37"/>
      <c r="LIL48" s="37"/>
      <c r="LIM48" s="37"/>
      <c r="LIN48" s="37"/>
      <c r="LIO48" s="37"/>
      <c r="LIP48" s="37"/>
      <c r="LIQ48" s="37"/>
      <c r="LIR48" s="37"/>
      <c r="LIS48" s="37"/>
      <c r="LIT48" s="37"/>
      <c r="LIU48" s="37"/>
      <c r="LIV48" s="37"/>
      <c r="LIW48" s="37"/>
      <c r="LIX48" s="37"/>
      <c r="LIY48" s="37"/>
      <c r="LIZ48" s="37"/>
      <c r="LJA48" s="37"/>
      <c r="LJB48" s="37"/>
      <c r="LJC48" s="37"/>
      <c r="LJD48" s="37"/>
      <c r="LJE48" s="37"/>
      <c r="LJF48" s="37"/>
      <c r="LJG48" s="37"/>
      <c r="LJH48" s="37"/>
      <c r="LJI48" s="37"/>
      <c r="LJJ48" s="37"/>
      <c r="LJK48" s="37"/>
      <c r="LJL48" s="37"/>
      <c r="LJM48" s="37"/>
      <c r="LJN48" s="37"/>
      <c r="LJO48" s="37"/>
      <c r="LJP48" s="37"/>
      <c r="LJQ48" s="37"/>
      <c r="LJR48" s="37"/>
      <c r="LJS48" s="37"/>
      <c r="LJT48" s="37"/>
      <c r="LJU48" s="37"/>
      <c r="LJV48" s="37"/>
      <c r="LJW48" s="37"/>
      <c r="LJX48" s="37"/>
      <c r="LJY48" s="37"/>
      <c r="LJZ48" s="37"/>
      <c r="LKA48" s="37"/>
      <c r="LKB48" s="37"/>
      <c r="LKC48" s="37"/>
      <c r="LKD48" s="37"/>
      <c r="LKE48" s="37"/>
      <c r="LKF48" s="37"/>
      <c r="LKG48" s="37"/>
      <c r="LKH48" s="37"/>
      <c r="LKI48" s="37"/>
      <c r="LKJ48" s="37"/>
      <c r="LKK48" s="37"/>
      <c r="LKL48" s="37"/>
      <c r="LKM48" s="37"/>
      <c r="LKN48" s="37"/>
      <c r="LKO48" s="37"/>
      <c r="LKP48" s="37"/>
      <c r="LKQ48" s="37"/>
      <c r="LKR48" s="37"/>
      <c r="LKS48" s="37"/>
      <c r="LKT48" s="37"/>
      <c r="LKU48" s="37"/>
      <c r="LKV48" s="37"/>
      <c r="LKW48" s="37"/>
      <c r="LKX48" s="37"/>
      <c r="LKY48" s="37"/>
      <c r="LKZ48" s="37"/>
      <c r="LLA48" s="37"/>
      <c r="LLB48" s="37"/>
      <c r="LLC48" s="37"/>
      <c r="LLD48" s="37"/>
      <c r="LLE48" s="37"/>
      <c r="LLF48" s="37"/>
      <c r="LLG48" s="37"/>
      <c r="LLH48" s="37"/>
      <c r="LLI48" s="37"/>
      <c r="LLJ48" s="37"/>
      <c r="LLK48" s="37"/>
      <c r="LLL48" s="37"/>
      <c r="LLM48" s="37"/>
      <c r="LLN48" s="37"/>
      <c r="LLO48" s="37"/>
      <c r="LLP48" s="37"/>
      <c r="LLQ48" s="37"/>
      <c r="LLR48" s="37"/>
      <c r="LLS48" s="37"/>
      <c r="LLT48" s="37"/>
      <c r="LLU48" s="37"/>
      <c r="LLV48" s="37"/>
      <c r="LLW48" s="37"/>
      <c r="LLX48" s="37"/>
      <c r="LLY48" s="37"/>
      <c r="LLZ48" s="37"/>
      <c r="LMA48" s="37"/>
      <c r="LMB48" s="37"/>
      <c r="LMC48" s="37"/>
      <c r="LMD48" s="37"/>
      <c r="LME48" s="37"/>
      <c r="LMF48" s="37"/>
      <c r="LMG48" s="37"/>
      <c r="LMH48" s="37"/>
      <c r="LMI48" s="37"/>
      <c r="LMJ48" s="37"/>
      <c r="LMK48" s="37"/>
      <c r="LML48" s="37"/>
      <c r="LMM48" s="37"/>
      <c r="LMN48" s="37"/>
      <c r="LMO48" s="37"/>
      <c r="LMP48" s="37"/>
      <c r="LMQ48" s="37"/>
      <c r="LMR48" s="37"/>
      <c r="LMS48" s="37"/>
      <c r="LMT48" s="37"/>
      <c r="LMU48" s="37"/>
      <c r="LMV48" s="37"/>
      <c r="LMW48" s="37"/>
      <c r="LMX48" s="37"/>
      <c r="LMY48" s="37"/>
      <c r="LMZ48" s="37"/>
      <c r="LNA48" s="37"/>
      <c r="LNB48" s="37"/>
      <c r="LNC48" s="37"/>
      <c r="LND48" s="37"/>
      <c r="LNE48" s="37"/>
      <c r="LNF48" s="37"/>
      <c r="LNG48" s="37"/>
      <c r="LNH48" s="37"/>
      <c r="LNI48" s="37"/>
      <c r="LNJ48" s="37"/>
      <c r="LNK48" s="37"/>
      <c r="LNL48" s="37"/>
      <c r="LNM48" s="37"/>
      <c r="LNN48" s="37"/>
      <c r="LNO48" s="37"/>
      <c r="LNP48" s="37"/>
      <c r="LNQ48" s="37"/>
      <c r="LNR48" s="37"/>
      <c r="LNS48" s="37"/>
      <c r="LNT48" s="37"/>
      <c r="LNU48" s="37"/>
      <c r="LNV48" s="37"/>
      <c r="LNW48" s="37"/>
      <c r="LNX48" s="37"/>
      <c r="LNY48" s="37"/>
      <c r="LNZ48" s="37"/>
      <c r="LOA48" s="37"/>
      <c r="LOB48" s="37"/>
      <c r="LOC48" s="37"/>
      <c r="LOD48" s="37"/>
      <c r="LOE48" s="37"/>
      <c r="LOF48" s="37"/>
      <c r="LOG48" s="37"/>
      <c r="LOH48" s="37"/>
      <c r="LOI48" s="37"/>
      <c r="LOJ48" s="37"/>
      <c r="LOK48" s="37"/>
      <c r="LOL48" s="37"/>
      <c r="LOM48" s="37"/>
      <c r="LON48" s="37"/>
      <c r="LOO48" s="37"/>
      <c r="LOP48" s="37"/>
      <c r="LOQ48" s="37"/>
      <c r="LOR48" s="37"/>
      <c r="LOS48" s="37"/>
      <c r="LOT48" s="37"/>
      <c r="LOU48" s="37"/>
      <c r="LOV48" s="37"/>
      <c r="LOW48" s="37"/>
      <c r="LOX48" s="37"/>
      <c r="LOY48" s="37"/>
      <c r="LOZ48" s="37"/>
      <c r="LPA48" s="37"/>
      <c r="LPB48" s="37"/>
      <c r="LPC48" s="37"/>
      <c r="LPD48" s="37"/>
      <c r="LPE48" s="37"/>
      <c r="LPF48" s="37"/>
      <c r="LPG48" s="37"/>
      <c r="LPH48" s="37"/>
      <c r="LPI48" s="37"/>
      <c r="LPJ48" s="37"/>
      <c r="LPK48" s="37"/>
      <c r="LPL48" s="37"/>
      <c r="LPM48" s="37"/>
      <c r="LPN48" s="37"/>
      <c r="LPO48" s="37"/>
      <c r="LPP48" s="37"/>
      <c r="LPQ48" s="37"/>
      <c r="LPR48" s="37"/>
      <c r="LPS48" s="37"/>
      <c r="LPT48" s="37"/>
      <c r="LPU48" s="37"/>
      <c r="LPV48" s="37"/>
      <c r="LPW48" s="37"/>
      <c r="LPX48" s="37"/>
      <c r="LPY48" s="37"/>
      <c r="LPZ48" s="37"/>
      <c r="LQA48" s="37"/>
      <c r="LQB48" s="37"/>
      <c r="LQC48" s="37"/>
      <c r="LQD48" s="37"/>
      <c r="LQE48" s="37"/>
      <c r="LQF48" s="37"/>
      <c r="LQG48" s="37"/>
      <c r="LQH48" s="37"/>
      <c r="LQI48" s="37"/>
      <c r="LQJ48" s="37"/>
      <c r="LQK48" s="37"/>
      <c r="LQL48" s="37"/>
      <c r="LQM48" s="37"/>
      <c r="LQN48" s="37"/>
      <c r="LQO48" s="37"/>
      <c r="LQP48" s="37"/>
      <c r="LQQ48" s="37"/>
      <c r="LQR48" s="37"/>
      <c r="LQS48" s="37"/>
      <c r="LQT48" s="37"/>
      <c r="LQU48" s="37"/>
      <c r="LQV48" s="37"/>
      <c r="LQW48" s="37"/>
      <c r="LQX48" s="37"/>
      <c r="LQY48" s="37"/>
      <c r="LQZ48" s="37"/>
      <c r="LRA48" s="37"/>
      <c r="LRB48" s="37"/>
      <c r="LRC48" s="37"/>
      <c r="LRD48" s="37"/>
      <c r="LRE48" s="37"/>
      <c r="LRF48" s="37"/>
      <c r="LRG48" s="37"/>
      <c r="LRH48" s="37"/>
      <c r="LRI48" s="37"/>
      <c r="LRJ48" s="37"/>
      <c r="LRK48" s="37"/>
      <c r="LRL48" s="37"/>
      <c r="LRM48" s="37"/>
      <c r="LRN48" s="37"/>
      <c r="LRO48" s="37"/>
      <c r="LRP48" s="37"/>
      <c r="LRQ48" s="37"/>
      <c r="LRR48" s="37"/>
      <c r="LRS48" s="37"/>
      <c r="LRT48" s="37"/>
      <c r="LRU48" s="37"/>
      <c r="LRV48" s="37"/>
      <c r="LRW48" s="37"/>
      <c r="LRX48" s="37"/>
      <c r="LRY48" s="37"/>
      <c r="LRZ48" s="37"/>
      <c r="LSA48" s="37"/>
      <c r="LSB48" s="37"/>
      <c r="LSC48" s="37"/>
      <c r="LSD48" s="37"/>
      <c r="LSE48" s="37"/>
      <c r="LSF48" s="37"/>
      <c r="LSG48" s="37"/>
      <c r="LSH48" s="37"/>
      <c r="LSI48" s="37"/>
      <c r="LSJ48" s="37"/>
      <c r="LSK48" s="37"/>
      <c r="LSL48" s="37"/>
      <c r="LSM48" s="37"/>
      <c r="LSN48" s="37"/>
      <c r="LSO48" s="37"/>
      <c r="LSP48" s="37"/>
      <c r="LSQ48" s="37"/>
      <c r="LSR48" s="37"/>
      <c r="LSS48" s="37"/>
      <c r="LST48" s="37"/>
      <c r="LSU48" s="37"/>
      <c r="LSV48" s="37"/>
      <c r="LSW48" s="37"/>
      <c r="LSX48" s="37"/>
      <c r="LSY48" s="37"/>
      <c r="LSZ48" s="37"/>
      <c r="LTA48" s="37"/>
      <c r="LTB48" s="37"/>
      <c r="LTC48" s="37"/>
      <c r="LTD48" s="37"/>
      <c r="LTE48" s="37"/>
      <c r="LTF48" s="37"/>
      <c r="LTG48" s="37"/>
      <c r="LTH48" s="37"/>
      <c r="LTI48" s="37"/>
      <c r="LTJ48" s="37"/>
      <c r="LTK48" s="37"/>
      <c r="LTL48" s="37"/>
      <c r="LTM48" s="37"/>
      <c r="LTN48" s="37"/>
      <c r="LTO48" s="37"/>
      <c r="LTP48" s="37"/>
      <c r="LTQ48" s="37"/>
      <c r="LTR48" s="37"/>
      <c r="LTS48" s="37"/>
      <c r="LTT48" s="37"/>
      <c r="LTU48" s="37"/>
      <c r="LTV48" s="37"/>
      <c r="LTW48" s="37"/>
      <c r="LTX48" s="37"/>
      <c r="LTY48" s="37"/>
      <c r="LTZ48" s="37"/>
      <c r="LUA48" s="37"/>
      <c r="LUB48" s="37"/>
      <c r="LUC48" s="37"/>
      <c r="LUD48" s="37"/>
      <c r="LUE48" s="37"/>
      <c r="LUF48" s="37"/>
      <c r="LUG48" s="37"/>
      <c r="LUH48" s="37"/>
      <c r="LUI48" s="37"/>
      <c r="LUJ48" s="37"/>
      <c r="LUK48" s="37"/>
      <c r="LUL48" s="37"/>
      <c r="LUM48" s="37"/>
      <c r="LUN48" s="37"/>
      <c r="LUO48" s="37"/>
      <c r="LUP48" s="37"/>
      <c r="LUQ48" s="37"/>
      <c r="LUR48" s="37"/>
      <c r="LUS48" s="37"/>
      <c r="LUT48" s="37"/>
      <c r="LUU48" s="37"/>
      <c r="LUV48" s="37"/>
      <c r="LUW48" s="37"/>
      <c r="LUX48" s="37"/>
      <c r="LUY48" s="37"/>
      <c r="LUZ48" s="37"/>
      <c r="LVA48" s="37"/>
      <c r="LVB48" s="37"/>
      <c r="LVC48" s="37"/>
      <c r="LVD48" s="37"/>
      <c r="LVE48" s="37"/>
      <c r="LVF48" s="37"/>
      <c r="LVG48" s="37"/>
      <c r="LVH48" s="37"/>
      <c r="LVI48" s="37"/>
      <c r="LVJ48" s="37"/>
      <c r="LVK48" s="37"/>
      <c r="LVL48" s="37"/>
      <c r="LVM48" s="37"/>
      <c r="LVN48" s="37"/>
      <c r="LVO48" s="37"/>
      <c r="LVP48" s="37"/>
      <c r="LVQ48" s="37"/>
      <c r="LVR48" s="37"/>
      <c r="LVS48" s="37"/>
      <c r="LVT48" s="37"/>
      <c r="LVU48" s="37"/>
      <c r="LVV48" s="37"/>
      <c r="LVW48" s="37"/>
      <c r="LVX48" s="37"/>
      <c r="LVY48" s="37"/>
      <c r="LVZ48" s="37"/>
      <c r="LWA48" s="37"/>
      <c r="LWB48" s="37"/>
      <c r="LWC48" s="37"/>
      <c r="LWD48" s="37"/>
      <c r="LWE48" s="37"/>
      <c r="LWF48" s="37"/>
      <c r="LWG48" s="37"/>
      <c r="LWH48" s="37"/>
      <c r="LWI48" s="37"/>
      <c r="LWJ48" s="37"/>
      <c r="LWK48" s="37"/>
      <c r="LWL48" s="37"/>
      <c r="LWM48" s="37"/>
      <c r="LWN48" s="37"/>
      <c r="LWO48" s="37"/>
      <c r="LWP48" s="37"/>
      <c r="LWQ48" s="37"/>
      <c r="LWR48" s="37"/>
      <c r="LWS48" s="37"/>
      <c r="LWT48" s="37"/>
      <c r="LWU48" s="37"/>
      <c r="LWV48" s="37"/>
      <c r="LWW48" s="37"/>
      <c r="LWX48" s="37"/>
      <c r="LWY48" s="37"/>
      <c r="LWZ48" s="37"/>
      <c r="LXA48" s="37"/>
      <c r="LXB48" s="37"/>
      <c r="LXC48" s="37"/>
      <c r="LXD48" s="37"/>
      <c r="LXE48" s="37"/>
      <c r="LXF48" s="37"/>
      <c r="LXG48" s="37"/>
      <c r="LXH48" s="37"/>
      <c r="LXI48" s="37"/>
      <c r="LXJ48" s="37"/>
      <c r="LXK48" s="37"/>
      <c r="LXL48" s="37"/>
      <c r="LXM48" s="37"/>
      <c r="LXN48" s="37"/>
      <c r="LXO48" s="37"/>
      <c r="LXP48" s="37"/>
      <c r="LXQ48" s="37"/>
      <c r="LXR48" s="37"/>
      <c r="LXS48" s="37"/>
      <c r="LXT48" s="37"/>
      <c r="LXU48" s="37"/>
      <c r="LXV48" s="37"/>
      <c r="LXW48" s="37"/>
      <c r="LXX48" s="37"/>
      <c r="LXY48" s="37"/>
      <c r="LXZ48" s="37"/>
      <c r="LYA48" s="37"/>
      <c r="LYB48" s="37"/>
      <c r="LYC48" s="37"/>
      <c r="LYD48" s="37"/>
      <c r="LYE48" s="37"/>
      <c r="LYF48" s="37"/>
      <c r="LYG48" s="37"/>
      <c r="LYH48" s="37"/>
      <c r="LYI48" s="37"/>
      <c r="LYJ48" s="37"/>
      <c r="LYK48" s="37"/>
      <c r="LYL48" s="37"/>
      <c r="LYM48" s="37"/>
      <c r="LYN48" s="37"/>
      <c r="LYO48" s="37"/>
      <c r="LYP48" s="37"/>
      <c r="LYQ48" s="37"/>
      <c r="LYR48" s="37"/>
      <c r="LYS48" s="37"/>
      <c r="LYT48" s="37"/>
      <c r="LYU48" s="37"/>
      <c r="LYV48" s="37"/>
      <c r="LYW48" s="37"/>
      <c r="LYX48" s="37"/>
      <c r="LYY48" s="37"/>
      <c r="LYZ48" s="37"/>
      <c r="LZA48" s="37"/>
      <c r="LZB48" s="37"/>
      <c r="LZC48" s="37"/>
      <c r="LZD48" s="37"/>
      <c r="LZE48" s="37"/>
      <c r="LZF48" s="37"/>
      <c r="LZG48" s="37"/>
      <c r="LZH48" s="37"/>
      <c r="LZI48" s="37"/>
      <c r="LZJ48" s="37"/>
      <c r="LZK48" s="37"/>
      <c r="LZL48" s="37"/>
      <c r="LZM48" s="37"/>
      <c r="LZN48" s="37"/>
      <c r="LZO48" s="37"/>
      <c r="LZP48" s="37"/>
      <c r="LZQ48" s="37"/>
      <c r="LZR48" s="37"/>
      <c r="LZS48" s="37"/>
      <c r="LZT48" s="37"/>
      <c r="LZU48" s="37"/>
      <c r="LZV48" s="37"/>
      <c r="LZW48" s="37"/>
      <c r="LZX48" s="37"/>
      <c r="LZY48" s="37"/>
      <c r="LZZ48" s="37"/>
      <c r="MAA48" s="37"/>
      <c r="MAB48" s="37"/>
      <c r="MAC48" s="37"/>
      <c r="MAD48" s="37"/>
      <c r="MAE48" s="37"/>
      <c r="MAF48" s="37"/>
      <c r="MAG48" s="37"/>
      <c r="MAH48" s="37"/>
      <c r="MAI48" s="37"/>
      <c r="MAJ48" s="37"/>
      <c r="MAK48" s="37"/>
      <c r="MAL48" s="37"/>
      <c r="MAM48" s="37"/>
      <c r="MAN48" s="37"/>
      <c r="MAO48" s="37"/>
      <c r="MAP48" s="37"/>
      <c r="MAQ48" s="37"/>
      <c r="MAR48" s="37"/>
      <c r="MAS48" s="37"/>
      <c r="MAT48" s="37"/>
      <c r="MAU48" s="37"/>
      <c r="MAV48" s="37"/>
      <c r="MAW48" s="37"/>
      <c r="MAX48" s="37"/>
      <c r="MAY48" s="37"/>
      <c r="MAZ48" s="37"/>
      <c r="MBA48" s="37"/>
      <c r="MBB48" s="37"/>
      <c r="MBC48" s="37"/>
      <c r="MBD48" s="37"/>
      <c r="MBE48" s="37"/>
      <c r="MBF48" s="37"/>
      <c r="MBG48" s="37"/>
      <c r="MBH48" s="37"/>
      <c r="MBI48" s="37"/>
      <c r="MBJ48" s="37"/>
      <c r="MBK48" s="37"/>
      <c r="MBL48" s="37"/>
      <c r="MBM48" s="37"/>
      <c r="MBN48" s="37"/>
      <c r="MBO48" s="37"/>
      <c r="MBP48" s="37"/>
      <c r="MBQ48" s="37"/>
      <c r="MBR48" s="37"/>
      <c r="MBS48" s="37"/>
      <c r="MBT48" s="37"/>
      <c r="MBU48" s="37"/>
      <c r="MBV48" s="37"/>
      <c r="MBW48" s="37"/>
      <c r="MBX48" s="37"/>
      <c r="MBY48" s="37"/>
      <c r="MBZ48" s="37"/>
      <c r="MCA48" s="37"/>
      <c r="MCB48" s="37"/>
      <c r="MCC48" s="37"/>
      <c r="MCD48" s="37"/>
      <c r="MCE48" s="37"/>
      <c r="MCF48" s="37"/>
      <c r="MCG48" s="37"/>
      <c r="MCH48" s="37"/>
      <c r="MCI48" s="37"/>
      <c r="MCJ48" s="37"/>
      <c r="MCK48" s="37"/>
      <c r="MCL48" s="37"/>
      <c r="MCM48" s="37"/>
      <c r="MCN48" s="37"/>
      <c r="MCO48" s="37"/>
      <c r="MCP48" s="37"/>
      <c r="MCQ48" s="37"/>
      <c r="MCR48" s="37"/>
      <c r="MCS48" s="37"/>
      <c r="MCT48" s="37"/>
      <c r="MCU48" s="37"/>
      <c r="MCV48" s="37"/>
      <c r="MCW48" s="37"/>
      <c r="MCX48" s="37"/>
      <c r="MCY48" s="37"/>
      <c r="MCZ48" s="37"/>
      <c r="MDA48" s="37"/>
      <c r="MDB48" s="37"/>
      <c r="MDC48" s="37"/>
      <c r="MDD48" s="37"/>
      <c r="MDE48" s="37"/>
      <c r="MDF48" s="37"/>
      <c r="MDG48" s="37"/>
      <c r="MDH48" s="37"/>
      <c r="MDI48" s="37"/>
      <c r="MDJ48" s="37"/>
      <c r="MDK48" s="37"/>
      <c r="MDL48" s="37"/>
      <c r="MDM48" s="37"/>
      <c r="MDN48" s="37"/>
      <c r="MDO48" s="37"/>
      <c r="MDP48" s="37"/>
      <c r="MDQ48" s="37"/>
      <c r="MDR48" s="37"/>
      <c r="MDS48" s="37"/>
      <c r="MDT48" s="37"/>
      <c r="MDU48" s="37"/>
      <c r="MDV48" s="37"/>
      <c r="MDW48" s="37"/>
      <c r="MDX48" s="37"/>
      <c r="MDY48" s="37"/>
      <c r="MDZ48" s="37"/>
      <c r="MEA48" s="37"/>
      <c r="MEB48" s="37"/>
      <c r="MEC48" s="37"/>
      <c r="MED48" s="37"/>
      <c r="MEE48" s="37"/>
      <c r="MEF48" s="37"/>
      <c r="MEG48" s="37"/>
      <c r="MEH48" s="37"/>
      <c r="MEI48" s="37"/>
      <c r="MEJ48" s="37"/>
      <c r="MEK48" s="37"/>
      <c r="MEL48" s="37"/>
      <c r="MEM48" s="37"/>
      <c r="MEN48" s="37"/>
      <c r="MEO48" s="37"/>
      <c r="MEP48" s="37"/>
      <c r="MEQ48" s="37"/>
      <c r="MER48" s="37"/>
      <c r="MES48" s="37"/>
      <c r="MET48" s="37"/>
      <c r="MEU48" s="37"/>
      <c r="MEV48" s="37"/>
      <c r="MEW48" s="37"/>
      <c r="MEX48" s="37"/>
      <c r="MEY48" s="37"/>
      <c r="MEZ48" s="37"/>
      <c r="MFA48" s="37"/>
      <c r="MFB48" s="37"/>
      <c r="MFC48" s="37"/>
      <c r="MFD48" s="37"/>
      <c r="MFE48" s="37"/>
      <c r="MFF48" s="37"/>
      <c r="MFG48" s="37"/>
      <c r="MFH48" s="37"/>
      <c r="MFI48" s="37"/>
      <c r="MFJ48" s="37"/>
      <c r="MFK48" s="37"/>
      <c r="MFL48" s="37"/>
      <c r="MFM48" s="37"/>
      <c r="MFN48" s="37"/>
      <c r="MFO48" s="37"/>
      <c r="MFP48" s="37"/>
      <c r="MFQ48" s="37"/>
      <c r="MFR48" s="37"/>
      <c r="MFS48" s="37"/>
      <c r="MFT48" s="37"/>
      <c r="MFU48" s="37"/>
      <c r="MFV48" s="37"/>
      <c r="MFW48" s="37"/>
      <c r="MFX48" s="37"/>
      <c r="MFY48" s="37"/>
      <c r="MFZ48" s="37"/>
      <c r="MGA48" s="37"/>
      <c r="MGB48" s="37"/>
      <c r="MGC48" s="37"/>
      <c r="MGD48" s="37"/>
      <c r="MGE48" s="37"/>
      <c r="MGF48" s="37"/>
      <c r="MGG48" s="37"/>
      <c r="MGH48" s="37"/>
      <c r="MGI48" s="37"/>
      <c r="MGJ48" s="37"/>
      <c r="MGK48" s="37"/>
      <c r="MGL48" s="37"/>
      <c r="MGM48" s="37"/>
      <c r="MGN48" s="37"/>
      <c r="MGO48" s="37"/>
      <c r="MGP48" s="37"/>
      <c r="MGQ48" s="37"/>
      <c r="MGR48" s="37"/>
      <c r="MGS48" s="37"/>
      <c r="MGT48" s="37"/>
      <c r="MGU48" s="37"/>
      <c r="MGV48" s="37"/>
      <c r="MGW48" s="37"/>
      <c r="MGX48" s="37"/>
      <c r="MGY48" s="37"/>
      <c r="MGZ48" s="37"/>
      <c r="MHA48" s="37"/>
      <c r="MHB48" s="37"/>
      <c r="MHC48" s="37"/>
      <c r="MHD48" s="37"/>
      <c r="MHE48" s="37"/>
      <c r="MHF48" s="37"/>
      <c r="MHG48" s="37"/>
      <c r="MHH48" s="37"/>
      <c r="MHI48" s="37"/>
      <c r="MHJ48" s="37"/>
      <c r="MHK48" s="37"/>
      <c r="MHL48" s="37"/>
      <c r="MHM48" s="37"/>
      <c r="MHN48" s="37"/>
      <c r="MHO48" s="37"/>
      <c r="MHP48" s="37"/>
      <c r="MHQ48" s="37"/>
      <c r="MHR48" s="37"/>
      <c r="MHS48" s="37"/>
      <c r="MHT48" s="37"/>
      <c r="MHU48" s="37"/>
      <c r="MHV48" s="37"/>
      <c r="MHW48" s="37"/>
      <c r="MHX48" s="37"/>
      <c r="MHY48" s="37"/>
      <c r="MHZ48" s="37"/>
      <c r="MIA48" s="37"/>
      <c r="MIB48" s="37"/>
      <c r="MIC48" s="37"/>
      <c r="MID48" s="37"/>
      <c r="MIE48" s="37"/>
      <c r="MIF48" s="37"/>
      <c r="MIG48" s="37"/>
      <c r="MIH48" s="37"/>
      <c r="MII48" s="37"/>
      <c r="MIJ48" s="37"/>
      <c r="MIK48" s="37"/>
      <c r="MIL48" s="37"/>
      <c r="MIM48" s="37"/>
      <c r="MIN48" s="37"/>
      <c r="MIO48" s="37"/>
      <c r="MIP48" s="37"/>
      <c r="MIQ48" s="37"/>
      <c r="MIR48" s="37"/>
      <c r="MIS48" s="37"/>
      <c r="MIT48" s="37"/>
      <c r="MIU48" s="37"/>
      <c r="MIV48" s="37"/>
      <c r="MIW48" s="37"/>
      <c r="MIX48" s="37"/>
      <c r="MIY48" s="37"/>
      <c r="MIZ48" s="37"/>
      <c r="MJA48" s="37"/>
      <c r="MJB48" s="37"/>
      <c r="MJC48" s="37"/>
      <c r="MJD48" s="37"/>
      <c r="MJE48" s="37"/>
      <c r="MJF48" s="37"/>
      <c r="MJG48" s="37"/>
      <c r="MJH48" s="37"/>
      <c r="MJI48" s="37"/>
      <c r="MJJ48" s="37"/>
      <c r="MJK48" s="37"/>
      <c r="MJL48" s="37"/>
      <c r="MJM48" s="37"/>
      <c r="MJN48" s="37"/>
      <c r="MJO48" s="37"/>
      <c r="MJP48" s="37"/>
      <c r="MJQ48" s="37"/>
      <c r="MJR48" s="37"/>
      <c r="MJS48" s="37"/>
      <c r="MJT48" s="37"/>
      <c r="MJU48" s="37"/>
      <c r="MJV48" s="37"/>
      <c r="MJW48" s="37"/>
      <c r="MJX48" s="37"/>
      <c r="MJY48" s="37"/>
      <c r="MJZ48" s="37"/>
      <c r="MKA48" s="37"/>
      <c r="MKB48" s="37"/>
      <c r="MKC48" s="37"/>
      <c r="MKD48" s="37"/>
      <c r="MKE48" s="37"/>
      <c r="MKF48" s="37"/>
      <c r="MKG48" s="37"/>
      <c r="MKH48" s="37"/>
      <c r="MKI48" s="37"/>
      <c r="MKJ48" s="37"/>
      <c r="MKK48" s="37"/>
      <c r="MKL48" s="37"/>
      <c r="MKM48" s="37"/>
      <c r="MKN48" s="37"/>
      <c r="MKO48" s="37"/>
      <c r="MKP48" s="37"/>
      <c r="MKQ48" s="37"/>
      <c r="MKR48" s="37"/>
      <c r="MKS48" s="37"/>
      <c r="MKT48" s="37"/>
      <c r="MKU48" s="37"/>
      <c r="MKV48" s="37"/>
      <c r="MKW48" s="37"/>
      <c r="MKX48" s="37"/>
      <c r="MKY48" s="37"/>
      <c r="MKZ48" s="37"/>
      <c r="MLA48" s="37"/>
      <c r="MLB48" s="37"/>
      <c r="MLC48" s="37"/>
      <c r="MLD48" s="37"/>
      <c r="MLE48" s="37"/>
      <c r="MLF48" s="37"/>
      <c r="MLG48" s="37"/>
      <c r="MLH48" s="37"/>
      <c r="MLI48" s="37"/>
      <c r="MLJ48" s="37"/>
      <c r="MLK48" s="37"/>
      <c r="MLL48" s="37"/>
      <c r="MLM48" s="37"/>
      <c r="MLN48" s="37"/>
      <c r="MLO48" s="37"/>
      <c r="MLP48" s="37"/>
      <c r="MLQ48" s="37"/>
      <c r="MLR48" s="37"/>
      <c r="MLS48" s="37"/>
      <c r="MLT48" s="37"/>
      <c r="MLU48" s="37"/>
      <c r="MLV48" s="37"/>
      <c r="MLW48" s="37"/>
      <c r="MLX48" s="37"/>
      <c r="MLY48" s="37"/>
      <c r="MLZ48" s="37"/>
      <c r="MMA48" s="37"/>
      <c r="MMB48" s="37"/>
      <c r="MMC48" s="37"/>
      <c r="MMD48" s="37"/>
      <c r="MME48" s="37"/>
      <c r="MMF48" s="37"/>
      <c r="MMG48" s="37"/>
      <c r="MMH48" s="37"/>
      <c r="MMI48" s="37"/>
      <c r="MMJ48" s="37"/>
      <c r="MMK48" s="37"/>
      <c r="MML48" s="37"/>
      <c r="MMM48" s="37"/>
      <c r="MMN48" s="37"/>
      <c r="MMO48" s="37"/>
      <c r="MMP48" s="37"/>
      <c r="MMQ48" s="37"/>
      <c r="MMR48" s="37"/>
      <c r="MMS48" s="37"/>
      <c r="MMT48" s="37"/>
      <c r="MMU48" s="37"/>
      <c r="MMV48" s="37"/>
      <c r="MMW48" s="37"/>
      <c r="MMX48" s="37"/>
      <c r="MMY48" s="37"/>
      <c r="MMZ48" s="37"/>
      <c r="MNA48" s="37"/>
      <c r="MNB48" s="37"/>
      <c r="MNC48" s="37"/>
      <c r="MND48" s="37"/>
      <c r="MNE48" s="37"/>
      <c r="MNF48" s="37"/>
      <c r="MNG48" s="37"/>
      <c r="MNH48" s="37"/>
      <c r="MNI48" s="37"/>
      <c r="MNJ48" s="37"/>
      <c r="MNK48" s="37"/>
      <c r="MNL48" s="37"/>
      <c r="MNM48" s="37"/>
      <c r="MNN48" s="37"/>
      <c r="MNO48" s="37"/>
      <c r="MNP48" s="37"/>
      <c r="MNQ48" s="37"/>
      <c r="MNR48" s="37"/>
      <c r="MNS48" s="37"/>
      <c r="MNT48" s="37"/>
      <c r="MNU48" s="37"/>
      <c r="MNV48" s="37"/>
      <c r="MNW48" s="37"/>
      <c r="MNX48" s="37"/>
      <c r="MNY48" s="37"/>
      <c r="MNZ48" s="37"/>
      <c r="MOA48" s="37"/>
      <c r="MOB48" s="37"/>
      <c r="MOC48" s="37"/>
      <c r="MOD48" s="37"/>
      <c r="MOE48" s="37"/>
      <c r="MOF48" s="37"/>
      <c r="MOG48" s="37"/>
      <c r="MOH48" s="37"/>
      <c r="MOI48" s="37"/>
      <c r="MOJ48" s="37"/>
      <c r="MOK48" s="37"/>
      <c r="MOL48" s="37"/>
      <c r="MOM48" s="37"/>
      <c r="MON48" s="37"/>
      <c r="MOO48" s="37"/>
      <c r="MOP48" s="37"/>
      <c r="MOQ48" s="37"/>
      <c r="MOR48" s="37"/>
      <c r="MOS48" s="37"/>
      <c r="MOT48" s="37"/>
      <c r="MOU48" s="37"/>
      <c r="MOV48" s="37"/>
      <c r="MOW48" s="37"/>
      <c r="MOX48" s="37"/>
      <c r="MOY48" s="37"/>
      <c r="MOZ48" s="37"/>
      <c r="MPA48" s="37"/>
      <c r="MPB48" s="37"/>
      <c r="MPC48" s="37"/>
      <c r="MPD48" s="37"/>
      <c r="MPE48" s="37"/>
      <c r="MPF48" s="37"/>
      <c r="MPG48" s="37"/>
      <c r="MPH48" s="37"/>
      <c r="MPI48" s="37"/>
      <c r="MPJ48" s="37"/>
      <c r="MPK48" s="37"/>
      <c r="MPL48" s="37"/>
      <c r="MPM48" s="37"/>
      <c r="MPN48" s="37"/>
      <c r="MPO48" s="37"/>
      <c r="MPP48" s="37"/>
      <c r="MPQ48" s="37"/>
      <c r="MPR48" s="37"/>
      <c r="MPS48" s="37"/>
      <c r="MPT48" s="37"/>
      <c r="MPU48" s="37"/>
      <c r="MPV48" s="37"/>
      <c r="MPW48" s="37"/>
      <c r="MPX48" s="37"/>
      <c r="MPY48" s="37"/>
      <c r="MPZ48" s="37"/>
      <c r="MQA48" s="37"/>
      <c r="MQB48" s="37"/>
      <c r="MQC48" s="37"/>
      <c r="MQD48" s="37"/>
      <c r="MQE48" s="37"/>
      <c r="MQF48" s="37"/>
      <c r="MQG48" s="37"/>
      <c r="MQH48" s="37"/>
      <c r="MQI48" s="37"/>
      <c r="MQJ48" s="37"/>
      <c r="MQK48" s="37"/>
      <c r="MQL48" s="37"/>
      <c r="MQM48" s="37"/>
      <c r="MQN48" s="37"/>
      <c r="MQO48" s="37"/>
      <c r="MQP48" s="37"/>
      <c r="MQQ48" s="37"/>
      <c r="MQR48" s="37"/>
      <c r="MQS48" s="37"/>
      <c r="MQT48" s="37"/>
      <c r="MQU48" s="37"/>
      <c r="MQV48" s="37"/>
      <c r="MQW48" s="37"/>
      <c r="MQX48" s="37"/>
      <c r="MQY48" s="37"/>
      <c r="MQZ48" s="37"/>
      <c r="MRA48" s="37"/>
      <c r="MRB48" s="37"/>
      <c r="MRC48" s="37"/>
      <c r="MRD48" s="37"/>
      <c r="MRE48" s="37"/>
      <c r="MRF48" s="37"/>
      <c r="MRG48" s="37"/>
      <c r="MRH48" s="37"/>
      <c r="MRI48" s="37"/>
      <c r="MRJ48" s="37"/>
      <c r="MRK48" s="37"/>
      <c r="MRL48" s="37"/>
      <c r="MRM48" s="37"/>
      <c r="MRN48" s="37"/>
      <c r="MRO48" s="37"/>
      <c r="MRP48" s="37"/>
      <c r="MRQ48" s="37"/>
      <c r="MRR48" s="37"/>
      <c r="MRS48" s="37"/>
      <c r="MRT48" s="37"/>
      <c r="MRU48" s="37"/>
      <c r="MRV48" s="37"/>
      <c r="MRW48" s="37"/>
      <c r="MRX48" s="37"/>
      <c r="MRY48" s="37"/>
      <c r="MRZ48" s="37"/>
      <c r="MSA48" s="37"/>
      <c r="MSB48" s="37"/>
      <c r="MSC48" s="37"/>
      <c r="MSD48" s="37"/>
      <c r="MSE48" s="37"/>
      <c r="MSF48" s="37"/>
      <c r="MSG48" s="37"/>
      <c r="MSH48" s="37"/>
      <c r="MSI48" s="37"/>
      <c r="MSJ48" s="37"/>
      <c r="MSK48" s="37"/>
      <c r="MSL48" s="37"/>
      <c r="MSM48" s="37"/>
      <c r="MSN48" s="37"/>
      <c r="MSO48" s="37"/>
      <c r="MSP48" s="37"/>
      <c r="MSQ48" s="37"/>
      <c r="MSR48" s="37"/>
      <c r="MSS48" s="37"/>
      <c r="MST48" s="37"/>
      <c r="MSU48" s="37"/>
      <c r="MSV48" s="37"/>
      <c r="MSW48" s="37"/>
      <c r="MSX48" s="37"/>
      <c r="MSY48" s="37"/>
      <c r="MSZ48" s="37"/>
      <c r="MTA48" s="37"/>
      <c r="MTB48" s="37"/>
      <c r="MTC48" s="37"/>
      <c r="MTD48" s="37"/>
      <c r="MTE48" s="37"/>
      <c r="MTF48" s="37"/>
      <c r="MTG48" s="37"/>
      <c r="MTH48" s="37"/>
      <c r="MTI48" s="37"/>
      <c r="MTJ48" s="37"/>
      <c r="MTK48" s="37"/>
      <c r="MTL48" s="37"/>
      <c r="MTM48" s="37"/>
      <c r="MTN48" s="37"/>
      <c r="MTO48" s="37"/>
      <c r="MTP48" s="37"/>
      <c r="MTQ48" s="37"/>
      <c r="MTR48" s="37"/>
      <c r="MTS48" s="37"/>
      <c r="MTT48" s="37"/>
      <c r="MTU48" s="37"/>
      <c r="MTV48" s="37"/>
      <c r="MTW48" s="37"/>
      <c r="MTX48" s="37"/>
      <c r="MTY48" s="37"/>
      <c r="MTZ48" s="37"/>
      <c r="MUA48" s="37"/>
      <c r="MUB48" s="37"/>
      <c r="MUC48" s="37"/>
      <c r="MUD48" s="37"/>
      <c r="MUE48" s="37"/>
      <c r="MUF48" s="37"/>
      <c r="MUG48" s="37"/>
      <c r="MUH48" s="37"/>
      <c r="MUI48" s="37"/>
      <c r="MUJ48" s="37"/>
      <c r="MUK48" s="37"/>
      <c r="MUL48" s="37"/>
      <c r="MUM48" s="37"/>
      <c r="MUN48" s="37"/>
      <c r="MUO48" s="37"/>
      <c r="MUP48" s="37"/>
      <c r="MUQ48" s="37"/>
      <c r="MUR48" s="37"/>
      <c r="MUS48" s="37"/>
      <c r="MUT48" s="37"/>
      <c r="MUU48" s="37"/>
      <c r="MUV48" s="37"/>
      <c r="MUW48" s="37"/>
      <c r="MUX48" s="37"/>
      <c r="MUY48" s="37"/>
      <c r="MUZ48" s="37"/>
      <c r="MVA48" s="37"/>
      <c r="MVB48" s="37"/>
      <c r="MVC48" s="37"/>
      <c r="MVD48" s="37"/>
      <c r="MVE48" s="37"/>
      <c r="MVF48" s="37"/>
      <c r="MVG48" s="37"/>
      <c r="MVH48" s="37"/>
      <c r="MVI48" s="37"/>
      <c r="MVJ48" s="37"/>
      <c r="MVK48" s="37"/>
      <c r="MVL48" s="37"/>
      <c r="MVM48" s="37"/>
      <c r="MVN48" s="37"/>
      <c r="MVO48" s="37"/>
      <c r="MVP48" s="37"/>
      <c r="MVQ48" s="37"/>
      <c r="MVR48" s="37"/>
      <c r="MVS48" s="37"/>
      <c r="MVT48" s="37"/>
      <c r="MVU48" s="37"/>
      <c r="MVV48" s="37"/>
      <c r="MVW48" s="37"/>
      <c r="MVX48" s="37"/>
      <c r="MVY48" s="37"/>
      <c r="MVZ48" s="37"/>
      <c r="MWA48" s="37"/>
      <c r="MWB48" s="37"/>
      <c r="MWC48" s="37"/>
      <c r="MWD48" s="37"/>
      <c r="MWE48" s="37"/>
      <c r="MWF48" s="37"/>
      <c r="MWG48" s="37"/>
      <c r="MWH48" s="37"/>
      <c r="MWI48" s="37"/>
      <c r="MWJ48" s="37"/>
      <c r="MWK48" s="37"/>
      <c r="MWL48" s="37"/>
      <c r="MWM48" s="37"/>
      <c r="MWN48" s="37"/>
      <c r="MWO48" s="37"/>
      <c r="MWP48" s="37"/>
      <c r="MWQ48" s="37"/>
      <c r="MWR48" s="37"/>
      <c r="MWS48" s="37"/>
      <c r="MWT48" s="37"/>
      <c r="MWU48" s="37"/>
      <c r="MWV48" s="37"/>
      <c r="MWW48" s="37"/>
      <c r="MWX48" s="37"/>
      <c r="MWY48" s="37"/>
      <c r="MWZ48" s="37"/>
      <c r="MXA48" s="37"/>
      <c r="MXB48" s="37"/>
      <c r="MXC48" s="37"/>
      <c r="MXD48" s="37"/>
      <c r="MXE48" s="37"/>
      <c r="MXF48" s="37"/>
      <c r="MXG48" s="37"/>
      <c r="MXH48" s="37"/>
      <c r="MXI48" s="37"/>
      <c r="MXJ48" s="37"/>
      <c r="MXK48" s="37"/>
      <c r="MXL48" s="37"/>
      <c r="MXM48" s="37"/>
      <c r="MXN48" s="37"/>
      <c r="MXO48" s="37"/>
      <c r="MXP48" s="37"/>
      <c r="MXQ48" s="37"/>
      <c r="MXR48" s="37"/>
      <c r="MXS48" s="37"/>
      <c r="MXT48" s="37"/>
      <c r="MXU48" s="37"/>
      <c r="MXV48" s="37"/>
      <c r="MXW48" s="37"/>
      <c r="MXX48" s="37"/>
      <c r="MXY48" s="37"/>
      <c r="MXZ48" s="37"/>
      <c r="MYA48" s="37"/>
      <c r="MYB48" s="37"/>
      <c r="MYC48" s="37"/>
      <c r="MYD48" s="37"/>
      <c r="MYE48" s="37"/>
      <c r="MYF48" s="37"/>
      <c r="MYG48" s="37"/>
      <c r="MYH48" s="37"/>
      <c r="MYI48" s="37"/>
      <c r="MYJ48" s="37"/>
      <c r="MYK48" s="37"/>
      <c r="MYL48" s="37"/>
      <c r="MYM48" s="37"/>
      <c r="MYN48" s="37"/>
      <c r="MYO48" s="37"/>
      <c r="MYP48" s="37"/>
      <c r="MYQ48" s="37"/>
      <c r="MYR48" s="37"/>
      <c r="MYS48" s="37"/>
      <c r="MYT48" s="37"/>
      <c r="MYU48" s="37"/>
      <c r="MYV48" s="37"/>
      <c r="MYW48" s="37"/>
      <c r="MYX48" s="37"/>
      <c r="MYY48" s="37"/>
      <c r="MYZ48" s="37"/>
      <c r="MZA48" s="37"/>
      <c r="MZB48" s="37"/>
      <c r="MZC48" s="37"/>
      <c r="MZD48" s="37"/>
      <c r="MZE48" s="37"/>
      <c r="MZF48" s="37"/>
      <c r="MZG48" s="37"/>
      <c r="MZH48" s="37"/>
      <c r="MZI48" s="37"/>
      <c r="MZJ48" s="37"/>
      <c r="MZK48" s="37"/>
      <c r="MZL48" s="37"/>
      <c r="MZM48" s="37"/>
      <c r="MZN48" s="37"/>
      <c r="MZO48" s="37"/>
      <c r="MZP48" s="37"/>
      <c r="MZQ48" s="37"/>
      <c r="MZR48" s="37"/>
      <c r="MZS48" s="37"/>
      <c r="MZT48" s="37"/>
      <c r="MZU48" s="37"/>
      <c r="MZV48" s="37"/>
      <c r="MZW48" s="37"/>
      <c r="MZX48" s="37"/>
      <c r="MZY48" s="37"/>
      <c r="MZZ48" s="37"/>
      <c r="NAA48" s="37"/>
      <c r="NAB48" s="37"/>
      <c r="NAC48" s="37"/>
      <c r="NAD48" s="37"/>
      <c r="NAE48" s="37"/>
      <c r="NAF48" s="37"/>
      <c r="NAG48" s="37"/>
      <c r="NAH48" s="37"/>
      <c r="NAI48" s="37"/>
      <c r="NAJ48" s="37"/>
      <c r="NAK48" s="37"/>
      <c r="NAL48" s="37"/>
      <c r="NAM48" s="37"/>
      <c r="NAN48" s="37"/>
      <c r="NAO48" s="37"/>
      <c r="NAP48" s="37"/>
      <c r="NAQ48" s="37"/>
      <c r="NAR48" s="37"/>
      <c r="NAS48" s="37"/>
      <c r="NAT48" s="37"/>
      <c r="NAU48" s="37"/>
      <c r="NAV48" s="37"/>
      <c r="NAW48" s="37"/>
      <c r="NAX48" s="37"/>
      <c r="NAY48" s="37"/>
      <c r="NAZ48" s="37"/>
      <c r="NBA48" s="37"/>
      <c r="NBB48" s="37"/>
      <c r="NBC48" s="37"/>
      <c r="NBD48" s="37"/>
      <c r="NBE48" s="37"/>
      <c r="NBF48" s="37"/>
      <c r="NBG48" s="37"/>
      <c r="NBH48" s="37"/>
      <c r="NBI48" s="37"/>
      <c r="NBJ48" s="37"/>
      <c r="NBK48" s="37"/>
      <c r="NBL48" s="37"/>
      <c r="NBM48" s="37"/>
      <c r="NBN48" s="37"/>
      <c r="NBO48" s="37"/>
      <c r="NBP48" s="37"/>
      <c r="NBQ48" s="37"/>
      <c r="NBR48" s="37"/>
      <c r="NBS48" s="37"/>
      <c r="NBT48" s="37"/>
      <c r="NBU48" s="37"/>
      <c r="NBV48" s="37"/>
      <c r="NBW48" s="37"/>
      <c r="NBX48" s="37"/>
      <c r="NBY48" s="37"/>
      <c r="NBZ48" s="37"/>
      <c r="NCA48" s="37"/>
      <c r="NCB48" s="37"/>
      <c r="NCC48" s="37"/>
      <c r="NCD48" s="37"/>
      <c r="NCE48" s="37"/>
      <c r="NCF48" s="37"/>
      <c r="NCG48" s="37"/>
      <c r="NCH48" s="37"/>
      <c r="NCI48" s="37"/>
      <c r="NCJ48" s="37"/>
      <c r="NCK48" s="37"/>
      <c r="NCL48" s="37"/>
      <c r="NCM48" s="37"/>
      <c r="NCN48" s="37"/>
      <c r="NCO48" s="37"/>
      <c r="NCP48" s="37"/>
      <c r="NCQ48" s="37"/>
      <c r="NCR48" s="37"/>
      <c r="NCS48" s="37"/>
      <c r="NCT48" s="37"/>
      <c r="NCU48" s="37"/>
      <c r="NCV48" s="37"/>
      <c r="NCW48" s="37"/>
      <c r="NCX48" s="37"/>
      <c r="NCY48" s="37"/>
      <c r="NCZ48" s="37"/>
      <c r="NDA48" s="37"/>
      <c r="NDB48" s="37"/>
      <c r="NDC48" s="37"/>
      <c r="NDD48" s="37"/>
      <c r="NDE48" s="37"/>
      <c r="NDF48" s="37"/>
      <c r="NDG48" s="37"/>
      <c r="NDH48" s="37"/>
      <c r="NDI48" s="37"/>
      <c r="NDJ48" s="37"/>
      <c r="NDK48" s="37"/>
      <c r="NDL48" s="37"/>
      <c r="NDM48" s="37"/>
      <c r="NDN48" s="37"/>
      <c r="NDO48" s="37"/>
      <c r="NDP48" s="37"/>
      <c r="NDQ48" s="37"/>
      <c r="NDR48" s="37"/>
      <c r="NDS48" s="37"/>
      <c r="NDT48" s="37"/>
      <c r="NDU48" s="37"/>
      <c r="NDV48" s="37"/>
      <c r="NDW48" s="37"/>
      <c r="NDX48" s="37"/>
      <c r="NDY48" s="37"/>
      <c r="NDZ48" s="37"/>
      <c r="NEA48" s="37"/>
      <c r="NEB48" s="37"/>
      <c r="NEC48" s="37"/>
      <c r="NED48" s="37"/>
      <c r="NEE48" s="37"/>
      <c r="NEF48" s="37"/>
      <c r="NEG48" s="37"/>
      <c r="NEH48" s="37"/>
      <c r="NEI48" s="37"/>
      <c r="NEJ48" s="37"/>
      <c r="NEK48" s="37"/>
      <c r="NEL48" s="37"/>
      <c r="NEM48" s="37"/>
      <c r="NEN48" s="37"/>
      <c r="NEO48" s="37"/>
      <c r="NEP48" s="37"/>
      <c r="NEQ48" s="37"/>
      <c r="NER48" s="37"/>
      <c r="NES48" s="37"/>
      <c r="NET48" s="37"/>
      <c r="NEU48" s="37"/>
      <c r="NEV48" s="37"/>
      <c r="NEW48" s="37"/>
      <c r="NEX48" s="37"/>
      <c r="NEY48" s="37"/>
      <c r="NEZ48" s="37"/>
      <c r="NFA48" s="37"/>
      <c r="NFB48" s="37"/>
      <c r="NFC48" s="37"/>
      <c r="NFD48" s="37"/>
      <c r="NFE48" s="37"/>
      <c r="NFF48" s="37"/>
      <c r="NFG48" s="37"/>
      <c r="NFH48" s="37"/>
      <c r="NFI48" s="37"/>
      <c r="NFJ48" s="37"/>
      <c r="NFK48" s="37"/>
      <c r="NFL48" s="37"/>
      <c r="NFM48" s="37"/>
      <c r="NFN48" s="37"/>
      <c r="NFO48" s="37"/>
      <c r="NFP48" s="37"/>
      <c r="NFQ48" s="37"/>
      <c r="NFR48" s="37"/>
      <c r="NFS48" s="37"/>
      <c r="NFT48" s="37"/>
      <c r="NFU48" s="37"/>
      <c r="NFV48" s="37"/>
      <c r="NFW48" s="37"/>
      <c r="NFX48" s="37"/>
      <c r="NFY48" s="37"/>
      <c r="NFZ48" s="37"/>
      <c r="NGA48" s="37"/>
      <c r="NGB48" s="37"/>
      <c r="NGC48" s="37"/>
      <c r="NGD48" s="37"/>
      <c r="NGE48" s="37"/>
      <c r="NGF48" s="37"/>
      <c r="NGG48" s="37"/>
      <c r="NGH48" s="37"/>
      <c r="NGI48" s="37"/>
      <c r="NGJ48" s="37"/>
      <c r="NGK48" s="37"/>
      <c r="NGL48" s="37"/>
      <c r="NGM48" s="37"/>
      <c r="NGN48" s="37"/>
      <c r="NGO48" s="37"/>
      <c r="NGP48" s="37"/>
      <c r="NGQ48" s="37"/>
      <c r="NGR48" s="37"/>
      <c r="NGS48" s="37"/>
      <c r="NGT48" s="37"/>
      <c r="NGU48" s="37"/>
      <c r="NGV48" s="37"/>
      <c r="NGW48" s="37"/>
      <c r="NGX48" s="37"/>
      <c r="NGY48" s="37"/>
      <c r="NGZ48" s="37"/>
      <c r="NHA48" s="37"/>
      <c r="NHB48" s="37"/>
      <c r="NHC48" s="37"/>
      <c r="NHD48" s="37"/>
      <c r="NHE48" s="37"/>
      <c r="NHF48" s="37"/>
      <c r="NHG48" s="37"/>
      <c r="NHH48" s="37"/>
      <c r="NHI48" s="37"/>
      <c r="NHJ48" s="37"/>
      <c r="NHK48" s="37"/>
      <c r="NHL48" s="37"/>
      <c r="NHM48" s="37"/>
      <c r="NHN48" s="37"/>
      <c r="NHO48" s="37"/>
      <c r="NHP48" s="37"/>
      <c r="NHQ48" s="37"/>
      <c r="NHR48" s="37"/>
      <c r="NHS48" s="37"/>
      <c r="NHT48" s="37"/>
      <c r="NHU48" s="37"/>
      <c r="NHV48" s="37"/>
      <c r="NHW48" s="37"/>
      <c r="NHX48" s="37"/>
      <c r="NHY48" s="37"/>
      <c r="NHZ48" s="37"/>
      <c r="NIA48" s="37"/>
      <c r="NIB48" s="37"/>
      <c r="NIC48" s="37"/>
      <c r="NID48" s="37"/>
      <c r="NIE48" s="37"/>
      <c r="NIF48" s="37"/>
      <c r="NIG48" s="37"/>
      <c r="NIH48" s="37"/>
      <c r="NII48" s="37"/>
      <c r="NIJ48" s="37"/>
      <c r="NIK48" s="37"/>
      <c r="NIL48" s="37"/>
      <c r="NIM48" s="37"/>
      <c r="NIN48" s="37"/>
      <c r="NIO48" s="37"/>
      <c r="NIP48" s="37"/>
      <c r="NIQ48" s="37"/>
      <c r="NIR48" s="37"/>
      <c r="NIS48" s="37"/>
      <c r="NIT48" s="37"/>
      <c r="NIU48" s="37"/>
      <c r="NIV48" s="37"/>
      <c r="NIW48" s="37"/>
      <c r="NIX48" s="37"/>
      <c r="NIY48" s="37"/>
      <c r="NIZ48" s="37"/>
      <c r="NJA48" s="37"/>
      <c r="NJB48" s="37"/>
      <c r="NJC48" s="37"/>
      <c r="NJD48" s="37"/>
      <c r="NJE48" s="37"/>
      <c r="NJF48" s="37"/>
      <c r="NJG48" s="37"/>
      <c r="NJH48" s="37"/>
      <c r="NJI48" s="37"/>
      <c r="NJJ48" s="37"/>
      <c r="NJK48" s="37"/>
      <c r="NJL48" s="37"/>
      <c r="NJM48" s="37"/>
      <c r="NJN48" s="37"/>
      <c r="NJO48" s="37"/>
      <c r="NJP48" s="37"/>
      <c r="NJQ48" s="37"/>
      <c r="NJR48" s="37"/>
      <c r="NJS48" s="37"/>
      <c r="NJT48" s="37"/>
      <c r="NJU48" s="37"/>
      <c r="NJV48" s="37"/>
      <c r="NJW48" s="37"/>
      <c r="NJX48" s="37"/>
      <c r="NJY48" s="37"/>
      <c r="NJZ48" s="37"/>
      <c r="NKA48" s="37"/>
      <c r="NKB48" s="37"/>
      <c r="NKC48" s="37"/>
      <c r="NKD48" s="37"/>
      <c r="NKE48" s="37"/>
      <c r="NKF48" s="37"/>
      <c r="NKG48" s="37"/>
      <c r="NKH48" s="37"/>
      <c r="NKI48" s="37"/>
      <c r="NKJ48" s="37"/>
      <c r="NKK48" s="37"/>
      <c r="NKL48" s="37"/>
      <c r="NKM48" s="37"/>
      <c r="NKN48" s="37"/>
      <c r="NKO48" s="37"/>
      <c r="NKP48" s="37"/>
      <c r="NKQ48" s="37"/>
      <c r="NKR48" s="37"/>
      <c r="NKS48" s="37"/>
      <c r="NKT48" s="37"/>
      <c r="NKU48" s="37"/>
      <c r="NKV48" s="37"/>
      <c r="NKW48" s="37"/>
      <c r="NKX48" s="37"/>
      <c r="NKY48" s="37"/>
      <c r="NKZ48" s="37"/>
      <c r="NLA48" s="37"/>
      <c r="NLB48" s="37"/>
      <c r="NLC48" s="37"/>
      <c r="NLD48" s="37"/>
      <c r="NLE48" s="37"/>
      <c r="NLF48" s="37"/>
      <c r="NLG48" s="37"/>
      <c r="NLH48" s="37"/>
      <c r="NLI48" s="37"/>
      <c r="NLJ48" s="37"/>
      <c r="NLK48" s="37"/>
      <c r="NLL48" s="37"/>
      <c r="NLM48" s="37"/>
      <c r="NLN48" s="37"/>
      <c r="NLO48" s="37"/>
      <c r="NLP48" s="37"/>
      <c r="NLQ48" s="37"/>
      <c r="NLR48" s="37"/>
      <c r="NLS48" s="37"/>
      <c r="NLT48" s="37"/>
      <c r="NLU48" s="37"/>
      <c r="NLV48" s="37"/>
      <c r="NLW48" s="37"/>
      <c r="NLX48" s="37"/>
      <c r="NLY48" s="37"/>
      <c r="NLZ48" s="37"/>
      <c r="NMA48" s="37"/>
      <c r="NMB48" s="37"/>
      <c r="NMC48" s="37"/>
      <c r="NMD48" s="37"/>
      <c r="NME48" s="37"/>
      <c r="NMF48" s="37"/>
      <c r="NMG48" s="37"/>
      <c r="NMH48" s="37"/>
      <c r="NMI48" s="37"/>
      <c r="NMJ48" s="37"/>
      <c r="NMK48" s="37"/>
      <c r="NML48" s="37"/>
      <c r="NMM48" s="37"/>
      <c r="NMN48" s="37"/>
      <c r="NMO48" s="37"/>
      <c r="NMP48" s="37"/>
      <c r="NMQ48" s="37"/>
      <c r="NMR48" s="37"/>
      <c r="NMS48" s="37"/>
      <c r="NMT48" s="37"/>
      <c r="NMU48" s="37"/>
      <c r="NMV48" s="37"/>
      <c r="NMW48" s="37"/>
      <c r="NMX48" s="37"/>
      <c r="NMY48" s="37"/>
      <c r="NMZ48" s="37"/>
      <c r="NNA48" s="37"/>
      <c r="NNB48" s="37"/>
      <c r="NNC48" s="37"/>
      <c r="NND48" s="37"/>
      <c r="NNE48" s="37"/>
      <c r="NNF48" s="37"/>
      <c r="NNG48" s="37"/>
      <c r="NNH48" s="37"/>
      <c r="NNI48" s="37"/>
      <c r="NNJ48" s="37"/>
      <c r="NNK48" s="37"/>
      <c r="NNL48" s="37"/>
      <c r="NNM48" s="37"/>
      <c r="NNN48" s="37"/>
      <c r="NNO48" s="37"/>
      <c r="NNP48" s="37"/>
      <c r="NNQ48" s="37"/>
      <c r="NNR48" s="37"/>
      <c r="NNS48" s="37"/>
      <c r="NNT48" s="37"/>
      <c r="NNU48" s="37"/>
      <c r="NNV48" s="37"/>
      <c r="NNW48" s="37"/>
      <c r="NNX48" s="37"/>
      <c r="NNY48" s="37"/>
      <c r="NNZ48" s="37"/>
      <c r="NOA48" s="37"/>
      <c r="NOB48" s="37"/>
      <c r="NOC48" s="37"/>
      <c r="NOD48" s="37"/>
      <c r="NOE48" s="37"/>
      <c r="NOF48" s="37"/>
      <c r="NOG48" s="37"/>
      <c r="NOH48" s="37"/>
      <c r="NOI48" s="37"/>
      <c r="NOJ48" s="37"/>
      <c r="NOK48" s="37"/>
      <c r="NOL48" s="37"/>
      <c r="NOM48" s="37"/>
      <c r="NON48" s="37"/>
      <c r="NOO48" s="37"/>
      <c r="NOP48" s="37"/>
      <c r="NOQ48" s="37"/>
      <c r="NOR48" s="37"/>
      <c r="NOS48" s="37"/>
      <c r="NOT48" s="37"/>
      <c r="NOU48" s="37"/>
      <c r="NOV48" s="37"/>
      <c r="NOW48" s="37"/>
      <c r="NOX48" s="37"/>
      <c r="NOY48" s="37"/>
      <c r="NOZ48" s="37"/>
      <c r="NPA48" s="37"/>
      <c r="NPB48" s="37"/>
      <c r="NPC48" s="37"/>
      <c r="NPD48" s="37"/>
      <c r="NPE48" s="37"/>
      <c r="NPF48" s="37"/>
      <c r="NPG48" s="37"/>
      <c r="NPH48" s="37"/>
      <c r="NPI48" s="37"/>
      <c r="NPJ48" s="37"/>
      <c r="NPK48" s="37"/>
      <c r="NPL48" s="37"/>
      <c r="NPM48" s="37"/>
      <c r="NPN48" s="37"/>
      <c r="NPO48" s="37"/>
      <c r="NPP48" s="37"/>
      <c r="NPQ48" s="37"/>
      <c r="NPR48" s="37"/>
      <c r="NPS48" s="37"/>
      <c r="NPT48" s="37"/>
      <c r="NPU48" s="37"/>
      <c r="NPV48" s="37"/>
      <c r="NPW48" s="37"/>
      <c r="NPX48" s="37"/>
      <c r="NPY48" s="37"/>
      <c r="NPZ48" s="37"/>
      <c r="NQA48" s="37"/>
      <c r="NQB48" s="37"/>
      <c r="NQC48" s="37"/>
      <c r="NQD48" s="37"/>
      <c r="NQE48" s="37"/>
      <c r="NQF48" s="37"/>
      <c r="NQG48" s="37"/>
      <c r="NQH48" s="37"/>
      <c r="NQI48" s="37"/>
      <c r="NQJ48" s="37"/>
      <c r="NQK48" s="37"/>
      <c r="NQL48" s="37"/>
      <c r="NQM48" s="37"/>
      <c r="NQN48" s="37"/>
      <c r="NQO48" s="37"/>
      <c r="NQP48" s="37"/>
      <c r="NQQ48" s="37"/>
      <c r="NQR48" s="37"/>
      <c r="NQS48" s="37"/>
      <c r="NQT48" s="37"/>
      <c r="NQU48" s="37"/>
      <c r="NQV48" s="37"/>
      <c r="NQW48" s="37"/>
      <c r="NQX48" s="37"/>
      <c r="NQY48" s="37"/>
      <c r="NQZ48" s="37"/>
      <c r="NRA48" s="37"/>
      <c r="NRB48" s="37"/>
      <c r="NRC48" s="37"/>
      <c r="NRD48" s="37"/>
      <c r="NRE48" s="37"/>
      <c r="NRF48" s="37"/>
      <c r="NRG48" s="37"/>
      <c r="NRH48" s="37"/>
      <c r="NRI48" s="37"/>
      <c r="NRJ48" s="37"/>
      <c r="NRK48" s="37"/>
      <c r="NRL48" s="37"/>
      <c r="NRM48" s="37"/>
      <c r="NRN48" s="37"/>
      <c r="NRO48" s="37"/>
      <c r="NRP48" s="37"/>
      <c r="NRQ48" s="37"/>
      <c r="NRR48" s="37"/>
      <c r="NRS48" s="37"/>
      <c r="NRT48" s="37"/>
      <c r="NRU48" s="37"/>
      <c r="NRV48" s="37"/>
      <c r="NRW48" s="37"/>
      <c r="NRX48" s="37"/>
      <c r="NRY48" s="37"/>
      <c r="NRZ48" s="37"/>
      <c r="NSA48" s="37"/>
      <c r="NSB48" s="37"/>
      <c r="NSC48" s="37"/>
      <c r="NSD48" s="37"/>
      <c r="NSE48" s="37"/>
      <c r="NSF48" s="37"/>
      <c r="NSG48" s="37"/>
      <c r="NSH48" s="37"/>
      <c r="NSI48" s="37"/>
      <c r="NSJ48" s="37"/>
      <c r="NSK48" s="37"/>
      <c r="NSL48" s="37"/>
      <c r="NSM48" s="37"/>
      <c r="NSN48" s="37"/>
      <c r="NSO48" s="37"/>
      <c r="NSP48" s="37"/>
      <c r="NSQ48" s="37"/>
      <c r="NSR48" s="37"/>
      <c r="NSS48" s="37"/>
      <c r="NST48" s="37"/>
      <c r="NSU48" s="37"/>
      <c r="NSV48" s="37"/>
      <c r="NSW48" s="37"/>
      <c r="NSX48" s="37"/>
      <c r="NSY48" s="37"/>
      <c r="NSZ48" s="37"/>
      <c r="NTA48" s="37"/>
      <c r="NTB48" s="37"/>
      <c r="NTC48" s="37"/>
      <c r="NTD48" s="37"/>
      <c r="NTE48" s="37"/>
      <c r="NTF48" s="37"/>
      <c r="NTG48" s="37"/>
      <c r="NTH48" s="37"/>
      <c r="NTI48" s="37"/>
      <c r="NTJ48" s="37"/>
      <c r="NTK48" s="37"/>
      <c r="NTL48" s="37"/>
      <c r="NTM48" s="37"/>
      <c r="NTN48" s="37"/>
      <c r="NTO48" s="37"/>
      <c r="NTP48" s="37"/>
      <c r="NTQ48" s="37"/>
      <c r="NTR48" s="37"/>
      <c r="NTS48" s="37"/>
      <c r="NTT48" s="37"/>
      <c r="NTU48" s="37"/>
      <c r="NTV48" s="37"/>
      <c r="NTW48" s="37"/>
      <c r="NTX48" s="37"/>
      <c r="NTY48" s="37"/>
      <c r="NTZ48" s="37"/>
      <c r="NUA48" s="37"/>
      <c r="NUB48" s="37"/>
      <c r="NUC48" s="37"/>
      <c r="NUD48" s="37"/>
      <c r="NUE48" s="37"/>
      <c r="NUF48" s="37"/>
      <c r="NUG48" s="37"/>
      <c r="NUH48" s="37"/>
      <c r="NUI48" s="37"/>
      <c r="NUJ48" s="37"/>
      <c r="NUK48" s="37"/>
      <c r="NUL48" s="37"/>
      <c r="NUM48" s="37"/>
      <c r="NUN48" s="37"/>
      <c r="NUO48" s="37"/>
      <c r="NUP48" s="37"/>
      <c r="NUQ48" s="37"/>
      <c r="NUR48" s="37"/>
      <c r="NUS48" s="37"/>
      <c r="NUT48" s="37"/>
      <c r="NUU48" s="37"/>
      <c r="NUV48" s="37"/>
      <c r="NUW48" s="37"/>
      <c r="NUX48" s="37"/>
      <c r="NUY48" s="37"/>
      <c r="NUZ48" s="37"/>
      <c r="NVA48" s="37"/>
      <c r="NVB48" s="37"/>
      <c r="NVC48" s="37"/>
      <c r="NVD48" s="37"/>
      <c r="NVE48" s="37"/>
      <c r="NVF48" s="37"/>
      <c r="NVG48" s="37"/>
      <c r="NVH48" s="37"/>
      <c r="NVI48" s="37"/>
      <c r="NVJ48" s="37"/>
      <c r="NVK48" s="37"/>
      <c r="NVL48" s="37"/>
      <c r="NVM48" s="37"/>
      <c r="NVN48" s="37"/>
      <c r="NVO48" s="37"/>
      <c r="NVP48" s="37"/>
      <c r="NVQ48" s="37"/>
      <c r="NVR48" s="37"/>
      <c r="NVS48" s="37"/>
      <c r="NVT48" s="37"/>
      <c r="NVU48" s="37"/>
      <c r="NVV48" s="37"/>
      <c r="NVW48" s="37"/>
      <c r="NVX48" s="37"/>
      <c r="NVY48" s="37"/>
      <c r="NVZ48" s="37"/>
      <c r="NWA48" s="37"/>
      <c r="NWB48" s="37"/>
      <c r="NWC48" s="37"/>
      <c r="NWD48" s="37"/>
      <c r="NWE48" s="37"/>
      <c r="NWF48" s="37"/>
      <c r="NWG48" s="37"/>
      <c r="NWH48" s="37"/>
      <c r="NWI48" s="37"/>
      <c r="NWJ48" s="37"/>
      <c r="NWK48" s="37"/>
      <c r="NWL48" s="37"/>
      <c r="NWM48" s="37"/>
      <c r="NWN48" s="37"/>
      <c r="NWO48" s="37"/>
      <c r="NWP48" s="37"/>
      <c r="NWQ48" s="37"/>
      <c r="NWR48" s="37"/>
      <c r="NWS48" s="37"/>
      <c r="NWT48" s="37"/>
      <c r="NWU48" s="37"/>
      <c r="NWV48" s="37"/>
      <c r="NWW48" s="37"/>
      <c r="NWX48" s="37"/>
      <c r="NWY48" s="37"/>
      <c r="NWZ48" s="37"/>
      <c r="NXA48" s="37"/>
      <c r="NXB48" s="37"/>
      <c r="NXC48" s="37"/>
      <c r="NXD48" s="37"/>
      <c r="NXE48" s="37"/>
      <c r="NXF48" s="37"/>
      <c r="NXG48" s="37"/>
      <c r="NXH48" s="37"/>
      <c r="NXI48" s="37"/>
      <c r="NXJ48" s="37"/>
      <c r="NXK48" s="37"/>
      <c r="NXL48" s="37"/>
      <c r="NXM48" s="37"/>
      <c r="NXN48" s="37"/>
      <c r="NXO48" s="37"/>
      <c r="NXP48" s="37"/>
      <c r="NXQ48" s="37"/>
      <c r="NXR48" s="37"/>
      <c r="NXS48" s="37"/>
      <c r="NXT48" s="37"/>
      <c r="NXU48" s="37"/>
      <c r="NXV48" s="37"/>
      <c r="NXW48" s="37"/>
      <c r="NXX48" s="37"/>
      <c r="NXY48" s="37"/>
      <c r="NXZ48" s="37"/>
      <c r="NYA48" s="37"/>
      <c r="NYB48" s="37"/>
      <c r="NYC48" s="37"/>
      <c r="NYD48" s="37"/>
      <c r="NYE48" s="37"/>
      <c r="NYF48" s="37"/>
      <c r="NYG48" s="37"/>
      <c r="NYH48" s="37"/>
      <c r="NYI48" s="37"/>
      <c r="NYJ48" s="37"/>
      <c r="NYK48" s="37"/>
      <c r="NYL48" s="37"/>
      <c r="NYM48" s="37"/>
      <c r="NYN48" s="37"/>
      <c r="NYO48" s="37"/>
      <c r="NYP48" s="37"/>
      <c r="NYQ48" s="37"/>
      <c r="NYR48" s="37"/>
      <c r="NYS48" s="37"/>
      <c r="NYT48" s="37"/>
      <c r="NYU48" s="37"/>
      <c r="NYV48" s="37"/>
      <c r="NYW48" s="37"/>
      <c r="NYX48" s="37"/>
      <c r="NYY48" s="37"/>
      <c r="NYZ48" s="37"/>
      <c r="NZA48" s="37"/>
      <c r="NZB48" s="37"/>
      <c r="NZC48" s="37"/>
      <c r="NZD48" s="37"/>
      <c r="NZE48" s="37"/>
      <c r="NZF48" s="37"/>
      <c r="NZG48" s="37"/>
      <c r="NZH48" s="37"/>
      <c r="NZI48" s="37"/>
      <c r="NZJ48" s="37"/>
      <c r="NZK48" s="37"/>
      <c r="NZL48" s="37"/>
      <c r="NZM48" s="37"/>
      <c r="NZN48" s="37"/>
      <c r="NZO48" s="37"/>
      <c r="NZP48" s="37"/>
      <c r="NZQ48" s="37"/>
      <c r="NZR48" s="37"/>
      <c r="NZS48" s="37"/>
      <c r="NZT48" s="37"/>
      <c r="NZU48" s="37"/>
      <c r="NZV48" s="37"/>
      <c r="NZW48" s="37"/>
      <c r="NZX48" s="37"/>
      <c r="NZY48" s="37"/>
      <c r="NZZ48" s="37"/>
      <c r="OAA48" s="37"/>
      <c r="OAB48" s="37"/>
      <c r="OAC48" s="37"/>
      <c r="OAD48" s="37"/>
      <c r="OAE48" s="37"/>
      <c r="OAF48" s="37"/>
      <c r="OAG48" s="37"/>
      <c r="OAH48" s="37"/>
      <c r="OAI48" s="37"/>
      <c r="OAJ48" s="37"/>
      <c r="OAK48" s="37"/>
      <c r="OAL48" s="37"/>
      <c r="OAM48" s="37"/>
      <c r="OAN48" s="37"/>
      <c r="OAO48" s="37"/>
      <c r="OAP48" s="37"/>
      <c r="OAQ48" s="37"/>
      <c r="OAR48" s="37"/>
      <c r="OAS48" s="37"/>
      <c r="OAT48" s="37"/>
      <c r="OAU48" s="37"/>
      <c r="OAV48" s="37"/>
      <c r="OAW48" s="37"/>
      <c r="OAX48" s="37"/>
      <c r="OAY48" s="37"/>
      <c r="OAZ48" s="37"/>
      <c r="OBA48" s="37"/>
      <c r="OBB48" s="37"/>
      <c r="OBC48" s="37"/>
      <c r="OBD48" s="37"/>
      <c r="OBE48" s="37"/>
      <c r="OBF48" s="37"/>
      <c r="OBG48" s="37"/>
      <c r="OBH48" s="37"/>
      <c r="OBI48" s="37"/>
      <c r="OBJ48" s="37"/>
      <c r="OBK48" s="37"/>
      <c r="OBL48" s="37"/>
      <c r="OBM48" s="37"/>
      <c r="OBN48" s="37"/>
      <c r="OBO48" s="37"/>
      <c r="OBP48" s="37"/>
      <c r="OBQ48" s="37"/>
      <c r="OBR48" s="37"/>
      <c r="OBS48" s="37"/>
      <c r="OBT48" s="37"/>
      <c r="OBU48" s="37"/>
      <c r="OBV48" s="37"/>
      <c r="OBW48" s="37"/>
      <c r="OBX48" s="37"/>
      <c r="OBY48" s="37"/>
      <c r="OBZ48" s="37"/>
      <c r="OCA48" s="37"/>
      <c r="OCB48" s="37"/>
      <c r="OCC48" s="37"/>
      <c r="OCD48" s="37"/>
      <c r="OCE48" s="37"/>
      <c r="OCF48" s="37"/>
      <c r="OCG48" s="37"/>
      <c r="OCH48" s="37"/>
      <c r="OCI48" s="37"/>
      <c r="OCJ48" s="37"/>
      <c r="OCK48" s="37"/>
      <c r="OCL48" s="37"/>
      <c r="OCM48" s="37"/>
      <c r="OCN48" s="37"/>
      <c r="OCO48" s="37"/>
      <c r="OCP48" s="37"/>
      <c r="OCQ48" s="37"/>
      <c r="OCR48" s="37"/>
      <c r="OCS48" s="37"/>
      <c r="OCT48" s="37"/>
      <c r="OCU48" s="37"/>
      <c r="OCV48" s="37"/>
      <c r="OCW48" s="37"/>
      <c r="OCX48" s="37"/>
      <c r="OCY48" s="37"/>
      <c r="OCZ48" s="37"/>
      <c r="ODA48" s="37"/>
      <c r="ODB48" s="37"/>
      <c r="ODC48" s="37"/>
      <c r="ODD48" s="37"/>
      <c r="ODE48" s="37"/>
      <c r="ODF48" s="37"/>
      <c r="ODG48" s="37"/>
      <c r="ODH48" s="37"/>
      <c r="ODI48" s="37"/>
      <c r="ODJ48" s="37"/>
      <c r="ODK48" s="37"/>
      <c r="ODL48" s="37"/>
      <c r="ODM48" s="37"/>
      <c r="ODN48" s="37"/>
      <c r="ODO48" s="37"/>
      <c r="ODP48" s="37"/>
      <c r="ODQ48" s="37"/>
      <c r="ODR48" s="37"/>
      <c r="ODS48" s="37"/>
      <c r="ODT48" s="37"/>
      <c r="ODU48" s="37"/>
      <c r="ODV48" s="37"/>
      <c r="ODW48" s="37"/>
      <c r="ODX48" s="37"/>
      <c r="ODY48" s="37"/>
      <c r="ODZ48" s="37"/>
      <c r="OEA48" s="37"/>
      <c r="OEB48" s="37"/>
      <c r="OEC48" s="37"/>
      <c r="OED48" s="37"/>
      <c r="OEE48" s="37"/>
      <c r="OEF48" s="37"/>
      <c r="OEG48" s="37"/>
      <c r="OEH48" s="37"/>
      <c r="OEI48" s="37"/>
      <c r="OEJ48" s="37"/>
      <c r="OEK48" s="37"/>
      <c r="OEL48" s="37"/>
      <c r="OEM48" s="37"/>
      <c r="OEN48" s="37"/>
      <c r="OEO48" s="37"/>
      <c r="OEP48" s="37"/>
      <c r="OEQ48" s="37"/>
      <c r="OER48" s="37"/>
      <c r="OES48" s="37"/>
      <c r="OET48" s="37"/>
      <c r="OEU48" s="37"/>
      <c r="OEV48" s="37"/>
      <c r="OEW48" s="37"/>
      <c r="OEX48" s="37"/>
      <c r="OEY48" s="37"/>
      <c r="OEZ48" s="37"/>
      <c r="OFA48" s="37"/>
      <c r="OFB48" s="37"/>
      <c r="OFC48" s="37"/>
      <c r="OFD48" s="37"/>
      <c r="OFE48" s="37"/>
      <c r="OFF48" s="37"/>
      <c r="OFG48" s="37"/>
      <c r="OFH48" s="37"/>
      <c r="OFI48" s="37"/>
      <c r="OFJ48" s="37"/>
      <c r="OFK48" s="37"/>
      <c r="OFL48" s="37"/>
      <c r="OFM48" s="37"/>
      <c r="OFN48" s="37"/>
      <c r="OFO48" s="37"/>
      <c r="OFP48" s="37"/>
      <c r="OFQ48" s="37"/>
      <c r="OFR48" s="37"/>
      <c r="OFS48" s="37"/>
      <c r="OFT48" s="37"/>
      <c r="OFU48" s="37"/>
      <c r="OFV48" s="37"/>
      <c r="OFW48" s="37"/>
      <c r="OFX48" s="37"/>
      <c r="OFY48" s="37"/>
      <c r="OFZ48" s="37"/>
      <c r="OGA48" s="37"/>
      <c r="OGB48" s="37"/>
      <c r="OGC48" s="37"/>
      <c r="OGD48" s="37"/>
      <c r="OGE48" s="37"/>
      <c r="OGF48" s="37"/>
      <c r="OGG48" s="37"/>
      <c r="OGH48" s="37"/>
      <c r="OGI48" s="37"/>
      <c r="OGJ48" s="37"/>
      <c r="OGK48" s="37"/>
      <c r="OGL48" s="37"/>
      <c r="OGM48" s="37"/>
      <c r="OGN48" s="37"/>
      <c r="OGO48" s="37"/>
      <c r="OGP48" s="37"/>
      <c r="OGQ48" s="37"/>
      <c r="OGR48" s="37"/>
      <c r="OGS48" s="37"/>
      <c r="OGT48" s="37"/>
      <c r="OGU48" s="37"/>
      <c r="OGV48" s="37"/>
      <c r="OGW48" s="37"/>
      <c r="OGX48" s="37"/>
      <c r="OGY48" s="37"/>
      <c r="OGZ48" s="37"/>
      <c r="OHA48" s="37"/>
      <c r="OHB48" s="37"/>
      <c r="OHC48" s="37"/>
      <c r="OHD48" s="37"/>
      <c r="OHE48" s="37"/>
      <c r="OHF48" s="37"/>
      <c r="OHG48" s="37"/>
      <c r="OHH48" s="37"/>
      <c r="OHI48" s="37"/>
      <c r="OHJ48" s="37"/>
      <c r="OHK48" s="37"/>
      <c r="OHL48" s="37"/>
      <c r="OHM48" s="37"/>
      <c r="OHN48" s="37"/>
      <c r="OHO48" s="37"/>
      <c r="OHP48" s="37"/>
      <c r="OHQ48" s="37"/>
      <c r="OHR48" s="37"/>
      <c r="OHS48" s="37"/>
      <c r="OHT48" s="37"/>
      <c r="OHU48" s="37"/>
      <c r="OHV48" s="37"/>
      <c r="OHW48" s="37"/>
      <c r="OHX48" s="37"/>
      <c r="OHY48" s="37"/>
      <c r="OHZ48" s="37"/>
      <c r="OIA48" s="37"/>
      <c r="OIB48" s="37"/>
      <c r="OIC48" s="37"/>
      <c r="OID48" s="37"/>
      <c r="OIE48" s="37"/>
      <c r="OIF48" s="37"/>
      <c r="OIG48" s="37"/>
      <c r="OIH48" s="37"/>
      <c r="OII48" s="37"/>
      <c r="OIJ48" s="37"/>
      <c r="OIK48" s="37"/>
      <c r="OIL48" s="37"/>
      <c r="OIM48" s="37"/>
      <c r="OIN48" s="37"/>
      <c r="OIO48" s="37"/>
      <c r="OIP48" s="37"/>
      <c r="OIQ48" s="37"/>
      <c r="OIR48" s="37"/>
      <c r="OIS48" s="37"/>
      <c r="OIT48" s="37"/>
      <c r="OIU48" s="37"/>
      <c r="OIV48" s="37"/>
      <c r="OIW48" s="37"/>
      <c r="OIX48" s="37"/>
      <c r="OIY48" s="37"/>
      <c r="OIZ48" s="37"/>
      <c r="OJA48" s="37"/>
      <c r="OJB48" s="37"/>
      <c r="OJC48" s="37"/>
      <c r="OJD48" s="37"/>
      <c r="OJE48" s="37"/>
      <c r="OJF48" s="37"/>
      <c r="OJG48" s="37"/>
      <c r="OJH48" s="37"/>
      <c r="OJI48" s="37"/>
      <c r="OJJ48" s="37"/>
      <c r="OJK48" s="37"/>
      <c r="OJL48" s="37"/>
      <c r="OJM48" s="37"/>
      <c r="OJN48" s="37"/>
      <c r="OJO48" s="37"/>
      <c r="OJP48" s="37"/>
      <c r="OJQ48" s="37"/>
      <c r="OJR48" s="37"/>
      <c r="OJS48" s="37"/>
      <c r="OJT48" s="37"/>
      <c r="OJU48" s="37"/>
      <c r="OJV48" s="37"/>
      <c r="OJW48" s="37"/>
      <c r="OJX48" s="37"/>
      <c r="OJY48" s="37"/>
      <c r="OJZ48" s="37"/>
      <c r="OKA48" s="37"/>
      <c r="OKB48" s="37"/>
      <c r="OKC48" s="37"/>
      <c r="OKD48" s="37"/>
      <c r="OKE48" s="37"/>
      <c r="OKF48" s="37"/>
      <c r="OKG48" s="37"/>
      <c r="OKH48" s="37"/>
      <c r="OKI48" s="37"/>
      <c r="OKJ48" s="37"/>
      <c r="OKK48" s="37"/>
      <c r="OKL48" s="37"/>
      <c r="OKM48" s="37"/>
      <c r="OKN48" s="37"/>
      <c r="OKO48" s="37"/>
      <c r="OKP48" s="37"/>
      <c r="OKQ48" s="37"/>
      <c r="OKR48" s="37"/>
      <c r="OKS48" s="37"/>
      <c r="OKT48" s="37"/>
      <c r="OKU48" s="37"/>
      <c r="OKV48" s="37"/>
      <c r="OKW48" s="37"/>
      <c r="OKX48" s="37"/>
      <c r="OKY48" s="37"/>
      <c r="OKZ48" s="37"/>
      <c r="OLA48" s="37"/>
      <c r="OLB48" s="37"/>
      <c r="OLC48" s="37"/>
      <c r="OLD48" s="37"/>
      <c r="OLE48" s="37"/>
      <c r="OLF48" s="37"/>
      <c r="OLG48" s="37"/>
      <c r="OLH48" s="37"/>
      <c r="OLI48" s="37"/>
      <c r="OLJ48" s="37"/>
      <c r="OLK48" s="37"/>
      <c r="OLL48" s="37"/>
      <c r="OLM48" s="37"/>
      <c r="OLN48" s="37"/>
      <c r="OLO48" s="37"/>
      <c r="OLP48" s="37"/>
      <c r="OLQ48" s="37"/>
      <c r="OLR48" s="37"/>
      <c r="OLS48" s="37"/>
      <c r="OLT48" s="37"/>
      <c r="OLU48" s="37"/>
      <c r="OLV48" s="37"/>
      <c r="OLW48" s="37"/>
      <c r="OLX48" s="37"/>
      <c r="OLY48" s="37"/>
      <c r="OLZ48" s="37"/>
      <c r="OMA48" s="37"/>
      <c r="OMB48" s="37"/>
      <c r="OMC48" s="37"/>
      <c r="OMD48" s="37"/>
      <c r="OME48" s="37"/>
      <c r="OMF48" s="37"/>
      <c r="OMG48" s="37"/>
      <c r="OMH48" s="37"/>
      <c r="OMI48" s="37"/>
      <c r="OMJ48" s="37"/>
      <c r="OMK48" s="37"/>
      <c r="OML48" s="37"/>
      <c r="OMM48" s="37"/>
      <c r="OMN48" s="37"/>
      <c r="OMO48" s="37"/>
      <c r="OMP48" s="37"/>
      <c r="OMQ48" s="37"/>
      <c r="OMR48" s="37"/>
      <c r="OMS48" s="37"/>
      <c r="OMT48" s="37"/>
      <c r="OMU48" s="37"/>
      <c r="OMV48" s="37"/>
      <c r="OMW48" s="37"/>
      <c r="OMX48" s="37"/>
      <c r="OMY48" s="37"/>
      <c r="OMZ48" s="37"/>
      <c r="ONA48" s="37"/>
      <c r="ONB48" s="37"/>
      <c r="ONC48" s="37"/>
      <c r="OND48" s="37"/>
      <c r="ONE48" s="37"/>
      <c r="ONF48" s="37"/>
      <c r="ONG48" s="37"/>
      <c r="ONH48" s="37"/>
      <c r="ONI48" s="37"/>
      <c r="ONJ48" s="37"/>
      <c r="ONK48" s="37"/>
      <c r="ONL48" s="37"/>
      <c r="ONM48" s="37"/>
      <c r="ONN48" s="37"/>
      <c r="ONO48" s="37"/>
      <c r="ONP48" s="37"/>
      <c r="ONQ48" s="37"/>
      <c r="ONR48" s="37"/>
      <c r="ONS48" s="37"/>
      <c r="ONT48" s="37"/>
      <c r="ONU48" s="37"/>
      <c r="ONV48" s="37"/>
      <c r="ONW48" s="37"/>
      <c r="ONX48" s="37"/>
      <c r="ONY48" s="37"/>
      <c r="ONZ48" s="37"/>
      <c r="OOA48" s="37"/>
      <c r="OOB48" s="37"/>
      <c r="OOC48" s="37"/>
      <c r="OOD48" s="37"/>
      <c r="OOE48" s="37"/>
      <c r="OOF48" s="37"/>
      <c r="OOG48" s="37"/>
      <c r="OOH48" s="37"/>
      <c r="OOI48" s="37"/>
      <c r="OOJ48" s="37"/>
      <c r="OOK48" s="37"/>
      <c r="OOL48" s="37"/>
      <c r="OOM48" s="37"/>
      <c r="OON48" s="37"/>
      <c r="OOO48" s="37"/>
      <c r="OOP48" s="37"/>
      <c r="OOQ48" s="37"/>
      <c r="OOR48" s="37"/>
      <c r="OOS48" s="37"/>
      <c r="OOT48" s="37"/>
      <c r="OOU48" s="37"/>
      <c r="OOV48" s="37"/>
      <c r="OOW48" s="37"/>
      <c r="OOX48" s="37"/>
      <c r="OOY48" s="37"/>
      <c r="OOZ48" s="37"/>
      <c r="OPA48" s="37"/>
      <c r="OPB48" s="37"/>
      <c r="OPC48" s="37"/>
      <c r="OPD48" s="37"/>
      <c r="OPE48" s="37"/>
      <c r="OPF48" s="37"/>
      <c r="OPG48" s="37"/>
      <c r="OPH48" s="37"/>
      <c r="OPI48" s="37"/>
      <c r="OPJ48" s="37"/>
      <c r="OPK48" s="37"/>
      <c r="OPL48" s="37"/>
      <c r="OPM48" s="37"/>
      <c r="OPN48" s="37"/>
      <c r="OPO48" s="37"/>
      <c r="OPP48" s="37"/>
      <c r="OPQ48" s="37"/>
      <c r="OPR48" s="37"/>
      <c r="OPS48" s="37"/>
      <c r="OPT48" s="37"/>
      <c r="OPU48" s="37"/>
      <c r="OPV48" s="37"/>
      <c r="OPW48" s="37"/>
      <c r="OPX48" s="37"/>
      <c r="OPY48" s="37"/>
      <c r="OPZ48" s="37"/>
      <c r="OQA48" s="37"/>
      <c r="OQB48" s="37"/>
      <c r="OQC48" s="37"/>
      <c r="OQD48" s="37"/>
      <c r="OQE48" s="37"/>
      <c r="OQF48" s="37"/>
      <c r="OQG48" s="37"/>
      <c r="OQH48" s="37"/>
      <c r="OQI48" s="37"/>
      <c r="OQJ48" s="37"/>
      <c r="OQK48" s="37"/>
      <c r="OQL48" s="37"/>
      <c r="OQM48" s="37"/>
      <c r="OQN48" s="37"/>
      <c r="OQO48" s="37"/>
      <c r="OQP48" s="37"/>
      <c r="OQQ48" s="37"/>
      <c r="OQR48" s="37"/>
      <c r="OQS48" s="37"/>
      <c r="OQT48" s="37"/>
      <c r="OQU48" s="37"/>
      <c r="OQV48" s="37"/>
      <c r="OQW48" s="37"/>
      <c r="OQX48" s="37"/>
      <c r="OQY48" s="37"/>
      <c r="OQZ48" s="37"/>
      <c r="ORA48" s="37"/>
      <c r="ORB48" s="37"/>
      <c r="ORC48" s="37"/>
      <c r="ORD48" s="37"/>
      <c r="ORE48" s="37"/>
      <c r="ORF48" s="37"/>
      <c r="ORG48" s="37"/>
      <c r="ORH48" s="37"/>
      <c r="ORI48" s="37"/>
      <c r="ORJ48" s="37"/>
      <c r="ORK48" s="37"/>
      <c r="ORL48" s="37"/>
      <c r="ORM48" s="37"/>
      <c r="ORN48" s="37"/>
      <c r="ORO48" s="37"/>
      <c r="ORP48" s="37"/>
      <c r="ORQ48" s="37"/>
      <c r="ORR48" s="37"/>
      <c r="ORS48" s="37"/>
      <c r="ORT48" s="37"/>
      <c r="ORU48" s="37"/>
      <c r="ORV48" s="37"/>
      <c r="ORW48" s="37"/>
      <c r="ORX48" s="37"/>
      <c r="ORY48" s="37"/>
      <c r="ORZ48" s="37"/>
      <c r="OSA48" s="37"/>
      <c r="OSB48" s="37"/>
      <c r="OSC48" s="37"/>
      <c r="OSD48" s="37"/>
      <c r="OSE48" s="37"/>
      <c r="OSF48" s="37"/>
      <c r="OSG48" s="37"/>
      <c r="OSH48" s="37"/>
      <c r="OSI48" s="37"/>
      <c r="OSJ48" s="37"/>
      <c r="OSK48" s="37"/>
      <c r="OSL48" s="37"/>
      <c r="OSM48" s="37"/>
      <c r="OSN48" s="37"/>
      <c r="OSO48" s="37"/>
      <c r="OSP48" s="37"/>
      <c r="OSQ48" s="37"/>
      <c r="OSR48" s="37"/>
      <c r="OSS48" s="37"/>
      <c r="OST48" s="37"/>
      <c r="OSU48" s="37"/>
      <c r="OSV48" s="37"/>
      <c r="OSW48" s="37"/>
      <c r="OSX48" s="37"/>
      <c r="OSY48" s="37"/>
      <c r="OSZ48" s="37"/>
      <c r="OTA48" s="37"/>
      <c r="OTB48" s="37"/>
      <c r="OTC48" s="37"/>
      <c r="OTD48" s="37"/>
      <c r="OTE48" s="37"/>
      <c r="OTF48" s="37"/>
      <c r="OTG48" s="37"/>
      <c r="OTH48" s="37"/>
      <c r="OTI48" s="37"/>
      <c r="OTJ48" s="37"/>
      <c r="OTK48" s="37"/>
      <c r="OTL48" s="37"/>
      <c r="OTM48" s="37"/>
      <c r="OTN48" s="37"/>
      <c r="OTO48" s="37"/>
      <c r="OTP48" s="37"/>
      <c r="OTQ48" s="37"/>
      <c r="OTR48" s="37"/>
      <c r="OTS48" s="37"/>
      <c r="OTT48" s="37"/>
      <c r="OTU48" s="37"/>
      <c r="OTV48" s="37"/>
      <c r="OTW48" s="37"/>
      <c r="OTX48" s="37"/>
      <c r="OTY48" s="37"/>
      <c r="OTZ48" s="37"/>
      <c r="OUA48" s="37"/>
      <c r="OUB48" s="37"/>
      <c r="OUC48" s="37"/>
      <c r="OUD48" s="37"/>
      <c r="OUE48" s="37"/>
      <c r="OUF48" s="37"/>
      <c r="OUG48" s="37"/>
      <c r="OUH48" s="37"/>
      <c r="OUI48" s="37"/>
      <c r="OUJ48" s="37"/>
      <c r="OUK48" s="37"/>
      <c r="OUL48" s="37"/>
      <c r="OUM48" s="37"/>
      <c r="OUN48" s="37"/>
      <c r="OUO48" s="37"/>
      <c r="OUP48" s="37"/>
      <c r="OUQ48" s="37"/>
      <c r="OUR48" s="37"/>
      <c r="OUS48" s="37"/>
      <c r="OUT48" s="37"/>
      <c r="OUU48" s="37"/>
      <c r="OUV48" s="37"/>
      <c r="OUW48" s="37"/>
      <c r="OUX48" s="37"/>
      <c r="OUY48" s="37"/>
      <c r="OUZ48" s="37"/>
      <c r="OVA48" s="37"/>
      <c r="OVB48" s="37"/>
      <c r="OVC48" s="37"/>
      <c r="OVD48" s="37"/>
      <c r="OVE48" s="37"/>
      <c r="OVF48" s="37"/>
      <c r="OVG48" s="37"/>
      <c r="OVH48" s="37"/>
      <c r="OVI48" s="37"/>
      <c r="OVJ48" s="37"/>
      <c r="OVK48" s="37"/>
      <c r="OVL48" s="37"/>
      <c r="OVM48" s="37"/>
      <c r="OVN48" s="37"/>
      <c r="OVO48" s="37"/>
      <c r="OVP48" s="37"/>
      <c r="OVQ48" s="37"/>
      <c r="OVR48" s="37"/>
      <c r="OVS48" s="37"/>
      <c r="OVT48" s="37"/>
      <c r="OVU48" s="37"/>
      <c r="OVV48" s="37"/>
      <c r="OVW48" s="37"/>
      <c r="OVX48" s="37"/>
      <c r="OVY48" s="37"/>
      <c r="OVZ48" s="37"/>
      <c r="OWA48" s="37"/>
      <c r="OWB48" s="37"/>
      <c r="OWC48" s="37"/>
      <c r="OWD48" s="37"/>
      <c r="OWE48" s="37"/>
      <c r="OWF48" s="37"/>
      <c r="OWG48" s="37"/>
      <c r="OWH48" s="37"/>
      <c r="OWI48" s="37"/>
      <c r="OWJ48" s="37"/>
      <c r="OWK48" s="37"/>
      <c r="OWL48" s="37"/>
      <c r="OWM48" s="37"/>
      <c r="OWN48" s="37"/>
      <c r="OWO48" s="37"/>
      <c r="OWP48" s="37"/>
      <c r="OWQ48" s="37"/>
      <c r="OWR48" s="37"/>
      <c r="OWS48" s="37"/>
      <c r="OWT48" s="37"/>
      <c r="OWU48" s="37"/>
      <c r="OWV48" s="37"/>
      <c r="OWW48" s="37"/>
      <c r="OWX48" s="37"/>
      <c r="OWY48" s="37"/>
      <c r="OWZ48" s="37"/>
      <c r="OXA48" s="37"/>
      <c r="OXB48" s="37"/>
      <c r="OXC48" s="37"/>
      <c r="OXD48" s="37"/>
      <c r="OXE48" s="37"/>
      <c r="OXF48" s="37"/>
      <c r="OXG48" s="37"/>
      <c r="OXH48" s="37"/>
      <c r="OXI48" s="37"/>
      <c r="OXJ48" s="37"/>
      <c r="OXK48" s="37"/>
      <c r="OXL48" s="37"/>
      <c r="OXM48" s="37"/>
      <c r="OXN48" s="37"/>
      <c r="OXO48" s="37"/>
      <c r="OXP48" s="37"/>
      <c r="OXQ48" s="37"/>
      <c r="OXR48" s="37"/>
      <c r="OXS48" s="37"/>
      <c r="OXT48" s="37"/>
      <c r="OXU48" s="37"/>
      <c r="OXV48" s="37"/>
      <c r="OXW48" s="37"/>
      <c r="OXX48" s="37"/>
      <c r="OXY48" s="37"/>
      <c r="OXZ48" s="37"/>
      <c r="OYA48" s="37"/>
      <c r="OYB48" s="37"/>
      <c r="OYC48" s="37"/>
      <c r="OYD48" s="37"/>
      <c r="OYE48" s="37"/>
      <c r="OYF48" s="37"/>
      <c r="OYG48" s="37"/>
      <c r="OYH48" s="37"/>
      <c r="OYI48" s="37"/>
      <c r="OYJ48" s="37"/>
      <c r="OYK48" s="37"/>
      <c r="OYL48" s="37"/>
      <c r="OYM48" s="37"/>
      <c r="OYN48" s="37"/>
      <c r="OYO48" s="37"/>
      <c r="OYP48" s="37"/>
      <c r="OYQ48" s="37"/>
      <c r="OYR48" s="37"/>
      <c r="OYS48" s="37"/>
      <c r="OYT48" s="37"/>
      <c r="OYU48" s="37"/>
      <c r="OYV48" s="37"/>
      <c r="OYW48" s="37"/>
      <c r="OYX48" s="37"/>
      <c r="OYY48" s="37"/>
      <c r="OYZ48" s="37"/>
      <c r="OZA48" s="37"/>
      <c r="OZB48" s="37"/>
      <c r="OZC48" s="37"/>
      <c r="OZD48" s="37"/>
      <c r="OZE48" s="37"/>
      <c r="OZF48" s="37"/>
      <c r="OZG48" s="37"/>
      <c r="OZH48" s="37"/>
      <c r="OZI48" s="37"/>
      <c r="OZJ48" s="37"/>
      <c r="OZK48" s="37"/>
      <c r="OZL48" s="37"/>
      <c r="OZM48" s="37"/>
      <c r="OZN48" s="37"/>
      <c r="OZO48" s="37"/>
      <c r="OZP48" s="37"/>
      <c r="OZQ48" s="37"/>
      <c r="OZR48" s="37"/>
      <c r="OZS48" s="37"/>
      <c r="OZT48" s="37"/>
      <c r="OZU48" s="37"/>
      <c r="OZV48" s="37"/>
      <c r="OZW48" s="37"/>
      <c r="OZX48" s="37"/>
      <c r="OZY48" s="37"/>
      <c r="OZZ48" s="37"/>
      <c r="PAA48" s="37"/>
      <c r="PAB48" s="37"/>
      <c r="PAC48" s="37"/>
      <c r="PAD48" s="37"/>
      <c r="PAE48" s="37"/>
      <c r="PAF48" s="37"/>
      <c r="PAG48" s="37"/>
      <c r="PAH48" s="37"/>
      <c r="PAI48" s="37"/>
      <c r="PAJ48" s="37"/>
      <c r="PAK48" s="37"/>
      <c r="PAL48" s="37"/>
      <c r="PAM48" s="37"/>
      <c r="PAN48" s="37"/>
      <c r="PAO48" s="37"/>
      <c r="PAP48" s="37"/>
      <c r="PAQ48" s="37"/>
      <c r="PAR48" s="37"/>
      <c r="PAS48" s="37"/>
      <c r="PAT48" s="37"/>
      <c r="PAU48" s="37"/>
      <c r="PAV48" s="37"/>
      <c r="PAW48" s="37"/>
      <c r="PAX48" s="37"/>
      <c r="PAY48" s="37"/>
      <c r="PAZ48" s="37"/>
      <c r="PBA48" s="37"/>
      <c r="PBB48" s="37"/>
      <c r="PBC48" s="37"/>
      <c r="PBD48" s="37"/>
      <c r="PBE48" s="37"/>
      <c r="PBF48" s="37"/>
      <c r="PBG48" s="37"/>
      <c r="PBH48" s="37"/>
      <c r="PBI48" s="37"/>
      <c r="PBJ48" s="37"/>
      <c r="PBK48" s="37"/>
      <c r="PBL48" s="37"/>
      <c r="PBM48" s="37"/>
      <c r="PBN48" s="37"/>
      <c r="PBO48" s="37"/>
      <c r="PBP48" s="37"/>
      <c r="PBQ48" s="37"/>
      <c r="PBR48" s="37"/>
      <c r="PBS48" s="37"/>
      <c r="PBT48" s="37"/>
      <c r="PBU48" s="37"/>
      <c r="PBV48" s="37"/>
      <c r="PBW48" s="37"/>
      <c r="PBX48" s="37"/>
      <c r="PBY48" s="37"/>
      <c r="PBZ48" s="37"/>
      <c r="PCA48" s="37"/>
      <c r="PCB48" s="37"/>
      <c r="PCC48" s="37"/>
      <c r="PCD48" s="37"/>
      <c r="PCE48" s="37"/>
      <c r="PCF48" s="37"/>
      <c r="PCG48" s="37"/>
      <c r="PCH48" s="37"/>
      <c r="PCI48" s="37"/>
      <c r="PCJ48" s="37"/>
      <c r="PCK48" s="37"/>
      <c r="PCL48" s="37"/>
      <c r="PCM48" s="37"/>
      <c r="PCN48" s="37"/>
      <c r="PCO48" s="37"/>
      <c r="PCP48" s="37"/>
      <c r="PCQ48" s="37"/>
      <c r="PCR48" s="37"/>
      <c r="PCS48" s="37"/>
      <c r="PCT48" s="37"/>
      <c r="PCU48" s="37"/>
      <c r="PCV48" s="37"/>
      <c r="PCW48" s="37"/>
      <c r="PCX48" s="37"/>
      <c r="PCY48" s="37"/>
      <c r="PCZ48" s="37"/>
      <c r="PDA48" s="37"/>
      <c r="PDB48" s="37"/>
      <c r="PDC48" s="37"/>
      <c r="PDD48" s="37"/>
      <c r="PDE48" s="37"/>
      <c r="PDF48" s="37"/>
      <c r="PDG48" s="37"/>
      <c r="PDH48" s="37"/>
      <c r="PDI48" s="37"/>
      <c r="PDJ48" s="37"/>
      <c r="PDK48" s="37"/>
      <c r="PDL48" s="37"/>
      <c r="PDM48" s="37"/>
      <c r="PDN48" s="37"/>
      <c r="PDO48" s="37"/>
      <c r="PDP48" s="37"/>
      <c r="PDQ48" s="37"/>
      <c r="PDR48" s="37"/>
      <c r="PDS48" s="37"/>
      <c r="PDT48" s="37"/>
      <c r="PDU48" s="37"/>
      <c r="PDV48" s="37"/>
      <c r="PDW48" s="37"/>
      <c r="PDX48" s="37"/>
      <c r="PDY48" s="37"/>
      <c r="PDZ48" s="37"/>
      <c r="PEA48" s="37"/>
      <c r="PEB48" s="37"/>
      <c r="PEC48" s="37"/>
      <c r="PED48" s="37"/>
      <c r="PEE48" s="37"/>
      <c r="PEF48" s="37"/>
      <c r="PEG48" s="37"/>
      <c r="PEH48" s="37"/>
      <c r="PEI48" s="37"/>
      <c r="PEJ48" s="37"/>
      <c r="PEK48" s="37"/>
      <c r="PEL48" s="37"/>
      <c r="PEM48" s="37"/>
      <c r="PEN48" s="37"/>
      <c r="PEO48" s="37"/>
      <c r="PEP48" s="37"/>
      <c r="PEQ48" s="37"/>
      <c r="PER48" s="37"/>
      <c r="PES48" s="37"/>
      <c r="PET48" s="37"/>
      <c r="PEU48" s="37"/>
      <c r="PEV48" s="37"/>
      <c r="PEW48" s="37"/>
      <c r="PEX48" s="37"/>
      <c r="PEY48" s="37"/>
      <c r="PEZ48" s="37"/>
      <c r="PFA48" s="37"/>
      <c r="PFB48" s="37"/>
      <c r="PFC48" s="37"/>
      <c r="PFD48" s="37"/>
      <c r="PFE48" s="37"/>
      <c r="PFF48" s="37"/>
      <c r="PFG48" s="37"/>
      <c r="PFH48" s="37"/>
      <c r="PFI48" s="37"/>
      <c r="PFJ48" s="37"/>
      <c r="PFK48" s="37"/>
      <c r="PFL48" s="37"/>
      <c r="PFM48" s="37"/>
      <c r="PFN48" s="37"/>
      <c r="PFO48" s="37"/>
      <c r="PFP48" s="37"/>
      <c r="PFQ48" s="37"/>
      <c r="PFR48" s="37"/>
      <c r="PFS48" s="37"/>
      <c r="PFT48" s="37"/>
      <c r="PFU48" s="37"/>
      <c r="PFV48" s="37"/>
      <c r="PFW48" s="37"/>
      <c r="PFX48" s="37"/>
      <c r="PFY48" s="37"/>
      <c r="PFZ48" s="37"/>
      <c r="PGA48" s="37"/>
      <c r="PGB48" s="37"/>
      <c r="PGC48" s="37"/>
      <c r="PGD48" s="37"/>
      <c r="PGE48" s="37"/>
      <c r="PGF48" s="37"/>
      <c r="PGG48" s="37"/>
      <c r="PGH48" s="37"/>
      <c r="PGI48" s="37"/>
      <c r="PGJ48" s="37"/>
      <c r="PGK48" s="37"/>
      <c r="PGL48" s="37"/>
      <c r="PGM48" s="37"/>
      <c r="PGN48" s="37"/>
      <c r="PGO48" s="37"/>
      <c r="PGP48" s="37"/>
      <c r="PGQ48" s="37"/>
      <c r="PGR48" s="37"/>
      <c r="PGS48" s="37"/>
      <c r="PGT48" s="37"/>
      <c r="PGU48" s="37"/>
      <c r="PGV48" s="37"/>
      <c r="PGW48" s="37"/>
      <c r="PGX48" s="37"/>
      <c r="PGY48" s="37"/>
      <c r="PGZ48" s="37"/>
      <c r="PHA48" s="37"/>
      <c r="PHB48" s="37"/>
      <c r="PHC48" s="37"/>
      <c r="PHD48" s="37"/>
      <c r="PHE48" s="37"/>
      <c r="PHF48" s="37"/>
      <c r="PHG48" s="37"/>
      <c r="PHH48" s="37"/>
      <c r="PHI48" s="37"/>
      <c r="PHJ48" s="37"/>
      <c r="PHK48" s="37"/>
      <c r="PHL48" s="37"/>
      <c r="PHM48" s="37"/>
      <c r="PHN48" s="37"/>
      <c r="PHO48" s="37"/>
      <c r="PHP48" s="37"/>
      <c r="PHQ48" s="37"/>
      <c r="PHR48" s="37"/>
      <c r="PHS48" s="37"/>
      <c r="PHT48" s="37"/>
      <c r="PHU48" s="37"/>
      <c r="PHV48" s="37"/>
      <c r="PHW48" s="37"/>
      <c r="PHX48" s="37"/>
      <c r="PHY48" s="37"/>
      <c r="PHZ48" s="37"/>
      <c r="PIA48" s="37"/>
      <c r="PIB48" s="37"/>
      <c r="PIC48" s="37"/>
      <c r="PID48" s="37"/>
      <c r="PIE48" s="37"/>
      <c r="PIF48" s="37"/>
      <c r="PIG48" s="37"/>
      <c r="PIH48" s="37"/>
      <c r="PII48" s="37"/>
      <c r="PIJ48" s="37"/>
      <c r="PIK48" s="37"/>
      <c r="PIL48" s="37"/>
      <c r="PIM48" s="37"/>
      <c r="PIN48" s="37"/>
      <c r="PIO48" s="37"/>
      <c r="PIP48" s="37"/>
      <c r="PIQ48" s="37"/>
      <c r="PIR48" s="37"/>
      <c r="PIS48" s="37"/>
      <c r="PIT48" s="37"/>
      <c r="PIU48" s="37"/>
      <c r="PIV48" s="37"/>
      <c r="PIW48" s="37"/>
      <c r="PIX48" s="37"/>
      <c r="PIY48" s="37"/>
      <c r="PIZ48" s="37"/>
      <c r="PJA48" s="37"/>
      <c r="PJB48" s="37"/>
      <c r="PJC48" s="37"/>
      <c r="PJD48" s="37"/>
      <c r="PJE48" s="37"/>
      <c r="PJF48" s="37"/>
      <c r="PJG48" s="37"/>
      <c r="PJH48" s="37"/>
      <c r="PJI48" s="37"/>
      <c r="PJJ48" s="37"/>
      <c r="PJK48" s="37"/>
      <c r="PJL48" s="37"/>
      <c r="PJM48" s="37"/>
      <c r="PJN48" s="37"/>
      <c r="PJO48" s="37"/>
      <c r="PJP48" s="37"/>
      <c r="PJQ48" s="37"/>
      <c r="PJR48" s="37"/>
      <c r="PJS48" s="37"/>
      <c r="PJT48" s="37"/>
      <c r="PJU48" s="37"/>
      <c r="PJV48" s="37"/>
      <c r="PJW48" s="37"/>
      <c r="PJX48" s="37"/>
      <c r="PJY48" s="37"/>
      <c r="PJZ48" s="37"/>
      <c r="PKA48" s="37"/>
      <c r="PKB48" s="37"/>
      <c r="PKC48" s="37"/>
      <c r="PKD48" s="37"/>
      <c r="PKE48" s="37"/>
      <c r="PKF48" s="37"/>
      <c r="PKG48" s="37"/>
      <c r="PKH48" s="37"/>
      <c r="PKI48" s="37"/>
      <c r="PKJ48" s="37"/>
      <c r="PKK48" s="37"/>
      <c r="PKL48" s="37"/>
      <c r="PKM48" s="37"/>
      <c r="PKN48" s="37"/>
      <c r="PKO48" s="37"/>
      <c r="PKP48" s="37"/>
      <c r="PKQ48" s="37"/>
      <c r="PKR48" s="37"/>
      <c r="PKS48" s="37"/>
      <c r="PKT48" s="37"/>
      <c r="PKU48" s="37"/>
      <c r="PKV48" s="37"/>
      <c r="PKW48" s="37"/>
      <c r="PKX48" s="37"/>
      <c r="PKY48" s="37"/>
      <c r="PKZ48" s="37"/>
      <c r="PLA48" s="37"/>
      <c r="PLB48" s="37"/>
      <c r="PLC48" s="37"/>
      <c r="PLD48" s="37"/>
      <c r="PLE48" s="37"/>
      <c r="PLF48" s="37"/>
      <c r="PLG48" s="37"/>
      <c r="PLH48" s="37"/>
      <c r="PLI48" s="37"/>
      <c r="PLJ48" s="37"/>
      <c r="PLK48" s="37"/>
      <c r="PLL48" s="37"/>
      <c r="PLM48" s="37"/>
      <c r="PLN48" s="37"/>
      <c r="PLO48" s="37"/>
      <c r="PLP48" s="37"/>
      <c r="PLQ48" s="37"/>
      <c r="PLR48" s="37"/>
      <c r="PLS48" s="37"/>
      <c r="PLT48" s="37"/>
      <c r="PLU48" s="37"/>
      <c r="PLV48" s="37"/>
      <c r="PLW48" s="37"/>
      <c r="PLX48" s="37"/>
      <c r="PLY48" s="37"/>
      <c r="PLZ48" s="37"/>
      <c r="PMA48" s="37"/>
      <c r="PMB48" s="37"/>
      <c r="PMC48" s="37"/>
      <c r="PMD48" s="37"/>
      <c r="PME48" s="37"/>
      <c r="PMF48" s="37"/>
      <c r="PMG48" s="37"/>
      <c r="PMH48" s="37"/>
      <c r="PMI48" s="37"/>
      <c r="PMJ48" s="37"/>
      <c r="PMK48" s="37"/>
      <c r="PML48" s="37"/>
      <c r="PMM48" s="37"/>
      <c r="PMN48" s="37"/>
      <c r="PMO48" s="37"/>
      <c r="PMP48" s="37"/>
      <c r="PMQ48" s="37"/>
      <c r="PMR48" s="37"/>
      <c r="PMS48" s="37"/>
      <c r="PMT48" s="37"/>
      <c r="PMU48" s="37"/>
      <c r="PMV48" s="37"/>
      <c r="PMW48" s="37"/>
      <c r="PMX48" s="37"/>
      <c r="PMY48" s="37"/>
      <c r="PMZ48" s="37"/>
      <c r="PNA48" s="37"/>
      <c r="PNB48" s="37"/>
      <c r="PNC48" s="37"/>
      <c r="PND48" s="37"/>
      <c r="PNE48" s="37"/>
      <c r="PNF48" s="37"/>
      <c r="PNG48" s="37"/>
      <c r="PNH48" s="37"/>
      <c r="PNI48" s="37"/>
      <c r="PNJ48" s="37"/>
      <c r="PNK48" s="37"/>
      <c r="PNL48" s="37"/>
      <c r="PNM48" s="37"/>
      <c r="PNN48" s="37"/>
      <c r="PNO48" s="37"/>
      <c r="PNP48" s="37"/>
      <c r="PNQ48" s="37"/>
      <c r="PNR48" s="37"/>
      <c r="PNS48" s="37"/>
      <c r="PNT48" s="37"/>
      <c r="PNU48" s="37"/>
      <c r="PNV48" s="37"/>
      <c r="PNW48" s="37"/>
      <c r="PNX48" s="37"/>
      <c r="PNY48" s="37"/>
      <c r="PNZ48" s="37"/>
      <c r="POA48" s="37"/>
      <c r="POB48" s="37"/>
      <c r="POC48" s="37"/>
      <c r="POD48" s="37"/>
      <c r="POE48" s="37"/>
      <c r="POF48" s="37"/>
      <c r="POG48" s="37"/>
      <c r="POH48" s="37"/>
      <c r="POI48" s="37"/>
      <c r="POJ48" s="37"/>
      <c r="POK48" s="37"/>
      <c r="POL48" s="37"/>
      <c r="POM48" s="37"/>
      <c r="PON48" s="37"/>
      <c r="POO48" s="37"/>
      <c r="POP48" s="37"/>
      <c r="POQ48" s="37"/>
      <c r="POR48" s="37"/>
      <c r="POS48" s="37"/>
      <c r="POT48" s="37"/>
      <c r="POU48" s="37"/>
      <c r="POV48" s="37"/>
      <c r="POW48" s="37"/>
      <c r="POX48" s="37"/>
      <c r="POY48" s="37"/>
      <c r="POZ48" s="37"/>
      <c r="PPA48" s="37"/>
      <c r="PPB48" s="37"/>
      <c r="PPC48" s="37"/>
      <c r="PPD48" s="37"/>
      <c r="PPE48" s="37"/>
      <c r="PPF48" s="37"/>
      <c r="PPG48" s="37"/>
      <c r="PPH48" s="37"/>
      <c r="PPI48" s="37"/>
      <c r="PPJ48" s="37"/>
      <c r="PPK48" s="37"/>
      <c r="PPL48" s="37"/>
      <c r="PPM48" s="37"/>
      <c r="PPN48" s="37"/>
      <c r="PPO48" s="37"/>
      <c r="PPP48" s="37"/>
      <c r="PPQ48" s="37"/>
      <c r="PPR48" s="37"/>
      <c r="PPS48" s="37"/>
      <c r="PPT48" s="37"/>
      <c r="PPU48" s="37"/>
      <c r="PPV48" s="37"/>
      <c r="PPW48" s="37"/>
      <c r="PPX48" s="37"/>
      <c r="PPY48" s="37"/>
      <c r="PPZ48" s="37"/>
      <c r="PQA48" s="37"/>
      <c r="PQB48" s="37"/>
      <c r="PQC48" s="37"/>
      <c r="PQD48" s="37"/>
      <c r="PQE48" s="37"/>
      <c r="PQF48" s="37"/>
      <c r="PQG48" s="37"/>
      <c r="PQH48" s="37"/>
      <c r="PQI48" s="37"/>
      <c r="PQJ48" s="37"/>
      <c r="PQK48" s="37"/>
      <c r="PQL48" s="37"/>
      <c r="PQM48" s="37"/>
      <c r="PQN48" s="37"/>
      <c r="PQO48" s="37"/>
      <c r="PQP48" s="37"/>
      <c r="PQQ48" s="37"/>
      <c r="PQR48" s="37"/>
      <c r="PQS48" s="37"/>
      <c r="PQT48" s="37"/>
      <c r="PQU48" s="37"/>
      <c r="PQV48" s="37"/>
      <c r="PQW48" s="37"/>
      <c r="PQX48" s="37"/>
      <c r="PQY48" s="37"/>
      <c r="PQZ48" s="37"/>
      <c r="PRA48" s="37"/>
      <c r="PRB48" s="37"/>
      <c r="PRC48" s="37"/>
      <c r="PRD48" s="37"/>
      <c r="PRE48" s="37"/>
      <c r="PRF48" s="37"/>
      <c r="PRG48" s="37"/>
      <c r="PRH48" s="37"/>
      <c r="PRI48" s="37"/>
      <c r="PRJ48" s="37"/>
      <c r="PRK48" s="37"/>
      <c r="PRL48" s="37"/>
      <c r="PRM48" s="37"/>
      <c r="PRN48" s="37"/>
      <c r="PRO48" s="37"/>
      <c r="PRP48" s="37"/>
      <c r="PRQ48" s="37"/>
      <c r="PRR48" s="37"/>
      <c r="PRS48" s="37"/>
      <c r="PRT48" s="37"/>
      <c r="PRU48" s="37"/>
      <c r="PRV48" s="37"/>
      <c r="PRW48" s="37"/>
      <c r="PRX48" s="37"/>
      <c r="PRY48" s="37"/>
      <c r="PRZ48" s="37"/>
      <c r="PSA48" s="37"/>
      <c r="PSB48" s="37"/>
      <c r="PSC48" s="37"/>
      <c r="PSD48" s="37"/>
      <c r="PSE48" s="37"/>
      <c r="PSF48" s="37"/>
      <c r="PSG48" s="37"/>
      <c r="PSH48" s="37"/>
      <c r="PSI48" s="37"/>
      <c r="PSJ48" s="37"/>
      <c r="PSK48" s="37"/>
      <c r="PSL48" s="37"/>
      <c r="PSM48" s="37"/>
      <c r="PSN48" s="37"/>
      <c r="PSO48" s="37"/>
      <c r="PSP48" s="37"/>
      <c r="PSQ48" s="37"/>
      <c r="PSR48" s="37"/>
      <c r="PSS48" s="37"/>
      <c r="PST48" s="37"/>
      <c r="PSU48" s="37"/>
      <c r="PSV48" s="37"/>
      <c r="PSW48" s="37"/>
      <c r="PSX48" s="37"/>
      <c r="PSY48" s="37"/>
      <c r="PSZ48" s="37"/>
      <c r="PTA48" s="37"/>
      <c r="PTB48" s="37"/>
      <c r="PTC48" s="37"/>
      <c r="PTD48" s="37"/>
      <c r="PTE48" s="37"/>
      <c r="PTF48" s="37"/>
      <c r="PTG48" s="37"/>
      <c r="PTH48" s="37"/>
      <c r="PTI48" s="37"/>
      <c r="PTJ48" s="37"/>
      <c r="PTK48" s="37"/>
      <c r="PTL48" s="37"/>
      <c r="PTM48" s="37"/>
      <c r="PTN48" s="37"/>
      <c r="PTO48" s="37"/>
      <c r="PTP48" s="37"/>
      <c r="PTQ48" s="37"/>
      <c r="PTR48" s="37"/>
      <c r="PTS48" s="37"/>
      <c r="PTT48" s="37"/>
      <c r="PTU48" s="37"/>
      <c r="PTV48" s="37"/>
      <c r="PTW48" s="37"/>
      <c r="PTX48" s="37"/>
      <c r="PTY48" s="37"/>
      <c r="PTZ48" s="37"/>
      <c r="PUA48" s="37"/>
      <c r="PUB48" s="37"/>
      <c r="PUC48" s="37"/>
      <c r="PUD48" s="37"/>
      <c r="PUE48" s="37"/>
      <c r="PUF48" s="37"/>
      <c r="PUG48" s="37"/>
      <c r="PUH48" s="37"/>
      <c r="PUI48" s="37"/>
      <c r="PUJ48" s="37"/>
      <c r="PUK48" s="37"/>
      <c r="PUL48" s="37"/>
      <c r="PUM48" s="37"/>
      <c r="PUN48" s="37"/>
      <c r="PUO48" s="37"/>
      <c r="PUP48" s="37"/>
      <c r="PUQ48" s="37"/>
      <c r="PUR48" s="37"/>
      <c r="PUS48" s="37"/>
      <c r="PUT48" s="37"/>
      <c r="PUU48" s="37"/>
      <c r="PUV48" s="37"/>
      <c r="PUW48" s="37"/>
      <c r="PUX48" s="37"/>
      <c r="PUY48" s="37"/>
      <c r="PUZ48" s="37"/>
      <c r="PVA48" s="37"/>
      <c r="PVB48" s="37"/>
      <c r="PVC48" s="37"/>
      <c r="PVD48" s="37"/>
      <c r="PVE48" s="37"/>
      <c r="PVF48" s="37"/>
      <c r="PVG48" s="37"/>
      <c r="PVH48" s="37"/>
      <c r="PVI48" s="37"/>
      <c r="PVJ48" s="37"/>
      <c r="PVK48" s="37"/>
      <c r="PVL48" s="37"/>
      <c r="PVM48" s="37"/>
      <c r="PVN48" s="37"/>
      <c r="PVO48" s="37"/>
      <c r="PVP48" s="37"/>
      <c r="PVQ48" s="37"/>
      <c r="PVR48" s="37"/>
      <c r="PVS48" s="37"/>
      <c r="PVT48" s="37"/>
      <c r="PVU48" s="37"/>
      <c r="PVV48" s="37"/>
      <c r="PVW48" s="37"/>
      <c r="PVX48" s="37"/>
      <c r="PVY48" s="37"/>
      <c r="PVZ48" s="37"/>
      <c r="PWA48" s="37"/>
      <c r="PWB48" s="37"/>
      <c r="PWC48" s="37"/>
      <c r="PWD48" s="37"/>
      <c r="PWE48" s="37"/>
      <c r="PWF48" s="37"/>
      <c r="PWG48" s="37"/>
      <c r="PWH48" s="37"/>
      <c r="PWI48" s="37"/>
      <c r="PWJ48" s="37"/>
      <c r="PWK48" s="37"/>
      <c r="PWL48" s="37"/>
      <c r="PWM48" s="37"/>
      <c r="PWN48" s="37"/>
      <c r="PWO48" s="37"/>
      <c r="PWP48" s="37"/>
      <c r="PWQ48" s="37"/>
      <c r="PWR48" s="37"/>
      <c r="PWS48" s="37"/>
      <c r="PWT48" s="37"/>
      <c r="PWU48" s="37"/>
      <c r="PWV48" s="37"/>
      <c r="PWW48" s="37"/>
      <c r="PWX48" s="37"/>
      <c r="PWY48" s="37"/>
      <c r="PWZ48" s="37"/>
      <c r="PXA48" s="37"/>
      <c r="PXB48" s="37"/>
      <c r="PXC48" s="37"/>
      <c r="PXD48" s="37"/>
      <c r="PXE48" s="37"/>
      <c r="PXF48" s="37"/>
      <c r="PXG48" s="37"/>
      <c r="PXH48" s="37"/>
      <c r="PXI48" s="37"/>
      <c r="PXJ48" s="37"/>
      <c r="PXK48" s="37"/>
      <c r="PXL48" s="37"/>
      <c r="PXM48" s="37"/>
      <c r="PXN48" s="37"/>
      <c r="PXO48" s="37"/>
      <c r="PXP48" s="37"/>
      <c r="PXQ48" s="37"/>
      <c r="PXR48" s="37"/>
      <c r="PXS48" s="37"/>
      <c r="PXT48" s="37"/>
      <c r="PXU48" s="37"/>
      <c r="PXV48" s="37"/>
      <c r="PXW48" s="37"/>
      <c r="PXX48" s="37"/>
      <c r="PXY48" s="37"/>
      <c r="PXZ48" s="37"/>
      <c r="PYA48" s="37"/>
      <c r="PYB48" s="37"/>
      <c r="PYC48" s="37"/>
      <c r="PYD48" s="37"/>
      <c r="PYE48" s="37"/>
      <c r="PYF48" s="37"/>
      <c r="PYG48" s="37"/>
      <c r="PYH48" s="37"/>
      <c r="PYI48" s="37"/>
      <c r="PYJ48" s="37"/>
      <c r="PYK48" s="37"/>
      <c r="PYL48" s="37"/>
      <c r="PYM48" s="37"/>
      <c r="PYN48" s="37"/>
      <c r="PYO48" s="37"/>
      <c r="PYP48" s="37"/>
      <c r="PYQ48" s="37"/>
      <c r="PYR48" s="37"/>
      <c r="PYS48" s="37"/>
      <c r="PYT48" s="37"/>
      <c r="PYU48" s="37"/>
      <c r="PYV48" s="37"/>
      <c r="PYW48" s="37"/>
      <c r="PYX48" s="37"/>
      <c r="PYY48" s="37"/>
      <c r="PYZ48" s="37"/>
      <c r="PZA48" s="37"/>
      <c r="PZB48" s="37"/>
      <c r="PZC48" s="37"/>
      <c r="PZD48" s="37"/>
      <c r="PZE48" s="37"/>
      <c r="PZF48" s="37"/>
      <c r="PZG48" s="37"/>
      <c r="PZH48" s="37"/>
      <c r="PZI48" s="37"/>
      <c r="PZJ48" s="37"/>
      <c r="PZK48" s="37"/>
      <c r="PZL48" s="37"/>
      <c r="PZM48" s="37"/>
      <c r="PZN48" s="37"/>
      <c r="PZO48" s="37"/>
      <c r="PZP48" s="37"/>
      <c r="PZQ48" s="37"/>
      <c r="PZR48" s="37"/>
      <c r="PZS48" s="37"/>
      <c r="PZT48" s="37"/>
      <c r="PZU48" s="37"/>
      <c r="PZV48" s="37"/>
      <c r="PZW48" s="37"/>
      <c r="PZX48" s="37"/>
      <c r="PZY48" s="37"/>
      <c r="PZZ48" s="37"/>
      <c r="QAA48" s="37"/>
      <c r="QAB48" s="37"/>
      <c r="QAC48" s="37"/>
      <c r="QAD48" s="37"/>
      <c r="QAE48" s="37"/>
      <c r="QAF48" s="37"/>
      <c r="QAG48" s="37"/>
      <c r="QAH48" s="37"/>
      <c r="QAI48" s="37"/>
      <c r="QAJ48" s="37"/>
      <c r="QAK48" s="37"/>
      <c r="QAL48" s="37"/>
      <c r="QAM48" s="37"/>
      <c r="QAN48" s="37"/>
      <c r="QAO48" s="37"/>
      <c r="QAP48" s="37"/>
      <c r="QAQ48" s="37"/>
      <c r="QAR48" s="37"/>
      <c r="QAS48" s="37"/>
      <c r="QAT48" s="37"/>
      <c r="QAU48" s="37"/>
      <c r="QAV48" s="37"/>
      <c r="QAW48" s="37"/>
      <c r="QAX48" s="37"/>
      <c r="QAY48" s="37"/>
      <c r="QAZ48" s="37"/>
      <c r="QBA48" s="37"/>
      <c r="QBB48" s="37"/>
      <c r="QBC48" s="37"/>
      <c r="QBD48" s="37"/>
      <c r="QBE48" s="37"/>
      <c r="QBF48" s="37"/>
      <c r="QBG48" s="37"/>
      <c r="QBH48" s="37"/>
      <c r="QBI48" s="37"/>
      <c r="QBJ48" s="37"/>
      <c r="QBK48" s="37"/>
      <c r="QBL48" s="37"/>
      <c r="QBM48" s="37"/>
      <c r="QBN48" s="37"/>
      <c r="QBO48" s="37"/>
      <c r="QBP48" s="37"/>
      <c r="QBQ48" s="37"/>
      <c r="QBR48" s="37"/>
      <c r="QBS48" s="37"/>
      <c r="QBT48" s="37"/>
      <c r="QBU48" s="37"/>
      <c r="QBV48" s="37"/>
      <c r="QBW48" s="37"/>
      <c r="QBX48" s="37"/>
      <c r="QBY48" s="37"/>
      <c r="QBZ48" s="37"/>
      <c r="QCA48" s="37"/>
      <c r="QCB48" s="37"/>
      <c r="QCC48" s="37"/>
      <c r="QCD48" s="37"/>
      <c r="QCE48" s="37"/>
      <c r="QCF48" s="37"/>
      <c r="QCG48" s="37"/>
      <c r="QCH48" s="37"/>
      <c r="QCI48" s="37"/>
      <c r="QCJ48" s="37"/>
      <c r="QCK48" s="37"/>
      <c r="QCL48" s="37"/>
      <c r="QCM48" s="37"/>
      <c r="QCN48" s="37"/>
      <c r="QCO48" s="37"/>
      <c r="QCP48" s="37"/>
      <c r="QCQ48" s="37"/>
      <c r="QCR48" s="37"/>
      <c r="QCS48" s="37"/>
      <c r="QCT48" s="37"/>
      <c r="QCU48" s="37"/>
      <c r="QCV48" s="37"/>
      <c r="QCW48" s="37"/>
      <c r="QCX48" s="37"/>
      <c r="QCY48" s="37"/>
      <c r="QCZ48" s="37"/>
      <c r="QDA48" s="37"/>
      <c r="QDB48" s="37"/>
      <c r="QDC48" s="37"/>
      <c r="QDD48" s="37"/>
      <c r="QDE48" s="37"/>
      <c r="QDF48" s="37"/>
      <c r="QDG48" s="37"/>
      <c r="QDH48" s="37"/>
      <c r="QDI48" s="37"/>
      <c r="QDJ48" s="37"/>
      <c r="QDK48" s="37"/>
      <c r="QDL48" s="37"/>
      <c r="QDM48" s="37"/>
      <c r="QDN48" s="37"/>
      <c r="QDO48" s="37"/>
      <c r="QDP48" s="37"/>
      <c r="QDQ48" s="37"/>
      <c r="QDR48" s="37"/>
      <c r="QDS48" s="37"/>
      <c r="QDT48" s="37"/>
      <c r="QDU48" s="37"/>
      <c r="QDV48" s="37"/>
      <c r="QDW48" s="37"/>
      <c r="QDX48" s="37"/>
      <c r="QDY48" s="37"/>
      <c r="QDZ48" s="37"/>
      <c r="QEA48" s="37"/>
      <c r="QEB48" s="37"/>
      <c r="QEC48" s="37"/>
      <c r="QED48" s="37"/>
      <c r="QEE48" s="37"/>
      <c r="QEF48" s="37"/>
      <c r="QEG48" s="37"/>
      <c r="QEH48" s="37"/>
      <c r="QEI48" s="37"/>
      <c r="QEJ48" s="37"/>
      <c r="QEK48" s="37"/>
      <c r="QEL48" s="37"/>
      <c r="QEM48" s="37"/>
      <c r="QEN48" s="37"/>
      <c r="QEO48" s="37"/>
      <c r="QEP48" s="37"/>
      <c r="QEQ48" s="37"/>
      <c r="QER48" s="37"/>
      <c r="QES48" s="37"/>
      <c r="QET48" s="37"/>
      <c r="QEU48" s="37"/>
      <c r="QEV48" s="37"/>
      <c r="QEW48" s="37"/>
      <c r="QEX48" s="37"/>
      <c r="QEY48" s="37"/>
      <c r="QEZ48" s="37"/>
      <c r="QFA48" s="37"/>
      <c r="QFB48" s="37"/>
      <c r="QFC48" s="37"/>
      <c r="QFD48" s="37"/>
      <c r="QFE48" s="37"/>
      <c r="QFF48" s="37"/>
      <c r="QFG48" s="37"/>
      <c r="QFH48" s="37"/>
      <c r="QFI48" s="37"/>
      <c r="QFJ48" s="37"/>
      <c r="QFK48" s="37"/>
      <c r="QFL48" s="37"/>
      <c r="QFM48" s="37"/>
      <c r="QFN48" s="37"/>
      <c r="QFO48" s="37"/>
      <c r="QFP48" s="37"/>
      <c r="QFQ48" s="37"/>
      <c r="QFR48" s="37"/>
      <c r="QFS48" s="37"/>
      <c r="QFT48" s="37"/>
      <c r="QFU48" s="37"/>
      <c r="QFV48" s="37"/>
      <c r="QFW48" s="37"/>
      <c r="QFX48" s="37"/>
      <c r="QFY48" s="37"/>
      <c r="QFZ48" s="37"/>
      <c r="QGA48" s="37"/>
      <c r="QGB48" s="37"/>
      <c r="QGC48" s="37"/>
      <c r="QGD48" s="37"/>
      <c r="QGE48" s="37"/>
      <c r="QGF48" s="37"/>
      <c r="QGG48" s="37"/>
      <c r="QGH48" s="37"/>
      <c r="QGI48" s="37"/>
      <c r="QGJ48" s="37"/>
      <c r="QGK48" s="37"/>
      <c r="QGL48" s="37"/>
      <c r="QGM48" s="37"/>
      <c r="QGN48" s="37"/>
      <c r="QGO48" s="37"/>
      <c r="QGP48" s="37"/>
      <c r="QGQ48" s="37"/>
      <c r="QGR48" s="37"/>
      <c r="QGS48" s="37"/>
      <c r="QGT48" s="37"/>
      <c r="QGU48" s="37"/>
      <c r="QGV48" s="37"/>
      <c r="QGW48" s="37"/>
      <c r="QGX48" s="37"/>
      <c r="QGY48" s="37"/>
      <c r="QGZ48" s="37"/>
      <c r="QHA48" s="37"/>
      <c r="QHB48" s="37"/>
      <c r="QHC48" s="37"/>
      <c r="QHD48" s="37"/>
      <c r="QHE48" s="37"/>
      <c r="QHF48" s="37"/>
      <c r="QHG48" s="37"/>
      <c r="QHH48" s="37"/>
      <c r="QHI48" s="37"/>
      <c r="QHJ48" s="37"/>
      <c r="QHK48" s="37"/>
      <c r="QHL48" s="37"/>
      <c r="QHM48" s="37"/>
      <c r="QHN48" s="37"/>
      <c r="QHO48" s="37"/>
      <c r="QHP48" s="37"/>
      <c r="QHQ48" s="37"/>
      <c r="QHR48" s="37"/>
      <c r="QHS48" s="37"/>
      <c r="QHT48" s="37"/>
      <c r="QHU48" s="37"/>
      <c r="QHV48" s="37"/>
      <c r="QHW48" s="37"/>
      <c r="QHX48" s="37"/>
      <c r="QHY48" s="37"/>
      <c r="QHZ48" s="37"/>
      <c r="QIA48" s="37"/>
      <c r="QIB48" s="37"/>
      <c r="QIC48" s="37"/>
      <c r="QID48" s="37"/>
      <c r="QIE48" s="37"/>
      <c r="QIF48" s="37"/>
      <c r="QIG48" s="37"/>
      <c r="QIH48" s="37"/>
      <c r="QII48" s="37"/>
      <c r="QIJ48" s="37"/>
      <c r="QIK48" s="37"/>
      <c r="QIL48" s="37"/>
      <c r="QIM48" s="37"/>
      <c r="QIN48" s="37"/>
      <c r="QIO48" s="37"/>
      <c r="QIP48" s="37"/>
      <c r="QIQ48" s="37"/>
      <c r="QIR48" s="37"/>
      <c r="QIS48" s="37"/>
      <c r="QIT48" s="37"/>
      <c r="QIU48" s="37"/>
      <c r="QIV48" s="37"/>
      <c r="QIW48" s="37"/>
      <c r="QIX48" s="37"/>
      <c r="QIY48" s="37"/>
      <c r="QIZ48" s="37"/>
      <c r="QJA48" s="37"/>
      <c r="QJB48" s="37"/>
      <c r="QJC48" s="37"/>
      <c r="QJD48" s="37"/>
      <c r="QJE48" s="37"/>
      <c r="QJF48" s="37"/>
      <c r="QJG48" s="37"/>
      <c r="QJH48" s="37"/>
      <c r="QJI48" s="37"/>
      <c r="QJJ48" s="37"/>
      <c r="QJK48" s="37"/>
      <c r="QJL48" s="37"/>
      <c r="QJM48" s="37"/>
      <c r="QJN48" s="37"/>
      <c r="QJO48" s="37"/>
      <c r="QJP48" s="37"/>
      <c r="QJQ48" s="37"/>
      <c r="QJR48" s="37"/>
      <c r="QJS48" s="37"/>
      <c r="QJT48" s="37"/>
      <c r="QJU48" s="37"/>
      <c r="QJV48" s="37"/>
      <c r="QJW48" s="37"/>
      <c r="QJX48" s="37"/>
      <c r="QJY48" s="37"/>
      <c r="QJZ48" s="37"/>
      <c r="QKA48" s="37"/>
      <c r="QKB48" s="37"/>
      <c r="QKC48" s="37"/>
      <c r="QKD48" s="37"/>
      <c r="QKE48" s="37"/>
      <c r="QKF48" s="37"/>
      <c r="QKG48" s="37"/>
      <c r="QKH48" s="37"/>
      <c r="QKI48" s="37"/>
      <c r="QKJ48" s="37"/>
      <c r="QKK48" s="37"/>
      <c r="QKL48" s="37"/>
      <c r="QKM48" s="37"/>
      <c r="QKN48" s="37"/>
      <c r="QKO48" s="37"/>
      <c r="QKP48" s="37"/>
      <c r="QKQ48" s="37"/>
      <c r="QKR48" s="37"/>
      <c r="QKS48" s="37"/>
      <c r="QKT48" s="37"/>
      <c r="QKU48" s="37"/>
      <c r="QKV48" s="37"/>
      <c r="QKW48" s="37"/>
      <c r="QKX48" s="37"/>
      <c r="QKY48" s="37"/>
      <c r="QKZ48" s="37"/>
      <c r="QLA48" s="37"/>
      <c r="QLB48" s="37"/>
      <c r="QLC48" s="37"/>
      <c r="QLD48" s="37"/>
      <c r="QLE48" s="37"/>
      <c r="QLF48" s="37"/>
      <c r="QLG48" s="37"/>
      <c r="QLH48" s="37"/>
      <c r="QLI48" s="37"/>
      <c r="QLJ48" s="37"/>
      <c r="QLK48" s="37"/>
      <c r="QLL48" s="37"/>
      <c r="QLM48" s="37"/>
      <c r="QLN48" s="37"/>
      <c r="QLO48" s="37"/>
      <c r="QLP48" s="37"/>
      <c r="QLQ48" s="37"/>
      <c r="QLR48" s="37"/>
      <c r="QLS48" s="37"/>
      <c r="QLT48" s="37"/>
      <c r="QLU48" s="37"/>
      <c r="QLV48" s="37"/>
      <c r="QLW48" s="37"/>
      <c r="QLX48" s="37"/>
      <c r="QLY48" s="37"/>
      <c r="QLZ48" s="37"/>
      <c r="QMA48" s="37"/>
      <c r="QMB48" s="37"/>
      <c r="QMC48" s="37"/>
      <c r="QMD48" s="37"/>
      <c r="QME48" s="37"/>
      <c r="QMF48" s="37"/>
      <c r="QMG48" s="37"/>
      <c r="QMH48" s="37"/>
      <c r="QMI48" s="37"/>
      <c r="QMJ48" s="37"/>
      <c r="QMK48" s="37"/>
      <c r="QML48" s="37"/>
      <c r="QMM48" s="37"/>
      <c r="QMN48" s="37"/>
      <c r="QMO48" s="37"/>
      <c r="QMP48" s="37"/>
      <c r="QMQ48" s="37"/>
      <c r="QMR48" s="37"/>
      <c r="QMS48" s="37"/>
      <c r="QMT48" s="37"/>
      <c r="QMU48" s="37"/>
      <c r="QMV48" s="37"/>
      <c r="QMW48" s="37"/>
      <c r="QMX48" s="37"/>
      <c r="QMY48" s="37"/>
      <c r="QMZ48" s="37"/>
      <c r="QNA48" s="37"/>
      <c r="QNB48" s="37"/>
      <c r="QNC48" s="37"/>
      <c r="QND48" s="37"/>
      <c r="QNE48" s="37"/>
      <c r="QNF48" s="37"/>
      <c r="QNG48" s="37"/>
      <c r="QNH48" s="37"/>
      <c r="QNI48" s="37"/>
      <c r="QNJ48" s="37"/>
      <c r="QNK48" s="37"/>
      <c r="QNL48" s="37"/>
      <c r="QNM48" s="37"/>
      <c r="QNN48" s="37"/>
      <c r="QNO48" s="37"/>
      <c r="QNP48" s="37"/>
      <c r="QNQ48" s="37"/>
      <c r="QNR48" s="37"/>
      <c r="QNS48" s="37"/>
      <c r="QNT48" s="37"/>
      <c r="QNU48" s="37"/>
      <c r="QNV48" s="37"/>
      <c r="QNW48" s="37"/>
      <c r="QNX48" s="37"/>
      <c r="QNY48" s="37"/>
      <c r="QNZ48" s="37"/>
      <c r="QOA48" s="37"/>
      <c r="QOB48" s="37"/>
      <c r="QOC48" s="37"/>
      <c r="QOD48" s="37"/>
      <c r="QOE48" s="37"/>
      <c r="QOF48" s="37"/>
      <c r="QOG48" s="37"/>
      <c r="QOH48" s="37"/>
      <c r="QOI48" s="37"/>
      <c r="QOJ48" s="37"/>
      <c r="QOK48" s="37"/>
      <c r="QOL48" s="37"/>
      <c r="QOM48" s="37"/>
      <c r="QON48" s="37"/>
      <c r="QOO48" s="37"/>
      <c r="QOP48" s="37"/>
      <c r="QOQ48" s="37"/>
      <c r="QOR48" s="37"/>
      <c r="QOS48" s="37"/>
      <c r="QOT48" s="37"/>
      <c r="QOU48" s="37"/>
      <c r="QOV48" s="37"/>
      <c r="QOW48" s="37"/>
      <c r="QOX48" s="37"/>
      <c r="QOY48" s="37"/>
      <c r="QOZ48" s="37"/>
      <c r="QPA48" s="37"/>
      <c r="QPB48" s="37"/>
      <c r="QPC48" s="37"/>
      <c r="QPD48" s="37"/>
      <c r="QPE48" s="37"/>
      <c r="QPF48" s="37"/>
      <c r="QPG48" s="37"/>
      <c r="QPH48" s="37"/>
      <c r="QPI48" s="37"/>
      <c r="QPJ48" s="37"/>
      <c r="QPK48" s="37"/>
      <c r="QPL48" s="37"/>
      <c r="QPM48" s="37"/>
      <c r="QPN48" s="37"/>
      <c r="QPO48" s="37"/>
      <c r="QPP48" s="37"/>
      <c r="QPQ48" s="37"/>
      <c r="QPR48" s="37"/>
      <c r="QPS48" s="37"/>
      <c r="QPT48" s="37"/>
      <c r="QPU48" s="37"/>
      <c r="QPV48" s="37"/>
      <c r="QPW48" s="37"/>
      <c r="QPX48" s="37"/>
      <c r="QPY48" s="37"/>
      <c r="QPZ48" s="37"/>
      <c r="QQA48" s="37"/>
      <c r="QQB48" s="37"/>
      <c r="QQC48" s="37"/>
      <c r="QQD48" s="37"/>
      <c r="QQE48" s="37"/>
      <c r="QQF48" s="37"/>
      <c r="QQG48" s="37"/>
      <c r="QQH48" s="37"/>
      <c r="QQI48" s="37"/>
      <c r="QQJ48" s="37"/>
      <c r="QQK48" s="37"/>
      <c r="QQL48" s="37"/>
      <c r="QQM48" s="37"/>
      <c r="QQN48" s="37"/>
      <c r="QQO48" s="37"/>
      <c r="QQP48" s="37"/>
      <c r="QQQ48" s="37"/>
      <c r="QQR48" s="37"/>
      <c r="QQS48" s="37"/>
      <c r="QQT48" s="37"/>
      <c r="QQU48" s="37"/>
      <c r="QQV48" s="37"/>
      <c r="QQW48" s="37"/>
      <c r="QQX48" s="37"/>
      <c r="QQY48" s="37"/>
      <c r="QQZ48" s="37"/>
      <c r="QRA48" s="37"/>
      <c r="QRB48" s="37"/>
      <c r="QRC48" s="37"/>
      <c r="QRD48" s="37"/>
      <c r="QRE48" s="37"/>
      <c r="QRF48" s="37"/>
      <c r="QRG48" s="37"/>
      <c r="QRH48" s="37"/>
      <c r="QRI48" s="37"/>
      <c r="QRJ48" s="37"/>
      <c r="QRK48" s="37"/>
      <c r="QRL48" s="37"/>
      <c r="QRM48" s="37"/>
      <c r="QRN48" s="37"/>
      <c r="QRO48" s="37"/>
      <c r="QRP48" s="37"/>
      <c r="QRQ48" s="37"/>
      <c r="QRR48" s="37"/>
      <c r="QRS48" s="37"/>
      <c r="QRT48" s="37"/>
      <c r="QRU48" s="37"/>
      <c r="QRV48" s="37"/>
      <c r="QRW48" s="37"/>
      <c r="QRX48" s="37"/>
      <c r="QRY48" s="37"/>
      <c r="QRZ48" s="37"/>
      <c r="QSA48" s="37"/>
      <c r="QSB48" s="37"/>
      <c r="QSC48" s="37"/>
      <c r="QSD48" s="37"/>
      <c r="QSE48" s="37"/>
      <c r="QSF48" s="37"/>
      <c r="QSG48" s="37"/>
      <c r="QSH48" s="37"/>
      <c r="QSI48" s="37"/>
      <c r="QSJ48" s="37"/>
      <c r="QSK48" s="37"/>
      <c r="QSL48" s="37"/>
      <c r="QSM48" s="37"/>
      <c r="QSN48" s="37"/>
      <c r="QSO48" s="37"/>
      <c r="QSP48" s="37"/>
      <c r="QSQ48" s="37"/>
      <c r="QSR48" s="37"/>
      <c r="QSS48" s="37"/>
      <c r="QST48" s="37"/>
      <c r="QSU48" s="37"/>
      <c r="QSV48" s="37"/>
      <c r="QSW48" s="37"/>
      <c r="QSX48" s="37"/>
      <c r="QSY48" s="37"/>
      <c r="QSZ48" s="37"/>
      <c r="QTA48" s="37"/>
      <c r="QTB48" s="37"/>
      <c r="QTC48" s="37"/>
      <c r="QTD48" s="37"/>
      <c r="QTE48" s="37"/>
      <c r="QTF48" s="37"/>
      <c r="QTG48" s="37"/>
      <c r="QTH48" s="37"/>
      <c r="QTI48" s="37"/>
      <c r="QTJ48" s="37"/>
      <c r="QTK48" s="37"/>
      <c r="QTL48" s="37"/>
      <c r="QTM48" s="37"/>
      <c r="QTN48" s="37"/>
      <c r="QTO48" s="37"/>
      <c r="QTP48" s="37"/>
      <c r="QTQ48" s="37"/>
      <c r="QTR48" s="37"/>
      <c r="QTS48" s="37"/>
      <c r="QTT48" s="37"/>
      <c r="QTU48" s="37"/>
      <c r="QTV48" s="37"/>
      <c r="QTW48" s="37"/>
      <c r="QTX48" s="37"/>
      <c r="QTY48" s="37"/>
      <c r="QTZ48" s="37"/>
      <c r="QUA48" s="37"/>
      <c r="QUB48" s="37"/>
      <c r="QUC48" s="37"/>
      <c r="QUD48" s="37"/>
      <c r="QUE48" s="37"/>
      <c r="QUF48" s="37"/>
      <c r="QUG48" s="37"/>
      <c r="QUH48" s="37"/>
      <c r="QUI48" s="37"/>
      <c r="QUJ48" s="37"/>
      <c r="QUK48" s="37"/>
      <c r="QUL48" s="37"/>
      <c r="QUM48" s="37"/>
      <c r="QUN48" s="37"/>
      <c r="QUO48" s="37"/>
      <c r="QUP48" s="37"/>
      <c r="QUQ48" s="37"/>
      <c r="QUR48" s="37"/>
      <c r="QUS48" s="37"/>
      <c r="QUT48" s="37"/>
      <c r="QUU48" s="37"/>
      <c r="QUV48" s="37"/>
      <c r="QUW48" s="37"/>
      <c r="QUX48" s="37"/>
      <c r="QUY48" s="37"/>
      <c r="QUZ48" s="37"/>
      <c r="QVA48" s="37"/>
      <c r="QVB48" s="37"/>
      <c r="QVC48" s="37"/>
      <c r="QVD48" s="37"/>
      <c r="QVE48" s="37"/>
      <c r="QVF48" s="37"/>
      <c r="QVG48" s="37"/>
      <c r="QVH48" s="37"/>
      <c r="QVI48" s="37"/>
      <c r="QVJ48" s="37"/>
      <c r="QVK48" s="37"/>
      <c r="QVL48" s="37"/>
      <c r="QVM48" s="37"/>
      <c r="QVN48" s="37"/>
      <c r="QVO48" s="37"/>
      <c r="QVP48" s="37"/>
      <c r="QVQ48" s="37"/>
      <c r="QVR48" s="37"/>
      <c r="QVS48" s="37"/>
      <c r="QVT48" s="37"/>
      <c r="QVU48" s="37"/>
      <c r="QVV48" s="37"/>
      <c r="QVW48" s="37"/>
      <c r="QVX48" s="37"/>
      <c r="QVY48" s="37"/>
      <c r="QVZ48" s="37"/>
      <c r="QWA48" s="37"/>
      <c r="QWB48" s="37"/>
      <c r="QWC48" s="37"/>
      <c r="QWD48" s="37"/>
      <c r="QWE48" s="37"/>
      <c r="QWF48" s="37"/>
      <c r="QWG48" s="37"/>
      <c r="QWH48" s="37"/>
      <c r="QWI48" s="37"/>
      <c r="QWJ48" s="37"/>
      <c r="QWK48" s="37"/>
      <c r="QWL48" s="37"/>
      <c r="QWM48" s="37"/>
      <c r="QWN48" s="37"/>
      <c r="QWO48" s="37"/>
      <c r="QWP48" s="37"/>
      <c r="QWQ48" s="37"/>
      <c r="QWR48" s="37"/>
      <c r="QWS48" s="37"/>
      <c r="QWT48" s="37"/>
      <c r="QWU48" s="37"/>
      <c r="QWV48" s="37"/>
      <c r="QWW48" s="37"/>
      <c r="QWX48" s="37"/>
      <c r="QWY48" s="37"/>
      <c r="QWZ48" s="37"/>
      <c r="QXA48" s="37"/>
      <c r="QXB48" s="37"/>
      <c r="QXC48" s="37"/>
      <c r="QXD48" s="37"/>
      <c r="QXE48" s="37"/>
      <c r="QXF48" s="37"/>
      <c r="QXG48" s="37"/>
      <c r="QXH48" s="37"/>
      <c r="QXI48" s="37"/>
      <c r="QXJ48" s="37"/>
      <c r="QXK48" s="37"/>
      <c r="QXL48" s="37"/>
      <c r="QXM48" s="37"/>
      <c r="QXN48" s="37"/>
      <c r="QXO48" s="37"/>
      <c r="QXP48" s="37"/>
      <c r="QXQ48" s="37"/>
      <c r="QXR48" s="37"/>
      <c r="QXS48" s="37"/>
      <c r="QXT48" s="37"/>
      <c r="QXU48" s="37"/>
      <c r="QXV48" s="37"/>
      <c r="QXW48" s="37"/>
      <c r="QXX48" s="37"/>
      <c r="QXY48" s="37"/>
      <c r="QXZ48" s="37"/>
      <c r="QYA48" s="37"/>
      <c r="QYB48" s="37"/>
      <c r="QYC48" s="37"/>
      <c r="QYD48" s="37"/>
      <c r="QYE48" s="37"/>
      <c r="QYF48" s="37"/>
      <c r="QYG48" s="37"/>
      <c r="QYH48" s="37"/>
      <c r="QYI48" s="37"/>
      <c r="QYJ48" s="37"/>
      <c r="QYK48" s="37"/>
      <c r="QYL48" s="37"/>
      <c r="QYM48" s="37"/>
      <c r="QYN48" s="37"/>
      <c r="QYO48" s="37"/>
      <c r="QYP48" s="37"/>
      <c r="QYQ48" s="37"/>
      <c r="QYR48" s="37"/>
      <c r="QYS48" s="37"/>
      <c r="QYT48" s="37"/>
      <c r="QYU48" s="37"/>
      <c r="QYV48" s="37"/>
      <c r="QYW48" s="37"/>
      <c r="QYX48" s="37"/>
      <c r="QYY48" s="37"/>
      <c r="QYZ48" s="37"/>
      <c r="QZA48" s="37"/>
      <c r="QZB48" s="37"/>
      <c r="QZC48" s="37"/>
      <c r="QZD48" s="37"/>
      <c r="QZE48" s="37"/>
      <c r="QZF48" s="37"/>
      <c r="QZG48" s="37"/>
      <c r="QZH48" s="37"/>
      <c r="QZI48" s="37"/>
      <c r="QZJ48" s="37"/>
      <c r="QZK48" s="37"/>
      <c r="QZL48" s="37"/>
      <c r="QZM48" s="37"/>
      <c r="QZN48" s="37"/>
      <c r="QZO48" s="37"/>
      <c r="QZP48" s="37"/>
      <c r="QZQ48" s="37"/>
      <c r="QZR48" s="37"/>
      <c r="QZS48" s="37"/>
      <c r="QZT48" s="37"/>
      <c r="QZU48" s="37"/>
      <c r="QZV48" s="37"/>
      <c r="QZW48" s="37"/>
      <c r="QZX48" s="37"/>
      <c r="QZY48" s="37"/>
      <c r="QZZ48" s="37"/>
      <c r="RAA48" s="37"/>
      <c r="RAB48" s="37"/>
      <c r="RAC48" s="37"/>
      <c r="RAD48" s="37"/>
      <c r="RAE48" s="37"/>
      <c r="RAF48" s="37"/>
      <c r="RAG48" s="37"/>
      <c r="RAH48" s="37"/>
      <c r="RAI48" s="37"/>
      <c r="RAJ48" s="37"/>
      <c r="RAK48" s="37"/>
      <c r="RAL48" s="37"/>
      <c r="RAM48" s="37"/>
      <c r="RAN48" s="37"/>
      <c r="RAO48" s="37"/>
      <c r="RAP48" s="37"/>
      <c r="RAQ48" s="37"/>
      <c r="RAR48" s="37"/>
      <c r="RAS48" s="37"/>
      <c r="RAT48" s="37"/>
      <c r="RAU48" s="37"/>
      <c r="RAV48" s="37"/>
      <c r="RAW48" s="37"/>
      <c r="RAX48" s="37"/>
      <c r="RAY48" s="37"/>
      <c r="RAZ48" s="37"/>
      <c r="RBA48" s="37"/>
      <c r="RBB48" s="37"/>
      <c r="RBC48" s="37"/>
      <c r="RBD48" s="37"/>
      <c r="RBE48" s="37"/>
      <c r="RBF48" s="37"/>
      <c r="RBG48" s="37"/>
      <c r="RBH48" s="37"/>
      <c r="RBI48" s="37"/>
      <c r="RBJ48" s="37"/>
      <c r="RBK48" s="37"/>
      <c r="RBL48" s="37"/>
      <c r="RBM48" s="37"/>
      <c r="RBN48" s="37"/>
      <c r="RBO48" s="37"/>
      <c r="RBP48" s="37"/>
      <c r="RBQ48" s="37"/>
      <c r="RBR48" s="37"/>
      <c r="RBS48" s="37"/>
      <c r="RBT48" s="37"/>
      <c r="RBU48" s="37"/>
      <c r="RBV48" s="37"/>
      <c r="RBW48" s="37"/>
      <c r="RBX48" s="37"/>
      <c r="RBY48" s="37"/>
      <c r="RBZ48" s="37"/>
      <c r="RCA48" s="37"/>
      <c r="RCB48" s="37"/>
      <c r="RCC48" s="37"/>
      <c r="RCD48" s="37"/>
      <c r="RCE48" s="37"/>
      <c r="RCF48" s="37"/>
      <c r="RCG48" s="37"/>
      <c r="RCH48" s="37"/>
      <c r="RCI48" s="37"/>
      <c r="RCJ48" s="37"/>
      <c r="RCK48" s="37"/>
      <c r="RCL48" s="37"/>
      <c r="RCM48" s="37"/>
      <c r="RCN48" s="37"/>
      <c r="RCO48" s="37"/>
      <c r="RCP48" s="37"/>
      <c r="RCQ48" s="37"/>
      <c r="RCR48" s="37"/>
      <c r="RCS48" s="37"/>
      <c r="RCT48" s="37"/>
      <c r="RCU48" s="37"/>
      <c r="RCV48" s="37"/>
      <c r="RCW48" s="37"/>
      <c r="RCX48" s="37"/>
      <c r="RCY48" s="37"/>
      <c r="RCZ48" s="37"/>
      <c r="RDA48" s="37"/>
      <c r="RDB48" s="37"/>
      <c r="RDC48" s="37"/>
      <c r="RDD48" s="37"/>
      <c r="RDE48" s="37"/>
      <c r="RDF48" s="37"/>
      <c r="RDG48" s="37"/>
      <c r="RDH48" s="37"/>
      <c r="RDI48" s="37"/>
      <c r="RDJ48" s="37"/>
      <c r="RDK48" s="37"/>
      <c r="RDL48" s="37"/>
      <c r="RDM48" s="37"/>
      <c r="RDN48" s="37"/>
      <c r="RDO48" s="37"/>
      <c r="RDP48" s="37"/>
      <c r="RDQ48" s="37"/>
      <c r="RDR48" s="37"/>
      <c r="RDS48" s="37"/>
      <c r="RDT48" s="37"/>
      <c r="RDU48" s="37"/>
      <c r="RDV48" s="37"/>
      <c r="RDW48" s="37"/>
      <c r="RDX48" s="37"/>
      <c r="RDY48" s="37"/>
      <c r="RDZ48" s="37"/>
      <c r="REA48" s="37"/>
      <c r="REB48" s="37"/>
      <c r="REC48" s="37"/>
      <c r="RED48" s="37"/>
      <c r="REE48" s="37"/>
      <c r="REF48" s="37"/>
      <c r="REG48" s="37"/>
      <c r="REH48" s="37"/>
      <c r="REI48" s="37"/>
      <c r="REJ48" s="37"/>
      <c r="REK48" s="37"/>
      <c r="REL48" s="37"/>
      <c r="REM48" s="37"/>
      <c r="REN48" s="37"/>
      <c r="REO48" s="37"/>
      <c r="REP48" s="37"/>
      <c r="REQ48" s="37"/>
      <c r="RER48" s="37"/>
      <c r="RES48" s="37"/>
      <c r="RET48" s="37"/>
      <c r="REU48" s="37"/>
      <c r="REV48" s="37"/>
      <c r="REW48" s="37"/>
      <c r="REX48" s="37"/>
      <c r="REY48" s="37"/>
      <c r="REZ48" s="37"/>
      <c r="RFA48" s="37"/>
      <c r="RFB48" s="37"/>
      <c r="RFC48" s="37"/>
      <c r="RFD48" s="37"/>
      <c r="RFE48" s="37"/>
      <c r="RFF48" s="37"/>
      <c r="RFG48" s="37"/>
      <c r="RFH48" s="37"/>
      <c r="RFI48" s="37"/>
      <c r="RFJ48" s="37"/>
      <c r="RFK48" s="37"/>
      <c r="RFL48" s="37"/>
      <c r="RFM48" s="37"/>
      <c r="RFN48" s="37"/>
      <c r="RFO48" s="37"/>
      <c r="RFP48" s="37"/>
      <c r="RFQ48" s="37"/>
      <c r="RFR48" s="37"/>
      <c r="RFS48" s="37"/>
      <c r="RFT48" s="37"/>
      <c r="RFU48" s="37"/>
      <c r="RFV48" s="37"/>
      <c r="RFW48" s="37"/>
      <c r="RFX48" s="37"/>
      <c r="RFY48" s="37"/>
      <c r="RFZ48" s="37"/>
      <c r="RGA48" s="37"/>
      <c r="RGB48" s="37"/>
      <c r="RGC48" s="37"/>
      <c r="RGD48" s="37"/>
      <c r="RGE48" s="37"/>
      <c r="RGF48" s="37"/>
      <c r="RGG48" s="37"/>
      <c r="RGH48" s="37"/>
      <c r="RGI48" s="37"/>
      <c r="RGJ48" s="37"/>
      <c r="RGK48" s="37"/>
      <c r="RGL48" s="37"/>
      <c r="RGM48" s="37"/>
      <c r="RGN48" s="37"/>
      <c r="RGO48" s="37"/>
      <c r="RGP48" s="37"/>
      <c r="RGQ48" s="37"/>
      <c r="RGR48" s="37"/>
      <c r="RGS48" s="37"/>
      <c r="RGT48" s="37"/>
      <c r="RGU48" s="37"/>
      <c r="RGV48" s="37"/>
      <c r="RGW48" s="37"/>
      <c r="RGX48" s="37"/>
      <c r="RGY48" s="37"/>
      <c r="RGZ48" s="37"/>
      <c r="RHA48" s="37"/>
      <c r="RHB48" s="37"/>
      <c r="RHC48" s="37"/>
      <c r="RHD48" s="37"/>
      <c r="RHE48" s="37"/>
      <c r="RHF48" s="37"/>
      <c r="RHG48" s="37"/>
      <c r="RHH48" s="37"/>
      <c r="RHI48" s="37"/>
      <c r="RHJ48" s="37"/>
      <c r="RHK48" s="37"/>
      <c r="RHL48" s="37"/>
      <c r="RHM48" s="37"/>
      <c r="RHN48" s="37"/>
      <c r="RHO48" s="37"/>
      <c r="RHP48" s="37"/>
      <c r="RHQ48" s="37"/>
      <c r="RHR48" s="37"/>
      <c r="RHS48" s="37"/>
      <c r="RHT48" s="37"/>
      <c r="RHU48" s="37"/>
      <c r="RHV48" s="37"/>
      <c r="RHW48" s="37"/>
      <c r="RHX48" s="37"/>
      <c r="RHY48" s="37"/>
      <c r="RHZ48" s="37"/>
      <c r="RIA48" s="37"/>
      <c r="RIB48" s="37"/>
      <c r="RIC48" s="37"/>
      <c r="RID48" s="37"/>
      <c r="RIE48" s="37"/>
      <c r="RIF48" s="37"/>
      <c r="RIG48" s="37"/>
      <c r="RIH48" s="37"/>
      <c r="RII48" s="37"/>
      <c r="RIJ48" s="37"/>
      <c r="RIK48" s="37"/>
      <c r="RIL48" s="37"/>
      <c r="RIM48" s="37"/>
      <c r="RIN48" s="37"/>
      <c r="RIO48" s="37"/>
      <c r="RIP48" s="37"/>
      <c r="RIQ48" s="37"/>
      <c r="RIR48" s="37"/>
      <c r="RIS48" s="37"/>
      <c r="RIT48" s="37"/>
      <c r="RIU48" s="37"/>
      <c r="RIV48" s="37"/>
      <c r="RIW48" s="37"/>
      <c r="RIX48" s="37"/>
      <c r="RIY48" s="37"/>
      <c r="RIZ48" s="37"/>
      <c r="RJA48" s="37"/>
      <c r="RJB48" s="37"/>
      <c r="RJC48" s="37"/>
      <c r="RJD48" s="37"/>
      <c r="RJE48" s="37"/>
      <c r="RJF48" s="37"/>
      <c r="RJG48" s="37"/>
      <c r="RJH48" s="37"/>
      <c r="RJI48" s="37"/>
      <c r="RJJ48" s="37"/>
      <c r="RJK48" s="37"/>
      <c r="RJL48" s="37"/>
      <c r="RJM48" s="37"/>
      <c r="RJN48" s="37"/>
      <c r="RJO48" s="37"/>
      <c r="RJP48" s="37"/>
      <c r="RJQ48" s="37"/>
      <c r="RJR48" s="37"/>
      <c r="RJS48" s="37"/>
      <c r="RJT48" s="37"/>
      <c r="RJU48" s="37"/>
      <c r="RJV48" s="37"/>
      <c r="RJW48" s="37"/>
      <c r="RJX48" s="37"/>
      <c r="RJY48" s="37"/>
      <c r="RJZ48" s="37"/>
      <c r="RKA48" s="37"/>
      <c r="RKB48" s="37"/>
      <c r="RKC48" s="37"/>
      <c r="RKD48" s="37"/>
      <c r="RKE48" s="37"/>
      <c r="RKF48" s="37"/>
      <c r="RKG48" s="37"/>
      <c r="RKH48" s="37"/>
      <c r="RKI48" s="37"/>
      <c r="RKJ48" s="37"/>
      <c r="RKK48" s="37"/>
      <c r="RKL48" s="37"/>
      <c r="RKM48" s="37"/>
      <c r="RKN48" s="37"/>
      <c r="RKO48" s="37"/>
      <c r="RKP48" s="37"/>
      <c r="RKQ48" s="37"/>
      <c r="RKR48" s="37"/>
      <c r="RKS48" s="37"/>
      <c r="RKT48" s="37"/>
      <c r="RKU48" s="37"/>
      <c r="RKV48" s="37"/>
      <c r="RKW48" s="37"/>
      <c r="RKX48" s="37"/>
      <c r="RKY48" s="37"/>
      <c r="RKZ48" s="37"/>
      <c r="RLA48" s="37"/>
      <c r="RLB48" s="37"/>
      <c r="RLC48" s="37"/>
      <c r="RLD48" s="37"/>
      <c r="RLE48" s="37"/>
      <c r="RLF48" s="37"/>
      <c r="RLG48" s="37"/>
      <c r="RLH48" s="37"/>
      <c r="RLI48" s="37"/>
      <c r="RLJ48" s="37"/>
      <c r="RLK48" s="37"/>
      <c r="RLL48" s="37"/>
      <c r="RLM48" s="37"/>
      <c r="RLN48" s="37"/>
      <c r="RLO48" s="37"/>
      <c r="RLP48" s="37"/>
      <c r="RLQ48" s="37"/>
      <c r="RLR48" s="37"/>
      <c r="RLS48" s="37"/>
      <c r="RLT48" s="37"/>
      <c r="RLU48" s="37"/>
      <c r="RLV48" s="37"/>
      <c r="RLW48" s="37"/>
      <c r="RLX48" s="37"/>
      <c r="RLY48" s="37"/>
      <c r="RLZ48" s="37"/>
      <c r="RMA48" s="37"/>
      <c r="RMB48" s="37"/>
      <c r="RMC48" s="37"/>
      <c r="RMD48" s="37"/>
      <c r="RME48" s="37"/>
      <c r="RMF48" s="37"/>
      <c r="RMG48" s="37"/>
      <c r="RMH48" s="37"/>
      <c r="RMI48" s="37"/>
      <c r="RMJ48" s="37"/>
      <c r="RMK48" s="37"/>
      <c r="RML48" s="37"/>
      <c r="RMM48" s="37"/>
      <c r="RMN48" s="37"/>
      <c r="RMO48" s="37"/>
      <c r="RMP48" s="37"/>
      <c r="RMQ48" s="37"/>
      <c r="RMR48" s="37"/>
      <c r="RMS48" s="37"/>
      <c r="RMT48" s="37"/>
      <c r="RMU48" s="37"/>
      <c r="RMV48" s="37"/>
      <c r="RMW48" s="37"/>
      <c r="RMX48" s="37"/>
      <c r="RMY48" s="37"/>
      <c r="RMZ48" s="37"/>
      <c r="RNA48" s="37"/>
      <c r="RNB48" s="37"/>
      <c r="RNC48" s="37"/>
      <c r="RND48" s="37"/>
      <c r="RNE48" s="37"/>
      <c r="RNF48" s="37"/>
      <c r="RNG48" s="37"/>
      <c r="RNH48" s="37"/>
      <c r="RNI48" s="37"/>
      <c r="RNJ48" s="37"/>
      <c r="RNK48" s="37"/>
      <c r="RNL48" s="37"/>
      <c r="RNM48" s="37"/>
      <c r="RNN48" s="37"/>
      <c r="RNO48" s="37"/>
      <c r="RNP48" s="37"/>
      <c r="RNQ48" s="37"/>
      <c r="RNR48" s="37"/>
      <c r="RNS48" s="37"/>
      <c r="RNT48" s="37"/>
      <c r="RNU48" s="37"/>
      <c r="RNV48" s="37"/>
      <c r="RNW48" s="37"/>
      <c r="RNX48" s="37"/>
      <c r="RNY48" s="37"/>
      <c r="RNZ48" s="37"/>
      <c r="ROA48" s="37"/>
      <c r="ROB48" s="37"/>
      <c r="ROC48" s="37"/>
      <c r="ROD48" s="37"/>
      <c r="ROE48" s="37"/>
      <c r="ROF48" s="37"/>
      <c r="ROG48" s="37"/>
      <c r="ROH48" s="37"/>
      <c r="ROI48" s="37"/>
      <c r="ROJ48" s="37"/>
      <c r="ROK48" s="37"/>
      <c r="ROL48" s="37"/>
      <c r="ROM48" s="37"/>
      <c r="RON48" s="37"/>
      <c r="ROO48" s="37"/>
      <c r="ROP48" s="37"/>
      <c r="ROQ48" s="37"/>
      <c r="ROR48" s="37"/>
      <c r="ROS48" s="37"/>
      <c r="ROT48" s="37"/>
      <c r="ROU48" s="37"/>
      <c r="ROV48" s="37"/>
      <c r="ROW48" s="37"/>
      <c r="ROX48" s="37"/>
      <c r="ROY48" s="37"/>
      <c r="ROZ48" s="37"/>
      <c r="RPA48" s="37"/>
      <c r="RPB48" s="37"/>
      <c r="RPC48" s="37"/>
      <c r="RPD48" s="37"/>
      <c r="RPE48" s="37"/>
      <c r="RPF48" s="37"/>
      <c r="RPG48" s="37"/>
      <c r="RPH48" s="37"/>
      <c r="RPI48" s="37"/>
      <c r="RPJ48" s="37"/>
      <c r="RPK48" s="37"/>
      <c r="RPL48" s="37"/>
      <c r="RPM48" s="37"/>
      <c r="RPN48" s="37"/>
      <c r="RPO48" s="37"/>
      <c r="RPP48" s="37"/>
      <c r="RPQ48" s="37"/>
      <c r="RPR48" s="37"/>
      <c r="RPS48" s="37"/>
      <c r="RPT48" s="37"/>
      <c r="RPU48" s="37"/>
      <c r="RPV48" s="37"/>
      <c r="RPW48" s="37"/>
      <c r="RPX48" s="37"/>
      <c r="RPY48" s="37"/>
      <c r="RPZ48" s="37"/>
      <c r="RQA48" s="37"/>
      <c r="RQB48" s="37"/>
      <c r="RQC48" s="37"/>
      <c r="RQD48" s="37"/>
      <c r="RQE48" s="37"/>
      <c r="RQF48" s="37"/>
      <c r="RQG48" s="37"/>
      <c r="RQH48" s="37"/>
      <c r="RQI48" s="37"/>
      <c r="RQJ48" s="37"/>
      <c r="RQK48" s="37"/>
      <c r="RQL48" s="37"/>
      <c r="RQM48" s="37"/>
      <c r="RQN48" s="37"/>
      <c r="RQO48" s="37"/>
      <c r="RQP48" s="37"/>
      <c r="RQQ48" s="37"/>
      <c r="RQR48" s="37"/>
      <c r="RQS48" s="37"/>
      <c r="RQT48" s="37"/>
      <c r="RQU48" s="37"/>
      <c r="RQV48" s="37"/>
      <c r="RQW48" s="37"/>
      <c r="RQX48" s="37"/>
      <c r="RQY48" s="37"/>
      <c r="RQZ48" s="37"/>
      <c r="RRA48" s="37"/>
      <c r="RRB48" s="37"/>
      <c r="RRC48" s="37"/>
      <c r="RRD48" s="37"/>
      <c r="RRE48" s="37"/>
      <c r="RRF48" s="37"/>
      <c r="RRG48" s="37"/>
      <c r="RRH48" s="37"/>
      <c r="RRI48" s="37"/>
      <c r="RRJ48" s="37"/>
      <c r="RRK48" s="37"/>
      <c r="RRL48" s="37"/>
      <c r="RRM48" s="37"/>
      <c r="RRN48" s="37"/>
      <c r="RRO48" s="37"/>
      <c r="RRP48" s="37"/>
      <c r="RRQ48" s="37"/>
      <c r="RRR48" s="37"/>
      <c r="RRS48" s="37"/>
      <c r="RRT48" s="37"/>
      <c r="RRU48" s="37"/>
      <c r="RRV48" s="37"/>
      <c r="RRW48" s="37"/>
      <c r="RRX48" s="37"/>
      <c r="RRY48" s="37"/>
      <c r="RRZ48" s="37"/>
      <c r="RSA48" s="37"/>
      <c r="RSB48" s="37"/>
      <c r="RSC48" s="37"/>
      <c r="RSD48" s="37"/>
      <c r="RSE48" s="37"/>
      <c r="RSF48" s="37"/>
      <c r="RSG48" s="37"/>
      <c r="RSH48" s="37"/>
      <c r="RSI48" s="37"/>
      <c r="RSJ48" s="37"/>
      <c r="RSK48" s="37"/>
      <c r="RSL48" s="37"/>
      <c r="RSM48" s="37"/>
      <c r="RSN48" s="37"/>
      <c r="RSO48" s="37"/>
      <c r="RSP48" s="37"/>
      <c r="RSQ48" s="37"/>
      <c r="RSR48" s="37"/>
      <c r="RSS48" s="37"/>
      <c r="RST48" s="37"/>
      <c r="RSU48" s="37"/>
      <c r="RSV48" s="37"/>
      <c r="RSW48" s="37"/>
      <c r="RSX48" s="37"/>
      <c r="RSY48" s="37"/>
      <c r="RSZ48" s="37"/>
      <c r="RTA48" s="37"/>
      <c r="RTB48" s="37"/>
      <c r="RTC48" s="37"/>
      <c r="RTD48" s="37"/>
      <c r="RTE48" s="37"/>
      <c r="RTF48" s="37"/>
      <c r="RTG48" s="37"/>
      <c r="RTH48" s="37"/>
      <c r="RTI48" s="37"/>
      <c r="RTJ48" s="37"/>
      <c r="RTK48" s="37"/>
      <c r="RTL48" s="37"/>
      <c r="RTM48" s="37"/>
      <c r="RTN48" s="37"/>
      <c r="RTO48" s="37"/>
      <c r="RTP48" s="37"/>
      <c r="RTQ48" s="37"/>
      <c r="RTR48" s="37"/>
      <c r="RTS48" s="37"/>
      <c r="RTT48" s="37"/>
      <c r="RTU48" s="37"/>
      <c r="RTV48" s="37"/>
      <c r="RTW48" s="37"/>
      <c r="RTX48" s="37"/>
      <c r="RTY48" s="37"/>
      <c r="RTZ48" s="37"/>
      <c r="RUA48" s="37"/>
      <c r="RUB48" s="37"/>
      <c r="RUC48" s="37"/>
      <c r="RUD48" s="37"/>
      <c r="RUE48" s="37"/>
      <c r="RUF48" s="37"/>
      <c r="RUG48" s="37"/>
      <c r="RUH48" s="37"/>
      <c r="RUI48" s="37"/>
      <c r="RUJ48" s="37"/>
      <c r="RUK48" s="37"/>
      <c r="RUL48" s="37"/>
      <c r="RUM48" s="37"/>
      <c r="RUN48" s="37"/>
      <c r="RUO48" s="37"/>
      <c r="RUP48" s="37"/>
      <c r="RUQ48" s="37"/>
      <c r="RUR48" s="37"/>
      <c r="RUS48" s="37"/>
      <c r="RUT48" s="37"/>
      <c r="RUU48" s="37"/>
      <c r="RUV48" s="37"/>
      <c r="RUW48" s="37"/>
      <c r="RUX48" s="37"/>
      <c r="RUY48" s="37"/>
      <c r="RUZ48" s="37"/>
      <c r="RVA48" s="37"/>
      <c r="RVB48" s="37"/>
      <c r="RVC48" s="37"/>
      <c r="RVD48" s="37"/>
      <c r="RVE48" s="37"/>
      <c r="RVF48" s="37"/>
      <c r="RVG48" s="37"/>
      <c r="RVH48" s="37"/>
      <c r="RVI48" s="37"/>
      <c r="RVJ48" s="37"/>
      <c r="RVK48" s="37"/>
      <c r="RVL48" s="37"/>
      <c r="RVM48" s="37"/>
      <c r="RVN48" s="37"/>
      <c r="RVO48" s="37"/>
      <c r="RVP48" s="37"/>
      <c r="RVQ48" s="37"/>
      <c r="RVR48" s="37"/>
      <c r="RVS48" s="37"/>
      <c r="RVT48" s="37"/>
      <c r="RVU48" s="37"/>
      <c r="RVV48" s="37"/>
      <c r="RVW48" s="37"/>
      <c r="RVX48" s="37"/>
      <c r="RVY48" s="37"/>
      <c r="RVZ48" s="37"/>
      <c r="RWA48" s="37"/>
      <c r="RWB48" s="37"/>
      <c r="RWC48" s="37"/>
      <c r="RWD48" s="37"/>
      <c r="RWE48" s="37"/>
      <c r="RWF48" s="37"/>
      <c r="RWG48" s="37"/>
      <c r="RWH48" s="37"/>
      <c r="RWI48" s="37"/>
      <c r="RWJ48" s="37"/>
      <c r="RWK48" s="37"/>
      <c r="RWL48" s="37"/>
      <c r="RWM48" s="37"/>
      <c r="RWN48" s="37"/>
      <c r="RWO48" s="37"/>
      <c r="RWP48" s="37"/>
      <c r="RWQ48" s="37"/>
      <c r="RWR48" s="37"/>
      <c r="RWS48" s="37"/>
      <c r="RWT48" s="37"/>
      <c r="RWU48" s="37"/>
      <c r="RWV48" s="37"/>
      <c r="RWW48" s="37"/>
      <c r="RWX48" s="37"/>
      <c r="RWY48" s="37"/>
      <c r="RWZ48" s="37"/>
      <c r="RXA48" s="37"/>
      <c r="RXB48" s="37"/>
      <c r="RXC48" s="37"/>
      <c r="RXD48" s="37"/>
      <c r="RXE48" s="37"/>
      <c r="RXF48" s="37"/>
      <c r="RXG48" s="37"/>
      <c r="RXH48" s="37"/>
      <c r="RXI48" s="37"/>
      <c r="RXJ48" s="37"/>
      <c r="RXK48" s="37"/>
      <c r="RXL48" s="37"/>
      <c r="RXM48" s="37"/>
      <c r="RXN48" s="37"/>
      <c r="RXO48" s="37"/>
      <c r="RXP48" s="37"/>
      <c r="RXQ48" s="37"/>
      <c r="RXR48" s="37"/>
      <c r="RXS48" s="37"/>
      <c r="RXT48" s="37"/>
      <c r="RXU48" s="37"/>
      <c r="RXV48" s="37"/>
      <c r="RXW48" s="37"/>
      <c r="RXX48" s="37"/>
      <c r="RXY48" s="37"/>
      <c r="RXZ48" s="37"/>
      <c r="RYA48" s="37"/>
      <c r="RYB48" s="37"/>
      <c r="RYC48" s="37"/>
      <c r="RYD48" s="37"/>
      <c r="RYE48" s="37"/>
      <c r="RYF48" s="37"/>
      <c r="RYG48" s="37"/>
      <c r="RYH48" s="37"/>
      <c r="RYI48" s="37"/>
      <c r="RYJ48" s="37"/>
      <c r="RYK48" s="37"/>
      <c r="RYL48" s="37"/>
      <c r="RYM48" s="37"/>
      <c r="RYN48" s="37"/>
      <c r="RYO48" s="37"/>
      <c r="RYP48" s="37"/>
      <c r="RYQ48" s="37"/>
      <c r="RYR48" s="37"/>
      <c r="RYS48" s="37"/>
      <c r="RYT48" s="37"/>
      <c r="RYU48" s="37"/>
      <c r="RYV48" s="37"/>
      <c r="RYW48" s="37"/>
      <c r="RYX48" s="37"/>
      <c r="RYY48" s="37"/>
      <c r="RYZ48" s="37"/>
      <c r="RZA48" s="37"/>
      <c r="RZB48" s="37"/>
      <c r="RZC48" s="37"/>
      <c r="RZD48" s="37"/>
      <c r="RZE48" s="37"/>
      <c r="RZF48" s="37"/>
      <c r="RZG48" s="37"/>
      <c r="RZH48" s="37"/>
      <c r="RZI48" s="37"/>
      <c r="RZJ48" s="37"/>
      <c r="RZK48" s="37"/>
      <c r="RZL48" s="37"/>
      <c r="RZM48" s="37"/>
      <c r="RZN48" s="37"/>
      <c r="RZO48" s="37"/>
      <c r="RZP48" s="37"/>
      <c r="RZQ48" s="37"/>
      <c r="RZR48" s="37"/>
      <c r="RZS48" s="37"/>
      <c r="RZT48" s="37"/>
      <c r="RZU48" s="37"/>
      <c r="RZV48" s="37"/>
      <c r="RZW48" s="37"/>
      <c r="RZX48" s="37"/>
      <c r="RZY48" s="37"/>
      <c r="RZZ48" s="37"/>
      <c r="SAA48" s="37"/>
      <c r="SAB48" s="37"/>
      <c r="SAC48" s="37"/>
      <c r="SAD48" s="37"/>
      <c r="SAE48" s="37"/>
      <c r="SAF48" s="37"/>
      <c r="SAG48" s="37"/>
      <c r="SAH48" s="37"/>
      <c r="SAI48" s="37"/>
      <c r="SAJ48" s="37"/>
      <c r="SAK48" s="37"/>
      <c r="SAL48" s="37"/>
      <c r="SAM48" s="37"/>
      <c r="SAN48" s="37"/>
      <c r="SAO48" s="37"/>
      <c r="SAP48" s="37"/>
      <c r="SAQ48" s="37"/>
      <c r="SAR48" s="37"/>
      <c r="SAS48" s="37"/>
      <c r="SAT48" s="37"/>
      <c r="SAU48" s="37"/>
      <c r="SAV48" s="37"/>
      <c r="SAW48" s="37"/>
      <c r="SAX48" s="37"/>
      <c r="SAY48" s="37"/>
      <c r="SAZ48" s="37"/>
      <c r="SBA48" s="37"/>
      <c r="SBB48" s="37"/>
      <c r="SBC48" s="37"/>
      <c r="SBD48" s="37"/>
      <c r="SBE48" s="37"/>
      <c r="SBF48" s="37"/>
      <c r="SBG48" s="37"/>
      <c r="SBH48" s="37"/>
      <c r="SBI48" s="37"/>
      <c r="SBJ48" s="37"/>
      <c r="SBK48" s="37"/>
      <c r="SBL48" s="37"/>
      <c r="SBM48" s="37"/>
      <c r="SBN48" s="37"/>
      <c r="SBO48" s="37"/>
      <c r="SBP48" s="37"/>
      <c r="SBQ48" s="37"/>
      <c r="SBR48" s="37"/>
      <c r="SBS48" s="37"/>
      <c r="SBT48" s="37"/>
      <c r="SBU48" s="37"/>
      <c r="SBV48" s="37"/>
      <c r="SBW48" s="37"/>
      <c r="SBX48" s="37"/>
      <c r="SBY48" s="37"/>
      <c r="SBZ48" s="37"/>
      <c r="SCA48" s="37"/>
      <c r="SCB48" s="37"/>
      <c r="SCC48" s="37"/>
      <c r="SCD48" s="37"/>
      <c r="SCE48" s="37"/>
      <c r="SCF48" s="37"/>
      <c r="SCG48" s="37"/>
      <c r="SCH48" s="37"/>
      <c r="SCI48" s="37"/>
      <c r="SCJ48" s="37"/>
      <c r="SCK48" s="37"/>
      <c r="SCL48" s="37"/>
      <c r="SCM48" s="37"/>
      <c r="SCN48" s="37"/>
      <c r="SCO48" s="37"/>
      <c r="SCP48" s="37"/>
      <c r="SCQ48" s="37"/>
      <c r="SCR48" s="37"/>
      <c r="SCS48" s="37"/>
      <c r="SCT48" s="37"/>
      <c r="SCU48" s="37"/>
      <c r="SCV48" s="37"/>
      <c r="SCW48" s="37"/>
      <c r="SCX48" s="37"/>
      <c r="SCY48" s="37"/>
      <c r="SCZ48" s="37"/>
      <c r="SDA48" s="37"/>
      <c r="SDB48" s="37"/>
      <c r="SDC48" s="37"/>
      <c r="SDD48" s="37"/>
      <c r="SDE48" s="37"/>
      <c r="SDF48" s="37"/>
      <c r="SDG48" s="37"/>
      <c r="SDH48" s="37"/>
      <c r="SDI48" s="37"/>
      <c r="SDJ48" s="37"/>
      <c r="SDK48" s="37"/>
      <c r="SDL48" s="37"/>
      <c r="SDM48" s="37"/>
      <c r="SDN48" s="37"/>
      <c r="SDO48" s="37"/>
      <c r="SDP48" s="37"/>
      <c r="SDQ48" s="37"/>
      <c r="SDR48" s="37"/>
      <c r="SDS48" s="37"/>
      <c r="SDT48" s="37"/>
      <c r="SDU48" s="37"/>
      <c r="SDV48" s="37"/>
      <c r="SDW48" s="37"/>
      <c r="SDX48" s="37"/>
      <c r="SDY48" s="37"/>
      <c r="SDZ48" s="37"/>
      <c r="SEA48" s="37"/>
      <c r="SEB48" s="37"/>
      <c r="SEC48" s="37"/>
      <c r="SED48" s="37"/>
      <c r="SEE48" s="37"/>
      <c r="SEF48" s="37"/>
      <c r="SEG48" s="37"/>
      <c r="SEH48" s="37"/>
      <c r="SEI48" s="37"/>
      <c r="SEJ48" s="37"/>
      <c r="SEK48" s="37"/>
      <c r="SEL48" s="37"/>
      <c r="SEM48" s="37"/>
      <c r="SEN48" s="37"/>
      <c r="SEO48" s="37"/>
      <c r="SEP48" s="37"/>
      <c r="SEQ48" s="37"/>
      <c r="SER48" s="37"/>
      <c r="SES48" s="37"/>
      <c r="SET48" s="37"/>
      <c r="SEU48" s="37"/>
      <c r="SEV48" s="37"/>
      <c r="SEW48" s="37"/>
      <c r="SEX48" s="37"/>
      <c r="SEY48" s="37"/>
      <c r="SEZ48" s="37"/>
      <c r="SFA48" s="37"/>
      <c r="SFB48" s="37"/>
      <c r="SFC48" s="37"/>
      <c r="SFD48" s="37"/>
      <c r="SFE48" s="37"/>
      <c r="SFF48" s="37"/>
      <c r="SFG48" s="37"/>
      <c r="SFH48" s="37"/>
      <c r="SFI48" s="37"/>
      <c r="SFJ48" s="37"/>
      <c r="SFK48" s="37"/>
      <c r="SFL48" s="37"/>
      <c r="SFM48" s="37"/>
      <c r="SFN48" s="37"/>
      <c r="SFO48" s="37"/>
      <c r="SFP48" s="37"/>
      <c r="SFQ48" s="37"/>
      <c r="SFR48" s="37"/>
      <c r="SFS48" s="37"/>
      <c r="SFT48" s="37"/>
      <c r="SFU48" s="37"/>
      <c r="SFV48" s="37"/>
      <c r="SFW48" s="37"/>
      <c r="SFX48" s="37"/>
      <c r="SFY48" s="37"/>
      <c r="SFZ48" s="37"/>
      <c r="SGA48" s="37"/>
      <c r="SGB48" s="37"/>
      <c r="SGC48" s="37"/>
      <c r="SGD48" s="37"/>
      <c r="SGE48" s="37"/>
      <c r="SGF48" s="37"/>
      <c r="SGG48" s="37"/>
      <c r="SGH48" s="37"/>
      <c r="SGI48" s="37"/>
      <c r="SGJ48" s="37"/>
      <c r="SGK48" s="37"/>
      <c r="SGL48" s="37"/>
      <c r="SGM48" s="37"/>
      <c r="SGN48" s="37"/>
      <c r="SGO48" s="37"/>
      <c r="SGP48" s="37"/>
      <c r="SGQ48" s="37"/>
      <c r="SGR48" s="37"/>
      <c r="SGS48" s="37"/>
      <c r="SGT48" s="37"/>
      <c r="SGU48" s="37"/>
      <c r="SGV48" s="37"/>
      <c r="SGW48" s="37"/>
      <c r="SGX48" s="37"/>
      <c r="SGY48" s="37"/>
      <c r="SGZ48" s="37"/>
      <c r="SHA48" s="37"/>
      <c r="SHB48" s="37"/>
      <c r="SHC48" s="37"/>
      <c r="SHD48" s="37"/>
      <c r="SHE48" s="37"/>
      <c r="SHF48" s="37"/>
      <c r="SHG48" s="37"/>
      <c r="SHH48" s="37"/>
      <c r="SHI48" s="37"/>
      <c r="SHJ48" s="37"/>
      <c r="SHK48" s="37"/>
      <c r="SHL48" s="37"/>
      <c r="SHM48" s="37"/>
      <c r="SHN48" s="37"/>
      <c r="SHO48" s="37"/>
      <c r="SHP48" s="37"/>
      <c r="SHQ48" s="37"/>
      <c r="SHR48" s="37"/>
      <c r="SHS48" s="37"/>
      <c r="SHT48" s="37"/>
      <c r="SHU48" s="37"/>
      <c r="SHV48" s="37"/>
      <c r="SHW48" s="37"/>
      <c r="SHX48" s="37"/>
      <c r="SHY48" s="37"/>
      <c r="SHZ48" s="37"/>
      <c r="SIA48" s="37"/>
      <c r="SIB48" s="37"/>
      <c r="SIC48" s="37"/>
      <c r="SID48" s="37"/>
      <c r="SIE48" s="37"/>
      <c r="SIF48" s="37"/>
      <c r="SIG48" s="37"/>
      <c r="SIH48" s="37"/>
      <c r="SII48" s="37"/>
      <c r="SIJ48" s="37"/>
      <c r="SIK48" s="37"/>
      <c r="SIL48" s="37"/>
      <c r="SIM48" s="37"/>
      <c r="SIN48" s="37"/>
      <c r="SIO48" s="37"/>
      <c r="SIP48" s="37"/>
      <c r="SIQ48" s="37"/>
      <c r="SIR48" s="37"/>
      <c r="SIS48" s="37"/>
      <c r="SIT48" s="37"/>
      <c r="SIU48" s="37"/>
      <c r="SIV48" s="37"/>
      <c r="SIW48" s="37"/>
      <c r="SIX48" s="37"/>
      <c r="SIY48" s="37"/>
      <c r="SIZ48" s="37"/>
      <c r="SJA48" s="37"/>
      <c r="SJB48" s="37"/>
      <c r="SJC48" s="37"/>
      <c r="SJD48" s="37"/>
      <c r="SJE48" s="37"/>
      <c r="SJF48" s="37"/>
      <c r="SJG48" s="37"/>
      <c r="SJH48" s="37"/>
      <c r="SJI48" s="37"/>
      <c r="SJJ48" s="37"/>
      <c r="SJK48" s="37"/>
      <c r="SJL48" s="37"/>
      <c r="SJM48" s="37"/>
      <c r="SJN48" s="37"/>
      <c r="SJO48" s="37"/>
      <c r="SJP48" s="37"/>
      <c r="SJQ48" s="37"/>
      <c r="SJR48" s="37"/>
      <c r="SJS48" s="37"/>
      <c r="SJT48" s="37"/>
      <c r="SJU48" s="37"/>
      <c r="SJV48" s="37"/>
      <c r="SJW48" s="37"/>
      <c r="SJX48" s="37"/>
      <c r="SJY48" s="37"/>
      <c r="SJZ48" s="37"/>
      <c r="SKA48" s="37"/>
      <c r="SKB48" s="37"/>
      <c r="SKC48" s="37"/>
      <c r="SKD48" s="37"/>
      <c r="SKE48" s="37"/>
      <c r="SKF48" s="37"/>
      <c r="SKG48" s="37"/>
      <c r="SKH48" s="37"/>
      <c r="SKI48" s="37"/>
      <c r="SKJ48" s="37"/>
      <c r="SKK48" s="37"/>
      <c r="SKL48" s="37"/>
      <c r="SKM48" s="37"/>
      <c r="SKN48" s="37"/>
      <c r="SKO48" s="37"/>
      <c r="SKP48" s="37"/>
      <c r="SKQ48" s="37"/>
      <c r="SKR48" s="37"/>
      <c r="SKS48" s="37"/>
      <c r="SKT48" s="37"/>
      <c r="SKU48" s="37"/>
      <c r="SKV48" s="37"/>
      <c r="SKW48" s="37"/>
      <c r="SKX48" s="37"/>
      <c r="SKY48" s="37"/>
      <c r="SKZ48" s="37"/>
      <c r="SLA48" s="37"/>
      <c r="SLB48" s="37"/>
      <c r="SLC48" s="37"/>
      <c r="SLD48" s="37"/>
      <c r="SLE48" s="37"/>
      <c r="SLF48" s="37"/>
      <c r="SLG48" s="37"/>
      <c r="SLH48" s="37"/>
      <c r="SLI48" s="37"/>
      <c r="SLJ48" s="37"/>
      <c r="SLK48" s="37"/>
      <c r="SLL48" s="37"/>
      <c r="SLM48" s="37"/>
      <c r="SLN48" s="37"/>
      <c r="SLO48" s="37"/>
      <c r="SLP48" s="37"/>
      <c r="SLQ48" s="37"/>
      <c r="SLR48" s="37"/>
      <c r="SLS48" s="37"/>
      <c r="SLT48" s="37"/>
      <c r="SLU48" s="37"/>
      <c r="SLV48" s="37"/>
      <c r="SLW48" s="37"/>
      <c r="SLX48" s="37"/>
      <c r="SLY48" s="37"/>
      <c r="SLZ48" s="37"/>
      <c r="SMA48" s="37"/>
      <c r="SMB48" s="37"/>
      <c r="SMC48" s="37"/>
      <c r="SMD48" s="37"/>
      <c r="SME48" s="37"/>
      <c r="SMF48" s="37"/>
      <c r="SMG48" s="37"/>
      <c r="SMH48" s="37"/>
      <c r="SMI48" s="37"/>
      <c r="SMJ48" s="37"/>
      <c r="SMK48" s="37"/>
      <c r="SML48" s="37"/>
      <c r="SMM48" s="37"/>
      <c r="SMN48" s="37"/>
      <c r="SMO48" s="37"/>
      <c r="SMP48" s="37"/>
      <c r="SMQ48" s="37"/>
      <c r="SMR48" s="37"/>
      <c r="SMS48" s="37"/>
      <c r="SMT48" s="37"/>
      <c r="SMU48" s="37"/>
      <c r="SMV48" s="37"/>
      <c r="SMW48" s="37"/>
      <c r="SMX48" s="37"/>
      <c r="SMY48" s="37"/>
      <c r="SMZ48" s="37"/>
      <c r="SNA48" s="37"/>
      <c r="SNB48" s="37"/>
      <c r="SNC48" s="37"/>
      <c r="SND48" s="37"/>
      <c r="SNE48" s="37"/>
      <c r="SNF48" s="37"/>
      <c r="SNG48" s="37"/>
      <c r="SNH48" s="37"/>
      <c r="SNI48" s="37"/>
      <c r="SNJ48" s="37"/>
      <c r="SNK48" s="37"/>
      <c r="SNL48" s="37"/>
      <c r="SNM48" s="37"/>
      <c r="SNN48" s="37"/>
      <c r="SNO48" s="37"/>
      <c r="SNP48" s="37"/>
      <c r="SNQ48" s="37"/>
      <c r="SNR48" s="37"/>
      <c r="SNS48" s="37"/>
      <c r="SNT48" s="37"/>
      <c r="SNU48" s="37"/>
      <c r="SNV48" s="37"/>
      <c r="SNW48" s="37"/>
      <c r="SNX48" s="37"/>
      <c r="SNY48" s="37"/>
      <c r="SNZ48" s="37"/>
      <c r="SOA48" s="37"/>
      <c r="SOB48" s="37"/>
      <c r="SOC48" s="37"/>
      <c r="SOD48" s="37"/>
      <c r="SOE48" s="37"/>
      <c r="SOF48" s="37"/>
      <c r="SOG48" s="37"/>
      <c r="SOH48" s="37"/>
      <c r="SOI48" s="37"/>
      <c r="SOJ48" s="37"/>
      <c r="SOK48" s="37"/>
      <c r="SOL48" s="37"/>
      <c r="SOM48" s="37"/>
      <c r="SON48" s="37"/>
      <c r="SOO48" s="37"/>
      <c r="SOP48" s="37"/>
      <c r="SOQ48" s="37"/>
      <c r="SOR48" s="37"/>
      <c r="SOS48" s="37"/>
      <c r="SOT48" s="37"/>
      <c r="SOU48" s="37"/>
      <c r="SOV48" s="37"/>
      <c r="SOW48" s="37"/>
      <c r="SOX48" s="37"/>
      <c r="SOY48" s="37"/>
      <c r="SOZ48" s="37"/>
      <c r="SPA48" s="37"/>
      <c r="SPB48" s="37"/>
      <c r="SPC48" s="37"/>
      <c r="SPD48" s="37"/>
      <c r="SPE48" s="37"/>
      <c r="SPF48" s="37"/>
      <c r="SPG48" s="37"/>
      <c r="SPH48" s="37"/>
      <c r="SPI48" s="37"/>
      <c r="SPJ48" s="37"/>
      <c r="SPK48" s="37"/>
      <c r="SPL48" s="37"/>
      <c r="SPM48" s="37"/>
      <c r="SPN48" s="37"/>
      <c r="SPO48" s="37"/>
      <c r="SPP48" s="37"/>
      <c r="SPQ48" s="37"/>
      <c r="SPR48" s="37"/>
      <c r="SPS48" s="37"/>
      <c r="SPT48" s="37"/>
      <c r="SPU48" s="37"/>
      <c r="SPV48" s="37"/>
      <c r="SPW48" s="37"/>
      <c r="SPX48" s="37"/>
      <c r="SPY48" s="37"/>
      <c r="SPZ48" s="37"/>
      <c r="SQA48" s="37"/>
      <c r="SQB48" s="37"/>
      <c r="SQC48" s="37"/>
      <c r="SQD48" s="37"/>
      <c r="SQE48" s="37"/>
      <c r="SQF48" s="37"/>
      <c r="SQG48" s="37"/>
      <c r="SQH48" s="37"/>
      <c r="SQI48" s="37"/>
      <c r="SQJ48" s="37"/>
      <c r="SQK48" s="37"/>
      <c r="SQL48" s="37"/>
      <c r="SQM48" s="37"/>
      <c r="SQN48" s="37"/>
      <c r="SQO48" s="37"/>
      <c r="SQP48" s="37"/>
      <c r="SQQ48" s="37"/>
      <c r="SQR48" s="37"/>
      <c r="SQS48" s="37"/>
      <c r="SQT48" s="37"/>
      <c r="SQU48" s="37"/>
      <c r="SQV48" s="37"/>
      <c r="SQW48" s="37"/>
      <c r="SQX48" s="37"/>
      <c r="SQY48" s="37"/>
      <c r="SQZ48" s="37"/>
      <c r="SRA48" s="37"/>
      <c r="SRB48" s="37"/>
      <c r="SRC48" s="37"/>
      <c r="SRD48" s="37"/>
      <c r="SRE48" s="37"/>
      <c r="SRF48" s="37"/>
      <c r="SRG48" s="37"/>
      <c r="SRH48" s="37"/>
      <c r="SRI48" s="37"/>
      <c r="SRJ48" s="37"/>
      <c r="SRK48" s="37"/>
      <c r="SRL48" s="37"/>
      <c r="SRM48" s="37"/>
      <c r="SRN48" s="37"/>
      <c r="SRO48" s="37"/>
      <c r="SRP48" s="37"/>
      <c r="SRQ48" s="37"/>
      <c r="SRR48" s="37"/>
      <c r="SRS48" s="37"/>
      <c r="SRT48" s="37"/>
      <c r="SRU48" s="37"/>
      <c r="SRV48" s="37"/>
      <c r="SRW48" s="37"/>
      <c r="SRX48" s="37"/>
      <c r="SRY48" s="37"/>
      <c r="SRZ48" s="37"/>
      <c r="SSA48" s="37"/>
      <c r="SSB48" s="37"/>
      <c r="SSC48" s="37"/>
      <c r="SSD48" s="37"/>
      <c r="SSE48" s="37"/>
      <c r="SSF48" s="37"/>
      <c r="SSG48" s="37"/>
      <c r="SSH48" s="37"/>
      <c r="SSI48" s="37"/>
      <c r="SSJ48" s="37"/>
      <c r="SSK48" s="37"/>
      <c r="SSL48" s="37"/>
      <c r="SSM48" s="37"/>
      <c r="SSN48" s="37"/>
      <c r="SSO48" s="37"/>
      <c r="SSP48" s="37"/>
      <c r="SSQ48" s="37"/>
      <c r="SSR48" s="37"/>
      <c r="SSS48" s="37"/>
      <c r="SST48" s="37"/>
      <c r="SSU48" s="37"/>
      <c r="SSV48" s="37"/>
      <c r="SSW48" s="37"/>
      <c r="SSX48" s="37"/>
      <c r="SSY48" s="37"/>
      <c r="SSZ48" s="37"/>
      <c r="STA48" s="37"/>
      <c r="STB48" s="37"/>
      <c r="STC48" s="37"/>
      <c r="STD48" s="37"/>
      <c r="STE48" s="37"/>
      <c r="STF48" s="37"/>
      <c r="STG48" s="37"/>
      <c r="STH48" s="37"/>
      <c r="STI48" s="37"/>
      <c r="STJ48" s="37"/>
      <c r="STK48" s="37"/>
      <c r="STL48" s="37"/>
      <c r="STM48" s="37"/>
      <c r="STN48" s="37"/>
      <c r="STO48" s="37"/>
      <c r="STP48" s="37"/>
      <c r="STQ48" s="37"/>
      <c r="STR48" s="37"/>
      <c r="STS48" s="37"/>
      <c r="STT48" s="37"/>
      <c r="STU48" s="37"/>
      <c r="STV48" s="37"/>
      <c r="STW48" s="37"/>
      <c r="STX48" s="37"/>
      <c r="STY48" s="37"/>
      <c r="STZ48" s="37"/>
      <c r="SUA48" s="37"/>
      <c r="SUB48" s="37"/>
      <c r="SUC48" s="37"/>
      <c r="SUD48" s="37"/>
      <c r="SUE48" s="37"/>
      <c r="SUF48" s="37"/>
      <c r="SUG48" s="37"/>
      <c r="SUH48" s="37"/>
      <c r="SUI48" s="37"/>
      <c r="SUJ48" s="37"/>
      <c r="SUK48" s="37"/>
      <c r="SUL48" s="37"/>
      <c r="SUM48" s="37"/>
      <c r="SUN48" s="37"/>
      <c r="SUO48" s="37"/>
      <c r="SUP48" s="37"/>
      <c r="SUQ48" s="37"/>
      <c r="SUR48" s="37"/>
      <c r="SUS48" s="37"/>
      <c r="SUT48" s="37"/>
      <c r="SUU48" s="37"/>
      <c r="SUV48" s="37"/>
      <c r="SUW48" s="37"/>
      <c r="SUX48" s="37"/>
      <c r="SUY48" s="37"/>
      <c r="SUZ48" s="37"/>
      <c r="SVA48" s="37"/>
      <c r="SVB48" s="37"/>
      <c r="SVC48" s="37"/>
      <c r="SVD48" s="37"/>
      <c r="SVE48" s="37"/>
      <c r="SVF48" s="37"/>
      <c r="SVG48" s="37"/>
      <c r="SVH48" s="37"/>
      <c r="SVI48" s="37"/>
      <c r="SVJ48" s="37"/>
      <c r="SVK48" s="37"/>
      <c r="SVL48" s="37"/>
      <c r="SVM48" s="37"/>
      <c r="SVN48" s="37"/>
      <c r="SVO48" s="37"/>
      <c r="SVP48" s="37"/>
      <c r="SVQ48" s="37"/>
      <c r="SVR48" s="37"/>
      <c r="SVS48" s="37"/>
      <c r="SVT48" s="37"/>
      <c r="SVU48" s="37"/>
      <c r="SVV48" s="37"/>
      <c r="SVW48" s="37"/>
      <c r="SVX48" s="37"/>
      <c r="SVY48" s="37"/>
      <c r="SVZ48" s="37"/>
      <c r="SWA48" s="37"/>
      <c r="SWB48" s="37"/>
      <c r="SWC48" s="37"/>
      <c r="SWD48" s="37"/>
      <c r="SWE48" s="37"/>
      <c r="SWF48" s="37"/>
      <c r="SWG48" s="37"/>
      <c r="SWH48" s="37"/>
      <c r="SWI48" s="37"/>
      <c r="SWJ48" s="37"/>
      <c r="SWK48" s="37"/>
      <c r="SWL48" s="37"/>
      <c r="SWM48" s="37"/>
      <c r="SWN48" s="37"/>
      <c r="SWO48" s="37"/>
      <c r="SWP48" s="37"/>
      <c r="SWQ48" s="37"/>
      <c r="SWR48" s="37"/>
      <c r="SWS48" s="37"/>
      <c r="SWT48" s="37"/>
      <c r="SWU48" s="37"/>
      <c r="SWV48" s="37"/>
      <c r="SWW48" s="37"/>
      <c r="SWX48" s="37"/>
      <c r="SWY48" s="37"/>
      <c r="SWZ48" s="37"/>
      <c r="SXA48" s="37"/>
      <c r="SXB48" s="37"/>
      <c r="SXC48" s="37"/>
      <c r="SXD48" s="37"/>
      <c r="SXE48" s="37"/>
      <c r="SXF48" s="37"/>
      <c r="SXG48" s="37"/>
      <c r="SXH48" s="37"/>
      <c r="SXI48" s="37"/>
      <c r="SXJ48" s="37"/>
      <c r="SXK48" s="37"/>
      <c r="SXL48" s="37"/>
      <c r="SXM48" s="37"/>
      <c r="SXN48" s="37"/>
      <c r="SXO48" s="37"/>
      <c r="SXP48" s="37"/>
      <c r="SXQ48" s="37"/>
      <c r="SXR48" s="37"/>
      <c r="SXS48" s="37"/>
      <c r="SXT48" s="37"/>
      <c r="SXU48" s="37"/>
      <c r="SXV48" s="37"/>
      <c r="SXW48" s="37"/>
      <c r="SXX48" s="37"/>
      <c r="SXY48" s="37"/>
      <c r="SXZ48" s="37"/>
      <c r="SYA48" s="37"/>
      <c r="SYB48" s="37"/>
      <c r="SYC48" s="37"/>
      <c r="SYD48" s="37"/>
      <c r="SYE48" s="37"/>
      <c r="SYF48" s="37"/>
      <c r="SYG48" s="37"/>
      <c r="SYH48" s="37"/>
      <c r="SYI48" s="37"/>
      <c r="SYJ48" s="37"/>
      <c r="SYK48" s="37"/>
      <c r="SYL48" s="37"/>
      <c r="SYM48" s="37"/>
      <c r="SYN48" s="37"/>
      <c r="SYO48" s="37"/>
      <c r="SYP48" s="37"/>
      <c r="SYQ48" s="37"/>
      <c r="SYR48" s="37"/>
      <c r="SYS48" s="37"/>
      <c r="SYT48" s="37"/>
      <c r="SYU48" s="37"/>
      <c r="SYV48" s="37"/>
      <c r="SYW48" s="37"/>
      <c r="SYX48" s="37"/>
      <c r="SYY48" s="37"/>
      <c r="SYZ48" s="37"/>
      <c r="SZA48" s="37"/>
      <c r="SZB48" s="37"/>
      <c r="SZC48" s="37"/>
      <c r="SZD48" s="37"/>
      <c r="SZE48" s="37"/>
      <c r="SZF48" s="37"/>
      <c r="SZG48" s="37"/>
      <c r="SZH48" s="37"/>
      <c r="SZI48" s="37"/>
      <c r="SZJ48" s="37"/>
      <c r="SZK48" s="37"/>
      <c r="SZL48" s="37"/>
      <c r="SZM48" s="37"/>
      <c r="SZN48" s="37"/>
      <c r="SZO48" s="37"/>
      <c r="SZP48" s="37"/>
      <c r="SZQ48" s="37"/>
      <c r="SZR48" s="37"/>
      <c r="SZS48" s="37"/>
      <c r="SZT48" s="37"/>
      <c r="SZU48" s="37"/>
      <c r="SZV48" s="37"/>
      <c r="SZW48" s="37"/>
      <c r="SZX48" s="37"/>
      <c r="SZY48" s="37"/>
      <c r="SZZ48" s="37"/>
      <c r="TAA48" s="37"/>
      <c r="TAB48" s="37"/>
      <c r="TAC48" s="37"/>
      <c r="TAD48" s="37"/>
      <c r="TAE48" s="37"/>
      <c r="TAF48" s="37"/>
      <c r="TAG48" s="37"/>
      <c r="TAH48" s="37"/>
      <c r="TAI48" s="37"/>
      <c r="TAJ48" s="37"/>
      <c r="TAK48" s="37"/>
      <c r="TAL48" s="37"/>
      <c r="TAM48" s="37"/>
      <c r="TAN48" s="37"/>
      <c r="TAO48" s="37"/>
      <c r="TAP48" s="37"/>
      <c r="TAQ48" s="37"/>
      <c r="TAR48" s="37"/>
      <c r="TAS48" s="37"/>
      <c r="TAT48" s="37"/>
      <c r="TAU48" s="37"/>
      <c r="TAV48" s="37"/>
      <c r="TAW48" s="37"/>
      <c r="TAX48" s="37"/>
      <c r="TAY48" s="37"/>
      <c r="TAZ48" s="37"/>
      <c r="TBA48" s="37"/>
      <c r="TBB48" s="37"/>
      <c r="TBC48" s="37"/>
      <c r="TBD48" s="37"/>
      <c r="TBE48" s="37"/>
      <c r="TBF48" s="37"/>
      <c r="TBG48" s="37"/>
      <c r="TBH48" s="37"/>
      <c r="TBI48" s="37"/>
      <c r="TBJ48" s="37"/>
      <c r="TBK48" s="37"/>
      <c r="TBL48" s="37"/>
      <c r="TBM48" s="37"/>
      <c r="TBN48" s="37"/>
      <c r="TBO48" s="37"/>
      <c r="TBP48" s="37"/>
      <c r="TBQ48" s="37"/>
      <c r="TBR48" s="37"/>
      <c r="TBS48" s="37"/>
      <c r="TBT48" s="37"/>
      <c r="TBU48" s="37"/>
      <c r="TBV48" s="37"/>
      <c r="TBW48" s="37"/>
      <c r="TBX48" s="37"/>
      <c r="TBY48" s="37"/>
      <c r="TBZ48" s="37"/>
      <c r="TCA48" s="37"/>
      <c r="TCB48" s="37"/>
      <c r="TCC48" s="37"/>
      <c r="TCD48" s="37"/>
      <c r="TCE48" s="37"/>
      <c r="TCF48" s="37"/>
      <c r="TCG48" s="37"/>
      <c r="TCH48" s="37"/>
      <c r="TCI48" s="37"/>
      <c r="TCJ48" s="37"/>
      <c r="TCK48" s="37"/>
      <c r="TCL48" s="37"/>
      <c r="TCM48" s="37"/>
      <c r="TCN48" s="37"/>
      <c r="TCO48" s="37"/>
      <c r="TCP48" s="37"/>
      <c r="TCQ48" s="37"/>
      <c r="TCR48" s="37"/>
      <c r="TCS48" s="37"/>
      <c r="TCT48" s="37"/>
      <c r="TCU48" s="37"/>
      <c r="TCV48" s="37"/>
      <c r="TCW48" s="37"/>
      <c r="TCX48" s="37"/>
      <c r="TCY48" s="37"/>
      <c r="TCZ48" s="37"/>
      <c r="TDA48" s="37"/>
      <c r="TDB48" s="37"/>
      <c r="TDC48" s="37"/>
      <c r="TDD48" s="37"/>
      <c r="TDE48" s="37"/>
      <c r="TDF48" s="37"/>
      <c r="TDG48" s="37"/>
      <c r="TDH48" s="37"/>
      <c r="TDI48" s="37"/>
      <c r="TDJ48" s="37"/>
      <c r="TDK48" s="37"/>
      <c r="TDL48" s="37"/>
      <c r="TDM48" s="37"/>
      <c r="TDN48" s="37"/>
      <c r="TDO48" s="37"/>
      <c r="TDP48" s="37"/>
      <c r="TDQ48" s="37"/>
      <c r="TDR48" s="37"/>
      <c r="TDS48" s="37"/>
      <c r="TDT48" s="37"/>
      <c r="TDU48" s="37"/>
      <c r="TDV48" s="37"/>
      <c r="TDW48" s="37"/>
      <c r="TDX48" s="37"/>
      <c r="TDY48" s="37"/>
      <c r="TDZ48" s="37"/>
      <c r="TEA48" s="37"/>
      <c r="TEB48" s="37"/>
      <c r="TEC48" s="37"/>
      <c r="TED48" s="37"/>
      <c r="TEE48" s="37"/>
      <c r="TEF48" s="37"/>
      <c r="TEG48" s="37"/>
      <c r="TEH48" s="37"/>
      <c r="TEI48" s="37"/>
      <c r="TEJ48" s="37"/>
      <c r="TEK48" s="37"/>
      <c r="TEL48" s="37"/>
      <c r="TEM48" s="37"/>
      <c r="TEN48" s="37"/>
      <c r="TEO48" s="37"/>
      <c r="TEP48" s="37"/>
      <c r="TEQ48" s="37"/>
      <c r="TER48" s="37"/>
      <c r="TES48" s="37"/>
      <c r="TET48" s="37"/>
      <c r="TEU48" s="37"/>
      <c r="TEV48" s="37"/>
      <c r="TEW48" s="37"/>
      <c r="TEX48" s="37"/>
      <c r="TEY48" s="37"/>
      <c r="TEZ48" s="37"/>
      <c r="TFA48" s="37"/>
      <c r="TFB48" s="37"/>
      <c r="TFC48" s="37"/>
      <c r="TFD48" s="37"/>
      <c r="TFE48" s="37"/>
      <c r="TFF48" s="37"/>
      <c r="TFG48" s="37"/>
      <c r="TFH48" s="37"/>
      <c r="TFI48" s="37"/>
      <c r="TFJ48" s="37"/>
      <c r="TFK48" s="37"/>
      <c r="TFL48" s="37"/>
      <c r="TFM48" s="37"/>
      <c r="TFN48" s="37"/>
      <c r="TFO48" s="37"/>
      <c r="TFP48" s="37"/>
      <c r="TFQ48" s="37"/>
      <c r="TFR48" s="37"/>
      <c r="TFS48" s="37"/>
      <c r="TFT48" s="37"/>
      <c r="TFU48" s="37"/>
      <c r="TFV48" s="37"/>
      <c r="TFW48" s="37"/>
      <c r="TFX48" s="37"/>
      <c r="TFY48" s="37"/>
      <c r="TFZ48" s="37"/>
      <c r="TGA48" s="37"/>
      <c r="TGB48" s="37"/>
      <c r="TGC48" s="37"/>
      <c r="TGD48" s="37"/>
      <c r="TGE48" s="37"/>
      <c r="TGF48" s="37"/>
      <c r="TGG48" s="37"/>
      <c r="TGH48" s="37"/>
      <c r="TGI48" s="37"/>
      <c r="TGJ48" s="37"/>
      <c r="TGK48" s="37"/>
      <c r="TGL48" s="37"/>
      <c r="TGM48" s="37"/>
      <c r="TGN48" s="37"/>
      <c r="TGO48" s="37"/>
      <c r="TGP48" s="37"/>
      <c r="TGQ48" s="37"/>
      <c r="TGR48" s="37"/>
      <c r="TGS48" s="37"/>
      <c r="TGT48" s="37"/>
      <c r="TGU48" s="37"/>
      <c r="TGV48" s="37"/>
      <c r="TGW48" s="37"/>
      <c r="TGX48" s="37"/>
      <c r="TGY48" s="37"/>
      <c r="TGZ48" s="37"/>
      <c r="THA48" s="37"/>
      <c r="THB48" s="37"/>
      <c r="THC48" s="37"/>
      <c r="THD48" s="37"/>
      <c r="THE48" s="37"/>
      <c r="THF48" s="37"/>
      <c r="THG48" s="37"/>
      <c r="THH48" s="37"/>
      <c r="THI48" s="37"/>
      <c r="THJ48" s="37"/>
      <c r="THK48" s="37"/>
      <c r="THL48" s="37"/>
      <c r="THM48" s="37"/>
      <c r="THN48" s="37"/>
      <c r="THO48" s="37"/>
      <c r="THP48" s="37"/>
      <c r="THQ48" s="37"/>
      <c r="THR48" s="37"/>
      <c r="THS48" s="37"/>
      <c r="THT48" s="37"/>
      <c r="THU48" s="37"/>
      <c r="THV48" s="37"/>
      <c r="THW48" s="37"/>
      <c r="THX48" s="37"/>
      <c r="THY48" s="37"/>
      <c r="THZ48" s="37"/>
      <c r="TIA48" s="37"/>
      <c r="TIB48" s="37"/>
      <c r="TIC48" s="37"/>
      <c r="TID48" s="37"/>
      <c r="TIE48" s="37"/>
      <c r="TIF48" s="37"/>
      <c r="TIG48" s="37"/>
      <c r="TIH48" s="37"/>
      <c r="TII48" s="37"/>
      <c r="TIJ48" s="37"/>
      <c r="TIK48" s="37"/>
      <c r="TIL48" s="37"/>
      <c r="TIM48" s="37"/>
      <c r="TIN48" s="37"/>
      <c r="TIO48" s="37"/>
      <c r="TIP48" s="37"/>
      <c r="TIQ48" s="37"/>
      <c r="TIR48" s="37"/>
      <c r="TIS48" s="37"/>
      <c r="TIT48" s="37"/>
      <c r="TIU48" s="37"/>
      <c r="TIV48" s="37"/>
      <c r="TIW48" s="37"/>
      <c r="TIX48" s="37"/>
      <c r="TIY48" s="37"/>
      <c r="TIZ48" s="37"/>
      <c r="TJA48" s="37"/>
      <c r="TJB48" s="37"/>
      <c r="TJC48" s="37"/>
      <c r="TJD48" s="37"/>
      <c r="TJE48" s="37"/>
      <c r="TJF48" s="37"/>
      <c r="TJG48" s="37"/>
      <c r="TJH48" s="37"/>
      <c r="TJI48" s="37"/>
      <c r="TJJ48" s="37"/>
      <c r="TJK48" s="37"/>
      <c r="TJL48" s="37"/>
      <c r="TJM48" s="37"/>
      <c r="TJN48" s="37"/>
      <c r="TJO48" s="37"/>
      <c r="TJP48" s="37"/>
      <c r="TJQ48" s="37"/>
      <c r="TJR48" s="37"/>
      <c r="TJS48" s="37"/>
      <c r="TJT48" s="37"/>
      <c r="TJU48" s="37"/>
      <c r="TJV48" s="37"/>
      <c r="TJW48" s="37"/>
      <c r="TJX48" s="37"/>
      <c r="TJY48" s="37"/>
      <c r="TJZ48" s="37"/>
      <c r="TKA48" s="37"/>
      <c r="TKB48" s="37"/>
      <c r="TKC48" s="37"/>
      <c r="TKD48" s="37"/>
      <c r="TKE48" s="37"/>
      <c r="TKF48" s="37"/>
      <c r="TKG48" s="37"/>
      <c r="TKH48" s="37"/>
      <c r="TKI48" s="37"/>
      <c r="TKJ48" s="37"/>
      <c r="TKK48" s="37"/>
      <c r="TKL48" s="37"/>
      <c r="TKM48" s="37"/>
      <c r="TKN48" s="37"/>
      <c r="TKO48" s="37"/>
      <c r="TKP48" s="37"/>
      <c r="TKQ48" s="37"/>
      <c r="TKR48" s="37"/>
      <c r="TKS48" s="37"/>
      <c r="TKT48" s="37"/>
      <c r="TKU48" s="37"/>
      <c r="TKV48" s="37"/>
      <c r="TKW48" s="37"/>
      <c r="TKX48" s="37"/>
      <c r="TKY48" s="37"/>
      <c r="TKZ48" s="37"/>
      <c r="TLA48" s="37"/>
      <c r="TLB48" s="37"/>
      <c r="TLC48" s="37"/>
      <c r="TLD48" s="37"/>
      <c r="TLE48" s="37"/>
      <c r="TLF48" s="37"/>
      <c r="TLG48" s="37"/>
      <c r="TLH48" s="37"/>
      <c r="TLI48" s="37"/>
      <c r="TLJ48" s="37"/>
      <c r="TLK48" s="37"/>
      <c r="TLL48" s="37"/>
      <c r="TLM48" s="37"/>
      <c r="TLN48" s="37"/>
      <c r="TLO48" s="37"/>
      <c r="TLP48" s="37"/>
      <c r="TLQ48" s="37"/>
      <c r="TLR48" s="37"/>
      <c r="TLS48" s="37"/>
      <c r="TLT48" s="37"/>
      <c r="TLU48" s="37"/>
      <c r="TLV48" s="37"/>
      <c r="TLW48" s="37"/>
      <c r="TLX48" s="37"/>
      <c r="TLY48" s="37"/>
      <c r="TLZ48" s="37"/>
      <c r="TMA48" s="37"/>
      <c r="TMB48" s="37"/>
      <c r="TMC48" s="37"/>
      <c r="TMD48" s="37"/>
      <c r="TME48" s="37"/>
      <c r="TMF48" s="37"/>
      <c r="TMG48" s="37"/>
      <c r="TMH48" s="37"/>
      <c r="TMI48" s="37"/>
      <c r="TMJ48" s="37"/>
      <c r="TMK48" s="37"/>
      <c r="TML48" s="37"/>
      <c r="TMM48" s="37"/>
      <c r="TMN48" s="37"/>
      <c r="TMO48" s="37"/>
      <c r="TMP48" s="37"/>
      <c r="TMQ48" s="37"/>
      <c r="TMR48" s="37"/>
      <c r="TMS48" s="37"/>
      <c r="TMT48" s="37"/>
      <c r="TMU48" s="37"/>
      <c r="TMV48" s="37"/>
      <c r="TMW48" s="37"/>
      <c r="TMX48" s="37"/>
      <c r="TMY48" s="37"/>
      <c r="TMZ48" s="37"/>
      <c r="TNA48" s="37"/>
      <c r="TNB48" s="37"/>
      <c r="TNC48" s="37"/>
      <c r="TND48" s="37"/>
      <c r="TNE48" s="37"/>
      <c r="TNF48" s="37"/>
      <c r="TNG48" s="37"/>
      <c r="TNH48" s="37"/>
      <c r="TNI48" s="37"/>
      <c r="TNJ48" s="37"/>
      <c r="TNK48" s="37"/>
      <c r="TNL48" s="37"/>
      <c r="TNM48" s="37"/>
      <c r="TNN48" s="37"/>
      <c r="TNO48" s="37"/>
      <c r="TNP48" s="37"/>
      <c r="TNQ48" s="37"/>
      <c r="TNR48" s="37"/>
      <c r="TNS48" s="37"/>
      <c r="TNT48" s="37"/>
      <c r="TNU48" s="37"/>
      <c r="TNV48" s="37"/>
      <c r="TNW48" s="37"/>
      <c r="TNX48" s="37"/>
      <c r="TNY48" s="37"/>
      <c r="TNZ48" s="37"/>
      <c r="TOA48" s="37"/>
      <c r="TOB48" s="37"/>
      <c r="TOC48" s="37"/>
      <c r="TOD48" s="37"/>
      <c r="TOE48" s="37"/>
      <c r="TOF48" s="37"/>
      <c r="TOG48" s="37"/>
      <c r="TOH48" s="37"/>
      <c r="TOI48" s="37"/>
      <c r="TOJ48" s="37"/>
      <c r="TOK48" s="37"/>
      <c r="TOL48" s="37"/>
      <c r="TOM48" s="37"/>
      <c r="TON48" s="37"/>
      <c r="TOO48" s="37"/>
      <c r="TOP48" s="37"/>
      <c r="TOQ48" s="37"/>
      <c r="TOR48" s="37"/>
      <c r="TOS48" s="37"/>
      <c r="TOT48" s="37"/>
      <c r="TOU48" s="37"/>
      <c r="TOV48" s="37"/>
      <c r="TOW48" s="37"/>
      <c r="TOX48" s="37"/>
      <c r="TOY48" s="37"/>
      <c r="TOZ48" s="37"/>
      <c r="TPA48" s="37"/>
      <c r="TPB48" s="37"/>
      <c r="TPC48" s="37"/>
      <c r="TPD48" s="37"/>
      <c r="TPE48" s="37"/>
      <c r="TPF48" s="37"/>
      <c r="TPG48" s="37"/>
      <c r="TPH48" s="37"/>
      <c r="TPI48" s="37"/>
      <c r="TPJ48" s="37"/>
      <c r="TPK48" s="37"/>
      <c r="TPL48" s="37"/>
      <c r="TPM48" s="37"/>
      <c r="TPN48" s="37"/>
      <c r="TPO48" s="37"/>
      <c r="TPP48" s="37"/>
      <c r="TPQ48" s="37"/>
      <c r="TPR48" s="37"/>
      <c r="TPS48" s="37"/>
      <c r="TPT48" s="37"/>
      <c r="TPU48" s="37"/>
      <c r="TPV48" s="37"/>
      <c r="TPW48" s="37"/>
      <c r="TPX48" s="37"/>
      <c r="TPY48" s="37"/>
      <c r="TPZ48" s="37"/>
      <c r="TQA48" s="37"/>
      <c r="TQB48" s="37"/>
      <c r="TQC48" s="37"/>
      <c r="TQD48" s="37"/>
      <c r="TQE48" s="37"/>
      <c r="TQF48" s="37"/>
      <c r="TQG48" s="37"/>
      <c r="TQH48" s="37"/>
      <c r="TQI48" s="37"/>
      <c r="TQJ48" s="37"/>
      <c r="TQK48" s="37"/>
      <c r="TQL48" s="37"/>
      <c r="TQM48" s="37"/>
      <c r="TQN48" s="37"/>
      <c r="TQO48" s="37"/>
      <c r="TQP48" s="37"/>
      <c r="TQQ48" s="37"/>
      <c r="TQR48" s="37"/>
      <c r="TQS48" s="37"/>
      <c r="TQT48" s="37"/>
      <c r="TQU48" s="37"/>
      <c r="TQV48" s="37"/>
      <c r="TQW48" s="37"/>
      <c r="TQX48" s="37"/>
      <c r="TQY48" s="37"/>
      <c r="TQZ48" s="37"/>
      <c r="TRA48" s="37"/>
      <c r="TRB48" s="37"/>
      <c r="TRC48" s="37"/>
      <c r="TRD48" s="37"/>
      <c r="TRE48" s="37"/>
      <c r="TRF48" s="37"/>
      <c r="TRG48" s="37"/>
      <c r="TRH48" s="37"/>
      <c r="TRI48" s="37"/>
      <c r="TRJ48" s="37"/>
      <c r="TRK48" s="37"/>
      <c r="TRL48" s="37"/>
      <c r="TRM48" s="37"/>
      <c r="TRN48" s="37"/>
      <c r="TRO48" s="37"/>
      <c r="TRP48" s="37"/>
      <c r="TRQ48" s="37"/>
      <c r="TRR48" s="37"/>
      <c r="TRS48" s="37"/>
      <c r="TRT48" s="37"/>
      <c r="TRU48" s="37"/>
      <c r="TRV48" s="37"/>
      <c r="TRW48" s="37"/>
      <c r="TRX48" s="37"/>
      <c r="TRY48" s="37"/>
      <c r="TRZ48" s="37"/>
      <c r="TSA48" s="37"/>
      <c r="TSB48" s="37"/>
      <c r="TSC48" s="37"/>
      <c r="TSD48" s="37"/>
      <c r="TSE48" s="37"/>
      <c r="TSF48" s="37"/>
      <c r="TSG48" s="37"/>
      <c r="TSH48" s="37"/>
      <c r="TSI48" s="37"/>
      <c r="TSJ48" s="37"/>
      <c r="TSK48" s="37"/>
      <c r="TSL48" s="37"/>
      <c r="TSM48" s="37"/>
      <c r="TSN48" s="37"/>
      <c r="TSO48" s="37"/>
      <c r="TSP48" s="37"/>
      <c r="TSQ48" s="37"/>
      <c r="TSR48" s="37"/>
      <c r="TSS48" s="37"/>
      <c r="TST48" s="37"/>
      <c r="TSU48" s="37"/>
      <c r="TSV48" s="37"/>
      <c r="TSW48" s="37"/>
      <c r="TSX48" s="37"/>
      <c r="TSY48" s="37"/>
      <c r="TSZ48" s="37"/>
      <c r="TTA48" s="37"/>
      <c r="TTB48" s="37"/>
      <c r="TTC48" s="37"/>
      <c r="TTD48" s="37"/>
      <c r="TTE48" s="37"/>
      <c r="TTF48" s="37"/>
      <c r="TTG48" s="37"/>
      <c r="TTH48" s="37"/>
      <c r="TTI48" s="37"/>
      <c r="TTJ48" s="37"/>
      <c r="TTK48" s="37"/>
      <c r="TTL48" s="37"/>
      <c r="TTM48" s="37"/>
      <c r="TTN48" s="37"/>
      <c r="TTO48" s="37"/>
      <c r="TTP48" s="37"/>
      <c r="TTQ48" s="37"/>
      <c r="TTR48" s="37"/>
      <c r="TTS48" s="37"/>
      <c r="TTT48" s="37"/>
      <c r="TTU48" s="37"/>
      <c r="TTV48" s="37"/>
      <c r="TTW48" s="37"/>
      <c r="TTX48" s="37"/>
      <c r="TTY48" s="37"/>
      <c r="TTZ48" s="37"/>
      <c r="TUA48" s="37"/>
      <c r="TUB48" s="37"/>
      <c r="TUC48" s="37"/>
      <c r="TUD48" s="37"/>
      <c r="TUE48" s="37"/>
      <c r="TUF48" s="37"/>
      <c r="TUG48" s="37"/>
      <c r="TUH48" s="37"/>
      <c r="TUI48" s="37"/>
      <c r="TUJ48" s="37"/>
      <c r="TUK48" s="37"/>
      <c r="TUL48" s="37"/>
      <c r="TUM48" s="37"/>
      <c r="TUN48" s="37"/>
      <c r="TUO48" s="37"/>
      <c r="TUP48" s="37"/>
      <c r="TUQ48" s="37"/>
      <c r="TUR48" s="37"/>
      <c r="TUS48" s="37"/>
      <c r="TUT48" s="37"/>
      <c r="TUU48" s="37"/>
      <c r="TUV48" s="37"/>
      <c r="TUW48" s="37"/>
      <c r="TUX48" s="37"/>
      <c r="TUY48" s="37"/>
      <c r="TUZ48" s="37"/>
      <c r="TVA48" s="37"/>
      <c r="TVB48" s="37"/>
      <c r="TVC48" s="37"/>
      <c r="TVD48" s="37"/>
      <c r="TVE48" s="37"/>
      <c r="TVF48" s="37"/>
      <c r="TVG48" s="37"/>
      <c r="TVH48" s="37"/>
      <c r="TVI48" s="37"/>
      <c r="TVJ48" s="37"/>
      <c r="TVK48" s="37"/>
      <c r="TVL48" s="37"/>
      <c r="TVM48" s="37"/>
      <c r="TVN48" s="37"/>
      <c r="TVO48" s="37"/>
      <c r="TVP48" s="37"/>
      <c r="TVQ48" s="37"/>
      <c r="TVR48" s="37"/>
      <c r="TVS48" s="37"/>
      <c r="TVT48" s="37"/>
      <c r="TVU48" s="37"/>
      <c r="TVV48" s="37"/>
      <c r="TVW48" s="37"/>
      <c r="TVX48" s="37"/>
      <c r="TVY48" s="37"/>
      <c r="TVZ48" s="37"/>
      <c r="TWA48" s="37"/>
      <c r="TWB48" s="37"/>
      <c r="TWC48" s="37"/>
      <c r="TWD48" s="37"/>
      <c r="TWE48" s="37"/>
      <c r="TWF48" s="37"/>
      <c r="TWG48" s="37"/>
      <c r="TWH48" s="37"/>
      <c r="TWI48" s="37"/>
      <c r="TWJ48" s="37"/>
      <c r="TWK48" s="37"/>
      <c r="TWL48" s="37"/>
      <c r="TWM48" s="37"/>
      <c r="TWN48" s="37"/>
      <c r="TWO48" s="37"/>
      <c r="TWP48" s="37"/>
      <c r="TWQ48" s="37"/>
      <c r="TWR48" s="37"/>
      <c r="TWS48" s="37"/>
      <c r="TWT48" s="37"/>
      <c r="TWU48" s="37"/>
      <c r="TWV48" s="37"/>
      <c r="TWW48" s="37"/>
      <c r="TWX48" s="37"/>
      <c r="TWY48" s="37"/>
      <c r="TWZ48" s="37"/>
      <c r="TXA48" s="37"/>
      <c r="TXB48" s="37"/>
      <c r="TXC48" s="37"/>
      <c r="TXD48" s="37"/>
      <c r="TXE48" s="37"/>
      <c r="TXF48" s="37"/>
      <c r="TXG48" s="37"/>
      <c r="TXH48" s="37"/>
      <c r="TXI48" s="37"/>
      <c r="TXJ48" s="37"/>
      <c r="TXK48" s="37"/>
      <c r="TXL48" s="37"/>
      <c r="TXM48" s="37"/>
      <c r="TXN48" s="37"/>
      <c r="TXO48" s="37"/>
      <c r="TXP48" s="37"/>
      <c r="TXQ48" s="37"/>
      <c r="TXR48" s="37"/>
      <c r="TXS48" s="37"/>
      <c r="TXT48" s="37"/>
      <c r="TXU48" s="37"/>
      <c r="TXV48" s="37"/>
      <c r="TXW48" s="37"/>
      <c r="TXX48" s="37"/>
      <c r="TXY48" s="37"/>
      <c r="TXZ48" s="37"/>
      <c r="TYA48" s="37"/>
      <c r="TYB48" s="37"/>
      <c r="TYC48" s="37"/>
      <c r="TYD48" s="37"/>
      <c r="TYE48" s="37"/>
      <c r="TYF48" s="37"/>
      <c r="TYG48" s="37"/>
      <c r="TYH48" s="37"/>
      <c r="TYI48" s="37"/>
      <c r="TYJ48" s="37"/>
      <c r="TYK48" s="37"/>
      <c r="TYL48" s="37"/>
      <c r="TYM48" s="37"/>
      <c r="TYN48" s="37"/>
      <c r="TYO48" s="37"/>
      <c r="TYP48" s="37"/>
      <c r="TYQ48" s="37"/>
      <c r="TYR48" s="37"/>
      <c r="TYS48" s="37"/>
      <c r="TYT48" s="37"/>
      <c r="TYU48" s="37"/>
      <c r="TYV48" s="37"/>
      <c r="TYW48" s="37"/>
      <c r="TYX48" s="37"/>
      <c r="TYY48" s="37"/>
      <c r="TYZ48" s="37"/>
      <c r="TZA48" s="37"/>
      <c r="TZB48" s="37"/>
      <c r="TZC48" s="37"/>
      <c r="TZD48" s="37"/>
      <c r="TZE48" s="37"/>
      <c r="TZF48" s="37"/>
      <c r="TZG48" s="37"/>
      <c r="TZH48" s="37"/>
      <c r="TZI48" s="37"/>
      <c r="TZJ48" s="37"/>
      <c r="TZK48" s="37"/>
      <c r="TZL48" s="37"/>
      <c r="TZM48" s="37"/>
      <c r="TZN48" s="37"/>
      <c r="TZO48" s="37"/>
      <c r="TZP48" s="37"/>
      <c r="TZQ48" s="37"/>
      <c r="TZR48" s="37"/>
      <c r="TZS48" s="37"/>
      <c r="TZT48" s="37"/>
      <c r="TZU48" s="37"/>
      <c r="TZV48" s="37"/>
      <c r="TZW48" s="37"/>
      <c r="TZX48" s="37"/>
      <c r="TZY48" s="37"/>
      <c r="TZZ48" s="37"/>
      <c r="UAA48" s="37"/>
      <c r="UAB48" s="37"/>
      <c r="UAC48" s="37"/>
      <c r="UAD48" s="37"/>
      <c r="UAE48" s="37"/>
      <c r="UAF48" s="37"/>
      <c r="UAG48" s="37"/>
      <c r="UAH48" s="37"/>
      <c r="UAI48" s="37"/>
      <c r="UAJ48" s="37"/>
      <c r="UAK48" s="37"/>
      <c r="UAL48" s="37"/>
      <c r="UAM48" s="37"/>
      <c r="UAN48" s="37"/>
      <c r="UAO48" s="37"/>
      <c r="UAP48" s="37"/>
      <c r="UAQ48" s="37"/>
      <c r="UAR48" s="37"/>
      <c r="UAS48" s="37"/>
      <c r="UAT48" s="37"/>
      <c r="UAU48" s="37"/>
      <c r="UAV48" s="37"/>
      <c r="UAW48" s="37"/>
      <c r="UAX48" s="37"/>
      <c r="UAY48" s="37"/>
      <c r="UAZ48" s="37"/>
      <c r="UBA48" s="37"/>
      <c r="UBB48" s="37"/>
      <c r="UBC48" s="37"/>
      <c r="UBD48" s="37"/>
      <c r="UBE48" s="37"/>
      <c r="UBF48" s="37"/>
      <c r="UBG48" s="37"/>
      <c r="UBH48" s="37"/>
      <c r="UBI48" s="37"/>
      <c r="UBJ48" s="37"/>
      <c r="UBK48" s="37"/>
      <c r="UBL48" s="37"/>
      <c r="UBM48" s="37"/>
      <c r="UBN48" s="37"/>
      <c r="UBO48" s="37"/>
      <c r="UBP48" s="37"/>
      <c r="UBQ48" s="37"/>
      <c r="UBR48" s="37"/>
      <c r="UBS48" s="37"/>
      <c r="UBT48" s="37"/>
      <c r="UBU48" s="37"/>
      <c r="UBV48" s="37"/>
      <c r="UBW48" s="37"/>
      <c r="UBX48" s="37"/>
      <c r="UBY48" s="37"/>
      <c r="UBZ48" s="37"/>
      <c r="UCA48" s="37"/>
      <c r="UCB48" s="37"/>
      <c r="UCC48" s="37"/>
      <c r="UCD48" s="37"/>
      <c r="UCE48" s="37"/>
      <c r="UCF48" s="37"/>
      <c r="UCG48" s="37"/>
      <c r="UCH48" s="37"/>
      <c r="UCI48" s="37"/>
      <c r="UCJ48" s="37"/>
      <c r="UCK48" s="37"/>
      <c r="UCL48" s="37"/>
      <c r="UCM48" s="37"/>
      <c r="UCN48" s="37"/>
      <c r="UCO48" s="37"/>
      <c r="UCP48" s="37"/>
      <c r="UCQ48" s="37"/>
      <c r="UCR48" s="37"/>
      <c r="UCS48" s="37"/>
      <c r="UCT48" s="37"/>
      <c r="UCU48" s="37"/>
      <c r="UCV48" s="37"/>
      <c r="UCW48" s="37"/>
      <c r="UCX48" s="37"/>
      <c r="UCY48" s="37"/>
      <c r="UCZ48" s="37"/>
      <c r="UDA48" s="37"/>
      <c r="UDB48" s="37"/>
      <c r="UDC48" s="37"/>
      <c r="UDD48" s="37"/>
      <c r="UDE48" s="37"/>
      <c r="UDF48" s="37"/>
      <c r="UDG48" s="37"/>
      <c r="UDH48" s="37"/>
      <c r="UDI48" s="37"/>
      <c r="UDJ48" s="37"/>
      <c r="UDK48" s="37"/>
      <c r="UDL48" s="37"/>
      <c r="UDM48" s="37"/>
      <c r="UDN48" s="37"/>
      <c r="UDO48" s="37"/>
      <c r="UDP48" s="37"/>
      <c r="UDQ48" s="37"/>
      <c r="UDR48" s="37"/>
      <c r="UDS48" s="37"/>
      <c r="UDT48" s="37"/>
      <c r="UDU48" s="37"/>
      <c r="UDV48" s="37"/>
      <c r="UDW48" s="37"/>
      <c r="UDX48" s="37"/>
      <c r="UDY48" s="37"/>
      <c r="UDZ48" s="37"/>
      <c r="UEA48" s="37"/>
      <c r="UEB48" s="37"/>
      <c r="UEC48" s="37"/>
      <c r="UED48" s="37"/>
      <c r="UEE48" s="37"/>
      <c r="UEF48" s="37"/>
      <c r="UEG48" s="37"/>
      <c r="UEH48" s="37"/>
      <c r="UEI48" s="37"/>
      <c r="UEJ48" s="37"/>
      <c r="UEK48" s="37"/>
      <c r="UEL48" s="37"/>
      <c r="UEM48" s="37"/>
      <c r="UEN48" s="37"/>
      <c r="UEO48" s="37"/>
      <c r="UEP48" s="37"/>
      <c r="UEQ48" s="37"/>
      <c r="UER48" s="37"/>
      <c r="UES48" s="37"/>
      <c r="UET48" s="37"/>
      <c r="UEU48" s="37"/>
      <c r="UEV48" s="37"/>
      <c r="UEW48" s="37"/>
      <c r="UEX48" s="37"/>
      <c r="UEY48" s="37"/>
      <c r="UEZ48" s="37"/>
      <c r="UFA48" s="37"/>
      <c r="UFB48" s="37"/>
      <c r="UFC48" s="37"/>
      <c r="UFD48" s="37"/>
      <c r="UFE48" s="37"/>
      <c r="UFF48" s="37"/>
      <c r="UFG48" s="37"/>
      <c r="UFH48" s="37"/>
      <c r="UFI48" s="37"/>
      <c r="UFJ48" s="37"/>
      <c r="UFK48" s="37"/>
      <c r="UFL48" s="37"/>
      <c r="UFM48" s="37"/>
      <c r="UFN48" s="37"/>
      <c r="UFO48" s="37"/>
      <c r="UFP48" s="37"/>
      <c r="UFQ48" s="37"/>
      <c r="UFR48" s="37"/>
      <c r="UFS48" s="37"/>
      <c r="UFT48" s="37"/>
      <c r="UFU48" s="37"/>
      <c r="UFV48" s="37"/>
      <c r="UFW48" s="37"/>
      <c r="UFX48" s="37"/>
      <c r="UFY48" s="37"/>
      <c r="UFZ48" s="37"/>
      <c r="UGA48" s="37"/>
      <c r="UGB48" s="37"/>
      <c r="UGC48" s="37"/>
      <c r="UGD48" s="37"/>
      <c r="UGE48" s="37"/>
      <c r="UGF48" s="37"/>
      <c r="UGG48" s="37"/>
      <c r="UGH48" s="37"/>
      <c r="UGI48" s="37"/>
      <c r="UGJ48" s="37"/>
      <c r="UGK48" s="37"/>
      <c r="UGL48" s="37"/>
      <c r="UGM48" s="37"/>
      <c r="UGN48" s="37"/>
      <c r="UGO48" s="37"/>
      <c r="UGP48" s="37"/>
      <c r="UGQ48" s="37"/>
      <c r="UGR48" s="37"/>
      <c r="UGS48" s="37"/>
      <c r="UGT48" s="37"/>
      <c r="UGU48" s="37"/>
      <c r="UGV48" s="37"/>
      <c r="UGW48" s="37"/>
      <c r="UGX48" s="37"/>
      <c r="UGY48" s="37"/>
      <c r="UGZ48" s="37"/>
      <c r="UHA48" s="37"/>
      <c r="UHB48" s="37"/>
      <c r="UHC48" s="37"/>
      <c r="UHD48" s="37"/>
      <c r="UHE48" s="37"/>
      <c r="UHF48" s="37"/>
      <c r="UHG48" s="37"/>
      <c r="UHH48" s="37"/>
      <c r="UHI48" s="37"/>
      <c r="UHJ48" s="37"/>
      <c r="UHK48" s="37"/>
      <c r="UHL48" s="37"/>
      <c r="UHM48" s="37"/>
      <c r="UHN48" s="37"/>
      <c r="UHO48" s="37"/>
      <c r="UHP48" s="37"/>
      <c r="UHQ48" s="37"/>
      <c r="UHR48" s="37"/>
      <c r="UHS48" s="37"/>
      <c r="UHT48" s="37"/>
      <c r="UHU48" s="37"/>
      <c r="UHV48" s="37"/>
      <c r="UHW48" s="37"/>
      <c r="UHX48" s="37"/>
      <c r="UHY48" s="37"/>
      <c r="UHZ48" s="37"/>
      <c r="UIA48" s="37"/>
      <c r="UIB48" s="37"/>
      <c r="UIC48" s="37"/>
      <c r="UID48" s="37"/>
      <c r="UIE48" s="37"/>
      <c r="UIF48" s="37"/>
      <c r="UIG48" s="37"/>
      <c r="UIH48" s="37"/>
      <c r="UII48" s="37"/>
      <c r="UIJ48" s="37"/>
      <c r="UIK48" s="37"/>
      <c r="UIL48" s="37"/>
      <c r="UIM48" s="37"/>
      <c r="UIN48" s="37"/>
      <c r="UIO48" s="37"/>
      <c r="UIP48" s="37"/>
      <c r="UIQ48" s="37"/>
      <c r="UIR48" s="37"/>
      <c r="UIS48" s="37"/>
      <c r="UIT48" s="37"/>
      <c r="UIU48" s="37"/>
      <c r="UIV48" s="37"/>
      <c r="UIW48" s="37"/>
      <c r="UIX48" s="37"/>
      <c r="UIY48" s="37"/>
      <c r="UIZ48" s="37"/>
      <c r="UJA48" s="37"/>
      <c r="UJB48" s="37"/>
      <c r="UJC48" s="37"/>
      <c r="UJD48" s="37"/>
      <c r="UJE48" s="37"/>
      <c r="UJF48" s="37"/>
      <c r="UJG48" s="37"/>
      <c r="UJH48" s="37"/>
      <c r="UJI48" s="37"/>
      <c r="UJJ48" s="37"/>
      <c r="UJK48" s="37"/>
      <c r="UJL48" s="37"/>
      <c r="UJM48" s="37"/>
      <c r="UJN48" s="37"/>
      <c r="UJO48" s="37"/>
      <c r="UJP48" s="37"/>
      <c r="UJQ48" s="37"/>
      <c r="UJR48" s="37"/>
      <c r="UJS48" s="37"/>
      <c r="UJT48" s="37"/>
      <c r="UJU48" s="37"/>
      <c r="UJV48" s="37"/>
      <c r="UJW48" s="37"/>
      <c r="UJX48" s="37"/>
      <c r="UJY48" s="37"/>
      <c r="UJZ48" s="37"/>
      <c r="UKA48" s="37"/>
      <c r="UKB48" s="37"/>
      <c r="UKC48" s="37"/>
      <c r="UKD48" s="37"/>
      <c r="UKE48" s="37"/>
      <c r="UKF48" s="37"/>
      <c r="UKG48" s="37"/>
      <c r="UKH48" s="37"/>
      <c r="UKI48" s="37"/>
      <c r="UKJ48" s="37"/>
      <c r="UKK48" s="37"/>
      <c r="UKL48" s="37"/>
      <c r="UKM48" s="37"/>
      <c r="UKN48" s="37"/>
      <c r="UKO48" s="37"/>
      <c r="UKP48" s="37"/>
      <c r="UKQ48" s="37"/>
      <c r="UKR48" s="37"/>
      <c r="UKS48" s="37"/>
      <c r="UKT48" s="37"/>
      <c r="UKU48" s="37"/>
      <c r="UKV48" s="37"/>
      <c r="UKW48" s="37"/>
      <c r="UKX48" s="37"/>
      <c r="UKY48" s="37"/>
      <c r="UKZ48" s="37"/>
      <c r="ULA48" s="37"/>
      <c r="ULB48" s="37"/>
      <c r="ULC48" s="37"/>
      <c r="ULD48" s="37"/>
      <c r="ULE48" s="37"/>
      <c r="ULF48" s="37"/>
      <c r="ULG48" s="37"/>
      <c r="ULH48" s="37"/>
      <c r="ULI48" s="37"/>
      <c r="ULJ48" s="37"/>
      <c r="ULK48" s="37"/>
      <c r="ULL48" s="37"/>
      <c r="ULM48" s="37"/>
      <c r="ULN48" s="37"/>
      <c r="ULO48" s="37"/>
      <c r="ULP48" s="37"/>
      <c r="ULQ48" s="37"/>
      <c r="ULR48" s="37"/>
      <c r="ULS48" s="37"/>
      <c r="ULT48" s="37"/>
      <c r="ULU48" s="37"/>
      <c r="ULV48" s="37"/>
      <c r="ULW48" s="37"/>
      <c r="ULX48" s="37"/>
      <c r="ULY48" s="37"/>
      <c r="ULZ48" s="37"/>
      <c r="UMA48" s="37"/>
      <c r="UMB48" s="37"/>
      <c r="UMC48" s="37"/>
      <c r="UMD48" s="37"/>
      <c r="UME48" s="37"/>
      <c r="UMF48" s="37"/>
      <c r="UMG48" s="37"/>
      <c r="UMH48" s="37"/>
      <c r="UMI48" s="37"/>
      <c r="UMJ48" s="37"/>
      <c r="UMK48" s="37"/>
      <c r="UML48" s="37"/>
      <c r="UMM48" s="37"/>
      <c r="UMN48" s="37"/>
      <c r="UMO48" s="37"/>
      <c r="UMP48" s="37"/>
      <c r="UMQ48" s="37"/>
      <c r="UMR48" s="37"/>
      <c r="UMS48" s="37"/>
      <c r="UMT48" s="37"/>
      <c r="UMU48" s="37"/>
      <c r="UMV48" s="37"/>
      <c r="UMW48" s="37"/>
      <c r="UMX48" s="37"/>
      <c r="UMY48" s="37"/>
      <c r="UMZ48" s="37"/>
      <c r="UNA48" s="37"/>
      <c r="UNB48" s="37"/>
      <c r="UNC48" s="37"/>
      <c r="UND48" s="37"/>
      <c r="UNE48" s="37"/>
      <c r="UNF48" s="37"/>
      <c r="UNG48" s="37"/>
      <c r="UNH48" s="37"/>
      <c r="UNI48" s="37"/>
      <c r="UNJ48" s="37"/>
      <c r="UNK48" s="37"/>
      <c r="UNL48" s="37"/>
      <c r="UNM48" s="37"/>
      <c r="UNN48" s="37"/>
      <c r="UNO48" s="37"/>
      <c r="UNP48" s="37"/>
      <c r="UNQ48" s="37"/>
      <c r="UNR48" s="37"/>
      <c r="UNS48" s="37"/>
      <c r="UNT48" s="37"/>
      <c r="UNU48" s="37"/>
      <c r="UNV48" s="37"/>
      <c r="UNW48" s="37"/>
      <c r="UNX48" s="37"/>
      <c r="UNY48" s="37"/>
      <c r="UNZ48" s="37"/>
      <c r="UOA48" s="37"/>
      <c r="UOB48" s="37"/>
      <c r="UOC48" s="37"/>
      <c r="UOD48" s="37"/>
      <c r="UOE48" s="37"/>
      <c r="UOF48" s="37"/>
      <c r="UOG48" s="37"/>
      <c r="UOH48" s="37"/>
      <c r="UOI48" s="37"/>
      <c r="UOJ48" s="37"/>
      <c r="UOK48" s="37"/>
      <c r="UOL48" s="37"/>
      <c r="UOM48" s="37"/>
      <c r="UON48" s="37"/>
      <c r="UOO48" s="37"/>
      <c r="UOP48" s="37"/>
      <c r="UOQ48" s="37"/>
      <c r="UOR48" s="37"/>
      <c r="UOS48" s="37"/>
      <c r="UOT48" s="37"/>
      <c r="UOU48" s="37"/>
      <c r="UOV48" s="37"/>
      <c r="UOW48" s="37"/>
      <c r="UOX48" s="37"/>
      <c r="UOY48" s="37"/>
      <c r="UOZ48" s="37"/>
      <c r="UPA48" s="37"/>
      <c r="UPB48" s="37"/>
      <c r="UPC48" s="37"/>
      <c r="UPD48" s="37"/>
      <c r="UPE48" s="37"/>
      <c r="UPF48" s="37"/>
      <c r="UPG48" s="37"/>
      <c r="UPH48" s="37"/>
      <c r="UPI48" s="37"/>
      <c r="UPJ48" s="37"/>
      <c r="UPK48" s="37"/>
      <c r="UPL48" s="37"/>
      <c r="UPM48" s="37"/>
      <c r="UPN48" s="37"/>
      <c r="UPO48" s="37"/>
      <c r="UPP48" s="37"/>
      <c r="UPQ48" s="37"/>
      <c r="UPR48" s="37"/>
      <c r="UPS48" s="37"/>
      <c r="UPT48" s="37"/>
      <c r="UPU48" s="37"/>
      <c r="UPV48" s="37"/>
      <c r="UPW48" s="37"/>
      <c r="UPX48" s="37"/>
      <c r="UPY48" s="37"/>
      <c r="UPZ48" s="37"/>
      <c r="UQA48" s="37"/>
      <c r="UQB48" s="37"/>
      <c r="UQC48" s="37"/>
      <c r="UQD48" s="37"/>
      <c r="UQE48" s="37"/>
      <c r="UQF48" s="37"/>
      <c r="UQG48" s="37"/>
      <c r="UQH48" s="37"/>
      <c r="UQI48" s="37"/>
      <c r="UQJ48" s="37"/>
      <c r="UQK48" s="37"/>
      <c r="UQL48" s="37"/>
      <c r="UQM48" s="37"/>
      <c r="UQN48" s="37"/>
      <c r="UQO48" s="37"/>
      <c r="UQP48" s="37"/>
      <c r="UQQ48" s="37"/>
      <c r="UQR48" s="37"/>
      <c r="UQS48" s="37"/>
      <c r="UQT48" s="37"/>
      <c r="UQU48" s="37"/>
      <c r="UQV48" s="37"/>
      <c r="UQW48" s="37"/>
      <c r="UQX48" s="37"/>
      <c r="UQY48" s="37"/>
      <c r="UQZ48" s="37"/>
      <c r="URA48" s="37"/>
      <c r="URB48" s="37"/>
      <c r="URC48" s="37"/>
      <c r="URD48" s="37"/>
      <c r="URE48" s="37"/>
      <c r="URF48" s="37"/>
      <c r="URG48" s="37"/>
      <c r="URH48" s="37"/>
      <c r="URI48" s="37"/>
      <c r="URJ48" s="37"/>
      <c r="URK48" s="37"/>
      <c r="URL48" s="37"/>
      <c r="URM48" s="37"/>
      <c r="URN48" s="37"/>
      <c r="URO48" s="37"/>
      <c r="URP48" s="37"/>
      <c r="URQ48" s="37"/>
      <c r="URR48" s="37"/>
      <c r="URS48" s="37"/>
      <c r="URT48" s="37"/>
      <c r="URU48" s="37"/>
      <c r="URV48" s="37"/>
      <c r="URW48" s="37"/>
      <c r="URX48" s="37"/>
      <c r="URY48" s="37"/>
      <c r="URZ48" s="37"/>
      <c r="USA48" s="37"/>
      <c r="USB48" s="37"/>
      <c r="USC48" s="37"/>
      <c r="USD48" s="37"/>
      <c r="USE48" s="37"/>
      <c r="USF48" s="37"/>
      <c r="USG48" s="37"/>
      <c r="USH48" s="37"/>
      <c r="USI48" s="37"/>
      <c r="USJ48" s="37"/>
      <c r="USK48" s="37"/>
      <c r="USL48" s="37"/>
      <c r="USM48" s="37"/>
      <c r="USN48" s="37"/>
      <c r="USO48" s="37"/>
      <c r="USP48" s="37"/>
      <c r="USQ48" s="37"/>
      <c r="USR48" s="37"/>
      <c r="USS48" s="37"/>
      <c r="UST48" s="37"/>
      <c r="USU48" s="37"/>
      <c r="USV48" s="37"/>
      <c r="USW48" s="37"/>
      <c r="USX48" s="37"/>
      <c r="USY48" s="37"/>
      <c r="USZ48" s="37"/>
      <c r="UTA48" s="37"/>
      <c r="UTB48" s="37"/>
      <c r="UTC48" s="37"/>
      <c r="UTD48" s="37"/>
      <c r="UTE48" s="37"/>
      <c r="UTF48" s="37"/>
      <c r="UTG48" s="37"/>
      <c r="UTH48" s="37"/>
      <c r="UTI48" s="37"/>
      <c r="UTJ48" s="37"/>
      <c r="UTK48" s="37"/>
      <c r="UTL48" s="37"/>
      <c r="UTM48" s="37"/>
      <c r="UTN48" s="37"/>
      <c r="UTO48" s="37"/>
      <c r="UTP48" s="37"/>
      <c r="UTQ48" s="37"/>
      <c r="UTR48" s="37"/>
      <c r="UTS48" s="37"/>
      <c r="UTT48" s="37"/>
      <c r="UTU48" s="37"/>
      <c r="UTV48" s="37"/>
      <c r="UTW48" s="37"/>
      <c r="UTX48" s="37"/>
      <c r="UTY48" s="37"/>
      <c r="UTZ48" s="37"/>
      <c r="UUA48" s="37"/>
      <c r="UUB48" s="37"/>
      <c r="UUC48" s="37"/>
      <c r="UUD48" s="37"/>
      <c r="UUE48" s="37"/>
      <c r="UUF48" s="37"/>
      <c r="UUG48" s="37"/>
      <c r="UUH48" s="37"/>
      <c r="UUI48" s="37"/>
      <c r="UUJ48" s="37"/>
      <c r="UUK48" s="37"/>
      <c r="UUL48" s="37"/>
      <c r="UUM48" s="37"/>
      <c r="UUN48" s="37"/>
      <c r="UUO48" s="37"/>
      <c r="UUP48" s="37"/>
      <c r="UUQ48" s="37"/>
      <c r="UUR48" s="37"/>
      <c r="UUS48" s="37"/>
      <c r="UUT48" s="37"/>
      <c r="UUU48" s="37"/>
      <c r="UUV48" s="37"/>
      <c r="UUW48" s="37"/>
      <c r="UUX48" s="37"/>
      <c r="UUY48" s="37"/>
      <c r="UUZ48" s="37"/>
      <c r="UVA48" s="37"/>
      <c r="UVB48" s="37"/>
      <c r="UVC48" s="37"/>
      <c r="UVD48" s="37"/>
      <c r="UVE48" s="37"/>
      <c r="UVF48" s="37"/>
      <c r="UVG48" s="37"/>
      <c r="UVH48" s="37"/>
      <c r="UVI48" s="37"/>
      <c r="UVJ48" s="37"/>
      <c r="UVK48" s="37"/>
      <c r="UVL48" s="37"/>
      <c r="UVM48" s="37"/>
      <c r="UVN48" s="37"/>
      <c r="UVO48" s="37"/>
      <c r="UVP48" s="37"/>
      <c r="UVQ48" s="37"/>
      <c r="UVR48" s="37"/>
      <c r="UVS48" s="37"/>
      <c r="UVT48" s="37"/>
      <c r="UVU48" s="37"/>
      <c r="UVV48" s="37"/>
      <c r="UVW48" s="37"/>
      <c r="UVX48" s="37"/>
      <c r="UVY48" s="37"/>
      <c r="UVZ48" s="37"/>
      <c r="UWA48" s="37"/>
      <c r="UWB48" s="37"/>
      <c r="UWC48" s="37"/>
      <c r="UWD48" s="37"/>
      <c r="UWE48" s="37"/>
      <c r="UWF48" s="37"/>
      <c r="UWG48" s="37"/>
      <c r="UWH48" s="37"/>
      <c r="UWI48" s="37"/>
      <c r="UWJ48" s="37"/>
      <c r="UWK48" s="37"/>
      <c r="UWL48" s="37"/>
      <c r="UWM48" s="37"/>
      <c r="UWN48" s="37"/>
      <c r="UWO48" s="37"/>
      <c r="UWP48" s="37"/>
      <c r="UWQ48" s="37"/>
      <c r="UWR48" s="37"/>
      <c r="UWS48" s="37"/>
      <c r="UWT48" s="37"/>
      <c r="UWU48" s="37"/>
      <c r="UWV48" s="37"/>
      <c r="UWW48" s="37"/>
      <c r="UWX48" s="37"/>
      <c r="UWY48" s="37"/>
      <c r="UWZ48" s="37"/>
      <c r="UXA48" s="37"/>
      <c r="UXB48" s="37"/>
      <c r="UXC48" s="37"/>
      <c r="UXD48" s="37"/>
      <c r="UXE48" s="37"/>
      <c r="UXF48" s="37"/>
      <c r="UXG48" s="37"/>
      <c r="UXH48" s="37"/>
      <c r="UXI48" s="37"/>
      <c r="UXJ48" s="37"/>
      <c r="UXK48" s="37"/>
      <c r="UXL48" s="37"/>
      <c r="UXM48" s="37"/>
      <c r="UXN48" s="37"/>
      <c r="UXO48" s="37"/>
      <c r="UXP48" s="37"/>
      <c r="UXQ48" s="37"/>
      <c r="UXR48" s="37"/>
      <c r="UXS48" s="37"/>
      <c r="UXT48" s="37"/>
      <c r="UXU48" s="37"/>
      <c r="UXV48" s="37"/>
      <c r="UXW48" s="37"/>
      <c r="UXX48" s="37"/>
      <c r="UXY48" s="37"/>
      <c r="UXZ48" s="37"/>
      <c r="UYA48" s="37"/>
      <c r="UYB48" s="37"/>
      <c r="UYC48" s="37"/>
      <c r="UYD48" s="37"/>
      <c r="UYE48" s="37"/>
      <c r="UYF48" s="37"/>
      <c r="UYG48" s="37"/>
      <c r="UYH48" s="37"/>
      <c r="UYI48" s="37"/>
      <c r="UYJ48" s="37"/>
      <c r="UYK48" s="37"/>
      <c r="UYL48" s="37"/>
      <c r="UYM48" s="37"/>
      <c r="UYN48" s="37"/>
      <c r="UYO48" s="37"/>
      <c r="UYP48" s="37"/>
      <c r="UYQ48" s="37"/>
      <c r="UYR48" s="37"/>
      <c r="UYS48" s="37"/>
      <c r="UYT48" s="37"/>
      <c r="UYU48" s="37"/>
      <c r="UYV48" s="37"/>
      <c r="UYW48" s="37"/>
      <c r="UYX48" s="37"/>
      <c r="UYY48" s="37"/>
      <c r="UYZ48" s="37"/>
      <c r="UZA48" s="37"/>
      <c r="UZB48" s="37"/>
      <c r="UZC48" s="37"/>
      <c r="UZD48" s="37"/>
      <c r="UZE48" s="37"/>
      <c r="UZF48" s="37"/>
      <c r="UZG48" s="37"/>
      <c r="UZH48" s="37"/>
      <c r="UZI48" s="37"/>
      <c r="UZJ48" s="37"/>
      <c r="UZK48" s="37"/>
      <c r="UZL48" s="37"/>
      <c r="UZM48" s="37"/>
      <c r="UZN48" s="37"/>
      <c r="UZO48" s="37"/>
      <c r="UZP48" s="37"/>
      <c r="UZQ48" s="37"/>
      <c r="UZR48" s="37"/>
      <c r="UZS48" s="37"/>
      <c r="UZT48" s="37"/>
      <c r="UZU48" s="37"/>
      <c r="UZV48" s="37"/>
      <c r="UZW48" s="37"/>
      <c r="UZX48" s="37"/>
      <c r="UZY48" s="37"/>
      <c r="UZZ48" s="37"/>
      <c r="VAA48" s="37"/>
      <c r="VAB48" s="37"/>
      <c r="VAC48" s="37"/>
      <c r="VAD48" s="37"/>
      <c r="VAE48" s="37"/>
      <c r="VAF48" s="37"/>
      <c r="VAG48" s="37"/>
      <c r="VAH48" s="37"/>
      <c r="VAI48" s="37"/>
      <c r="VAJ48" s="37"/>
      <c r="VAK48" s="37"/>
      <c r="VAL48" s="37"/>
      <c r="VAM48" s="37"/>
      <c r="VAN48" s="37"/>
      <c r="VAO48" s="37"/>
      <c r="VAP48" s="37"/>
      <c r="VAQ48" s="37"/>
      <c r="VAR48" s="37"/>
      <c r="VAS48" s="37"/>
      <c r="VAT48" s="37"/>
      <c r="VAU48" s="37"/>
      <c r="VAV48" s="37"/>
      <c r="VAW48" s="37"/>
      <c r="VAX48" s="37"/>
      <c r="VAY48" s="37"/>
      <c r="VAZ48" s="37"/>
      <c r="VBA48" s="37"/>
      <c r="VBB48" s="37"/>
      <c r="VBC48" s="37"/>
      <c r="VBD48" s="37"/>
      <c r="VBE48" s="37"/>
      <c r="VBF48" s="37"/>
      <c r="VBG48" s="37"/>
      <c r="VBH48" s="37"/>
      <c r="VBI48" s="37"/>
      <c r="VBJ48" s="37"/>
      <c r="VBK48" s="37"/>
      <c r="VBL48" s="37"/>
      <c r="VBM48" s="37"/>
      <c r="VBN48" s="37"/>
      <c r="VBO48" s="37"/>
      <c r="VBP48" s="37"/>
      <c r="VBQ48" s="37"/>
      <c r="VBR48" s="37"/>
      <c r="VBS48" s="37"/>
      <c r="VBT48" s="37"/>
      <c r="VBU48" s="37"/>
      <c r="VBV48" s="37"/>
      <c r="VBW48" s="37"/>
      <c r="VBX48" s="37"/>
      <c r="VBY48" s="37"/>
      <c r="VBZ48" s="37"/>
      <c r="VCA48" s="37"/>
      <c r="VCB48" s="37"/>
      <c r="VCC48" s="37"/>
      <c r="VCD48" s="37"/>
      <c r="VCE48" s="37"/>
      <c r="VCF48" s="37"/>
      <c r="VCG48" s="37"/>
      <c r="VCH48" s="37"/>
      <c r="VCI48" s="37"/>
      <c r="VCJ48" s="37"/>
      <c r="VCK48" s="37"/>
      <c r="VCL48" s="37"/>
      <c r="VCM48" s="37"/>
      <c r="VCN48" s="37"/>
      <c r="VCO48" s="37"/>
      <c r="VCP48" s="37"/>
      <c r="VCQ48" s="37"/>
      <c r="VCR48" s="37"/>
      <c r="VCS48" s="37"/>
      <c r="VCT48" s="37"/>
      <c r="VCU48" s="37"/>
      <c r="VCV48" s="37"/>
      <c r="VCW48" s="37"/>
      <c r="VCX48" s="37"/>
      <c r="VCY48" s="37"/>
      <c r="VCZ48" s="37"/>
      <c r="VDA48" s="37"/>
      <c r="VDB48" s="37"/>
      <c r="VDC48" s="37"/>
      <c r="VDD48" s="37"/>
      <c r="VDE48" s="37"/>
      <c r="VDF48" s="37"/>
      <c r="VDG48" s="37"/>
      <c r="VDH48" s="37"/>
      <c r="VDI48" s="37"/>
      <c r="VDJ48" s="37"/>
      <c r="VDK48" s="37"/>
      <c r="VDL48" s="37"/>
      <c r="VDM48" s="37"/>
      <c r="VDN48" s="37"/>
      <c r="VDO48" s="37"/>
      <c r="VDP48" s="37"/>
      <c r="VDQ48" s="37"/>
      <c r="VDR48" s="37"/>
      <c r="VDS48" s="37"/>
      <c r="VDT48" s="37"/>
      <c r="VDU48" s="37"/>
      <c r="VDV48" s="37"/>
      <c r="VDW48" s="37"/>
      <c r="VDX48" s="37"/>
      <c r="VDY48" s="37"/>
      <c r="VDZ48" s="37"/>
      <c r="VEA48" s="37"/>
      <c r="VEB48" s="37"/>
      <c r="VEC48" s="37"/>
      <c r="VED48" s="37"/>
      <c r="VEE48" s="37"/>
      <c r="VEF48" s="37"/>
      <c r="VEG48" s="37"/>
      <c r="VEH48" s="37"/>
      <c r="VEI48" s="37"/>
      <c r="VEJ48" s="37"/>
      <c r="VEK48" s="37"/>
      <c r="VEL48" s="37"/>
      <c r="VEM48" s="37"/>
      <c r="VEN48" s="37"/>
      <c r="VEO48" s="37"/>
      <c r="VEP48" s="37"/>
      <c r="VEQ48" s="37"/>
      <c r="VER48" s="37"/>
      <c r="VES48" s="37"/>
      <c r="VET48" s="37"/>
      <c r="VEU48" s="37"/>
      <c r="VEV48" s="37"/>
      <c r="VEW48" s="37"/>
      <c r="VEX48" s="37"/>
      <c r="VEY48" s="37"/>
      <c r="VEZ48" s="37"/>
      <c r="VFA48" s="37"/>
      <c r="VFB48" s="37"/>
      <c r="VFC48" s="37"/>
      <c r="VFD48" s="37"/>
      <c r="VFE48" s="37"/>
      <c r="VFF48" s="37"/>
      <c r="VFG48" s="37"/>
      <c r="VFH48" s="37"/>
      <c r="VFI48" s="37"/>
      <c r="VFJ48" s="37"/>
      <c r="VFK48" s="37"/>
      <c r="VFL48" s="37"/>
      <c r="VFM48" s="37"/>
      <c r="VFN48" s="37"/>
      <c r="VFO48" s="37"/>
      <c r="VFP48" s="37"/>
      <c r="VFQ48" s="37"/>
      <c r="VFR48" s="37"/>
      <c r="VFS48" s="37"/>
      <c r="VFT48" s="37"/>
      <c r="VFU48" s="37"/>
      <c r="VFV48" s="37"/>
      <c r="VFW48" s="37"/>
      <c r="VFX48" s="37"/>
      <c r="VFY48" s="37"/>
      <c r="VFZ48" s="37"/>
      <c r="VGA48" s="37"/>
      <c r="VGB48" s="37"/>
      <c r="VGC48" s="37"/>
      <c r="VGD48" s="37"/>
      <c r="VGE48" s="37"/>
      <c r="VGF48" s="37"/>
      <c r="VGG48" s="37"/>
      <c r="VGH48" s="37"/>
      <c r="VGI48" s="37"/>
      <c r="VGJ48" s="37"/>
      <c r="VGK48" s="37"/>
      <c r="VGL48" s="37"/>
      <c r="VGM48" s="37"/>
      <c r="VGN48" s="37"/>
      <c r="VGO48" s="37"/>
      <c r="VGP48" s="37"/>
      <c r="VGQ48" s="37"/>
      <c r="VGR48" s="37"/>
      <c r="VGS48" s="37"/>
      <c r="VGT48" s="37"/>
      <c r="VGU48" s="37"/>
      <c r="VGV48" s="37"/>
      <c r="VGW48" s="37"/>
      <c r="VGX48" s="37"/>
      <c r="VGY48" s="37"/>
      <c r="VGZ48" s="37"/>
      <c r="VHA48" s="37"/>
      <c r="VHB48" s="37"/>
      <c r="VHC48" s="37"/>
      <c r="VHD48" s="37"/>
      <c r="VHE48" s="37"/>
      <c r="VHF48" s="37"/>
      <c r="VHG48" s="37"/>
      <c r="VHH48" s="37"/>
      <c r="VHI48" s="37"/>
      <c r="VHJ48" s="37"/>
      <c r="VHK48" s="37"/>
      <c r="VHL48" s="37"/>
      <c r="VHM48" s="37"/>
      <c r="VHN48" s="37"/>
      <c r="VHO48" s="37"/>
      <c r="VHP48" s="37"/>
      <c r="VHQ48" s="37"/>
      <c r="VHR48" s="37"/>
      <c r="VHS48" s="37"/>
      <c r="VHT48" s="37"/>
      <c r="VHU48" s="37"/>
      <c r="VHV48" s="37"/>
      <c r="VHW48" s="37"/>
      <c r="VHX48" s="37"/>
      <c r="VHY48" s="37"/>
      <c r="VHZ48" s="37"/>
      <c r="VIA48" s="37"/>
      <c r="VIB48" s="37"/>
      <c r="VIC48" s="37"/>
      <c r="VID48" s="37"/>
      <c r="VIE48" s="37"/>
      <c r="VIF48" s="37"/>
      <c r="VIG48" s="37"/>
      <c r="VIH48" s="37"/>
      <c r="VII48" s="37"/>
      <c r="VIJ48" s="37"/>
      <c r="VIK48" s="37"/>
      <c r="VIL48" s="37"/>
      <c r="VIM48" s="37"/>
      <c r="VIN48" s="37"/>
      <c r="VIO48" s="37"/>
      <c r="VIP48" s="37"/>
      <c r="VIQ48" s="37"/>
      <c r="VIR48" s="37"/>
      <c r="VIS48" s="37"/>
      <c r="VIT48" s="37"/>
      <c r="VIU48" s="37"/>
      <c r="VIV48" s="37"/>
      <c r="VIW48" s="37"/>
      <c r="VIX48" s="37"/>
      <c r="VIY48" s="37"/>
      <c r="VIZ48" s="37"/>
      <c r="VJA48" s="37"/>
      <c r="VJB48" s="37"/>
      <c r="VJC48" s="37"/>
      <c r="VJD48" s="37"/>
      <c r="VJE48" s="37"/>
      <c r="VJF48" s="37"/>
      <c r="VJG48" s="37"/>
      <c r="VJH48" s="37"/>
      <c r="VJI48" s="37"/>
      <c r="VJJ48" s="37"/>
      <c r="VJK48" s="37"/>
      <c r="VJL48" s="37"/>
      <c r="VJM48" s="37"/>
      <c r="VJN48" s="37"/>
      <c r="VJO48" s="37"/>
      <c r="VJP48" s="37"/>
      <c r="VJQ48" s="37"/>
      <c r="VJR48" s="37"/>
      <c r="VJS48" s="37"/>
      <c r="VJT48" s="37"/>
      <c r="VJU48" s="37"/>
      <c r="VJV48" s="37"/>
      <c r="VJW48" s="37"/>
      <c r="VJX48" s="37"/>
      <c r="VJY48" s="37"/>
      <c r="VJZ48" s="37"/>
      <c r="VKA48" s="37"/>
      <c r="VKB48" s="37"/>
      <c r="VKC48" s="37"/>
      <c r="VKD48" s="37"/>
      <c r="VKE48" s="37"/>
      <c r="VKF48" s="37"/>
      <c r="VKG48" s="37"/>
      <c r="VKH48" s="37"/>
      <c r="VKI48" s="37"/>
      <c r="VKJ48" s="37"/>
      <c r="VKK48" s="37"/>
      <c r="VKL48" s="37"/>
      <c r="VKM48" s="37"/>
      <c r="VKN48" s="37"/>
      <c r="VKO48" s="37"/>
      <c r="VKP48" s="37"/>
      <c r="VKQ48" s="37"/>
      <c r="VKR48" s="37"/>
      <c r="VKS48" s="37"/>
      <c r="VKT48" s="37"/>
      <c r="VKU48" s="37"/>
      <c r="VKV48" s="37"/>
      <c r="VKW48" s="37"/>
      <c r="VKX48" s="37"/>
      <c r="VKY48" s="37"/>
      <c r="VKZ48" s="37"/>
      <c r="VLA48" s="37"/>
      <c r="VLB48" s="37"/>
      <c r="VLC48" s="37"/>
      <c r="VLD48" s="37"/>
      <c r="VLE48" s="37"/>
      <c r="VLF48" s="37"/>
      <c r="VLG48" s="37"/>
      <c r="VLH48" s="37"/>
      <c r="VLI48" s="37"/>
      <c r="VLJ48" s="37"/>
      <c r="VLK48" s="37"/>
      <c r="VLL48" s="37"/>
      <c r="VLM48" s="37"/>
      <c r="VLN48" s="37"/>
      <c r="VLO48" s="37"/>
      <c r="VLP48" s="37"/>
      <c r="VLQ48" s="37"/>
      <c r="VLR48" s="37"/>
      <c r="VLS48" s="37"/>
      <c r="VLT48" s="37"/>
      <c r="VLU48" s="37"/>
      <c r="VLV48" s="37"/>
      <c r="VLW48" s="37"/>
      <c r="VLX48" s="37"/>
      <c r="VLY48" s="37"/>
      <c r="VLZ48" s="37"/>
      <c r="VMA48" s="37"/>
      <c r="VMB48" s="37"/>
      <c r="VMC48" s="37"/>
      <c r="VMD48" s="37"/>
      <c r="VME48" s="37"/>
      <c r="VMF48" s="37"/>
      <c r="VMG48" s="37"/>
      <c r="VMH48" s="37"/>
      <c r="VMI48" s="37"/>
      <c r="VMJ48" s="37"/>
      <c r="VMK48" s="37"/>
      <c r="VML48" s="37"/>
      <c r="VMM48" s="37"/>
      <c r="VMN48" s="37"/>
      <c r="VMO48" s="37"/>
      <c r="VMP48" s="37"/>
      <c r="VMQ48" s="37"/>
      <c r="VMR48" s="37"/>
      <c r="VMS48" s="37"/>
      <c r="VMT48" s="37"/>
      <c r="VMU48" s="37"/>
      <c r="VMV48" s="37"/>
      <c r="VMW48" s="37"/>
      <c r="VMX48" s="37"/>
      <c r="VMY48" s="37"/>
      <c r="VMZ48" s="37"/>
      <c r="VNA48" s="37"/>
      <c r="VNB48" s="37"/>
      <c r="VNC48" s="37"/>
      <c r="VND48" s="37"/>
      <c r="VNE48" s="37"/>
      <c r="VNF48" s="37"/>
      <c r="VNG48" s="37"/>
      <c r="VNH48" s="37"/>
      <c r="VNI48" s="37"/>
      <c r="VNJ48" s="37"/>
      <c r="VNK48" s="37"/>
      <c r="VNL48" s="37"/>
      <c r="VNM48" s="37"/>
      <c r="VNN48" s="37"/>
      <c r="VNO48" s="37"/>
      <c r="VNP48" s="37"/>
      <c r="VNQ48" s="37"/>
      <c r="VNR48" s="37"/>
      <c r="VNS48" s="37"/>
      <c r="VNT48" s="37"/>
      <c r="VNU48" s="37"/>
      <c r="VNV48" s="37"/>
      <c r="VNW48" s="37"/>
      <c r="VNX48" s="37"/>
      <c r="VNY48" s="37"/>
      <c r="VNZ48" s="37"/>
      <c r="VOA48" s="37"/>
      <c r="VOB48" s="37"/>
      <c r="VOC48" s="37"/>
      <c r="VOD48" s="37"/>
      <c r="VOE48" s="37"/>
      <c r="VOF48" s="37"/>
      <c r="VOG48" s="37"/>
      <c r="VOH48" s="37"/>
      <c r="VOI48" s="37"/>
      <c r="VOJ48" s="37"/>
      <c r="VOK48" s="37"/>
      <c r="VOL48" s="37"/>
      <c r="VOM48" s="37"/>
      <c r="VON48" s="37"/>
      <c r="VOO48" s="37"/>
      <c r="VOP48" s="37"/>
      <c r="VOQ48" s="37"/>
      <c r="VOR48" s="37"/>
      <c r="VOS48" s="37"/>
      <c r="VOT48" s="37"/>
      <c r="VOU48" s="37"/>
      <c r="VOV48" s="37"/>
      <c r="VOW48" s="37"/>
      <c r="VOX48" s="37"/>
      <c r="VOY48" s="37"/>
      <c r="VOZ48" s="37"/>
      <c r="VPA48" s="37"/>
      <c r="VPB48" s="37"/>
      <c r="VPC48" s="37"/>
      <c r="VPD48" s="37"/>
      <c r="VPE48" s="37"/>
      <c r="VPF48" s="37"/>
      <c r="VPG48" s="37"/>
      <c r="VPH48" s="37"/>
      <c r="VPI48" s="37"/>
      <c r="VPJ48" s="37"/>
      <c r="VPK48" s="37"/>
      <c r="VPL48" s="37"/>
      <c r="VPM48" s="37"/>
      <c r="VPN48" s="37"/>
      <c r="VPO48" s="37"/>
      <c r="VPP48" s="37"/>
      <c r="VPQ48" s="37"/>
      <c r="VPR48" s="37"/>
      <c r="VPS48" s="37"/>
      <c r="VPT48" s="37"/>
      <c r="VPU48" s="37"/>
      <c r="VPV48" s="37"/>
      <c r="VPW48" s="37"/>
      <c r="VPX48" s="37"/>
      <c r="VPY48" s="37"/>
      <c r="VPZ48" s="37"/>
      <c r="VQA48" s="37"/>
      <c r="VQB48" s="37"/>
      <c r="VQC48" s="37"/>
      <c r="VQD48" s="37"/>
      <c r="VQE48" s="37"/>
      <c r="VQF48" s="37"/>
      <c r="VQG48" s="37"/>
      <c r="VQH48" s="37"/>
      <c r="VQI48" s="37"/>
      <c r="VQJ48" s="37"/>
      <c r="VQK48" s="37"/>
      <c r="VQL48" s="37"/>
      <c r="VQM48" s="37"/>
      <c r="VQN48" s="37"/>
      <c r="VQO48" s="37"/>
      <c r="VQP48" s="37"/>
      <c r="VQQ48" s="37"/>
      <c r="VQR48" s="37"/>
      <c r="VQS48" s="37"/>
      <c r="VQT48" s="37"/>
      <c r="VQU48" s="37"/>
      <c r="VQV48" s="37"/>
      <c r="VQW48" s="37"/>
      <c r="VQX48" s="37"/>
      <c r="VQY48" s="37"/>
      <c r="VQZ48" s="37"/>
      <c r="VRA48" s="37"/>
      <c r="VRB48" s="37"/>
      <c r="VRC48" s="37"/>
      <c r="VRD48" s="37"/>
      <c r="VRE48" s="37"/>
      <c r="VRF48" s="37"/>
      <c r="VRG48" s="37"/>
      <c r="VRH48" s="37"/>
      <c r="VRI48" s="37"/>
      <c r="VRJ48" s="37"/>
      <c r="VRK48" s="37"/>
      <c r="VRL48" s="37"/>
      <c r="VRM48" s="37"/>
      <c r="VRN48" s="37"/>
      <c r="VRO48" s="37"/>
      <c r="VRP48" s="37"/>
      <c r="VRQ48" s="37"/>
      <c r="VRR48" s="37"/>
      <c r="VRS48" s="37"/>
      <c r="VRT48" s="37"/>
      <c r="VRU48" s="37"/>
      <c r="VRV48" s="37"/>
      <c r="VRW48" s="37"/>
      <c r="VRX48" s="37"/>
      <c r="VRY48" s="37"/>
      <c r="VRZ48" s="37"/>
      <c r="VSA48" s="37"/>
      <c r="VSB48" s="37"/>
      <c r="VSC48" s="37"/>
      <c r="VSD48" s="37"/>
      <c r="VSE48" s="37"/>
      <c r="VSF48" s="37"/>
      <c r="VSG48" s="37"/>
      <c r="VSH48" s="37"/>
      <c r="VSI48" s="37"/>
      <c r="VSJ48" s="37"/>
      <c r="VSK48" s="37"/>
      <c r="VSL48" s="37"/>
      <c r="VSM48" s="37"/>
      <c r="VSN48" s="37"/>
      <c r="VSO48" s="37"/>
      <c r="VSP48" s="37"/>
      <c r="VSQ48" s="37"/>
      <c r="VSR48" s="37"/>
      <c r="VSS48" s="37"/>
      <c r="VST48" s="37"/>
      <c r="VSU48" s="37"/>
      <c r="VSV48" s="37"/>
      <c r="VSW48" s="37"/>
      <c r="VSX48" s="37"/>
      <c r="VSY48" s="37"/>
      <c r="VSZ48" s="37"/>
      <c r="VTA48" s="37"/>
      <c r="VTB48" s="37"/>
      <c r="VTC48" s="37"/>
      <c r="VTD48" s="37"/>
      <c r="VTE48" s="37"/>
      <c r="VTF48" s="37"/>
      <c r="VTG48" s="37"/>
      <c r="VTH48" s="37"/>
      <c r="VTI48" s="37"/>
      <c r="VTJ48" s="37"/>
      <c r="VTK48" s="37"/>
      <c r="VTL48" s="37"/>
      <c r="VTM48" s="37"/>
      <c r="VTN48" s="37"/>
      <c r="VTO48" s="37"/>
      <c r="VTP48" s="37"/>
      <c r="VTQ48" s="37"/>
      <c r="VTR48" s="37"/>
      <c r="VTS48" s="37"/>
      <c r="VTT48" s="37"/>
      <c r="VTU48" s="37"/>
      <c r="VTV48" s="37"/>
      <c r="VTW48" s="37"/>
      <c r="VTX48" s="37"/>
      <c r="VTY48" s="37"/>
      <c r="VTZ48" s="37"/>
      <c r="VUA48" s="37"/>
      <c r="VUB48" s="37"/>
      <c r="VUC48" s="37"/>
      <c r="VUD48" s="37"/>
      <c r="VUE48" s="37"/>
      <c r="VUF48" s="37"/>
      <c r="VUG48" s="37"/>
      <c r="VUH48" s="37"/>
      <c r="VUI48" s="37"/>
      <c r="VUJ48" s="37"/>
      <c r="VUK48" s="37"/>
      <c r="VUL48" s="37"/>
      <c r="VUM48" s="37"/>
      <c r="VUN48" s="37"/>
      <c r="VUO48" s="37"/>
      <c r="VUP48" s="37"/>
      <c r="VUQ48" s="37"/>
      <c r="VUR48" s="37"/>
      <c r="VUS48" s="37"/>
      <c r="VUT48" s="37"/>
      <c r="VUU48" s="37"/>
      <c r="VUV48" s="37"/>
      <c r="VUW48" s="37"/>
      <c r="VUX48" s="37"/>
      <c r="VUY48" s="37"/>
      <c r="VUZ48" s="37"/>
      <c r="VVA48" s="37"/>
      <c r="VVB48" s="37"/>
      <c r="VVC48" s="37"/>
      <c r="VVD48" s="37"/>
      <c r="VVE48" s="37"/>
      <c r="VVF48" s="37"/>
      <c r="VVG48" s="37"/>
      <c r="VVH48" s="37"/>
      <c r="VVI48" s="37"/>
      <c r="VVJ48" s="37"/>
      <c r="VVK48" s="37"/>
      <c r="VVL48" s="37"/>
      <c r="VVM48" s="37"/>
      <c r="VVN48" s="37"/>
      <c r="VVO48" s="37"/>
      <c r="VVP48" s="37"/>
      <c r="VVQ48" s="37"/>
      <c r="VVR48" s="37"/>
      <c r="VVS48" s="37"/>
      <c r="VVT48" s="37"/>
      <c r="VVU48" s="37"/>
      <c r="VVV48" s="37"/>
      <c r="VVW48" s="37"/>
      <c r="VVX48" s="37"/>
      <c r="VVY48" s="37"/>
      <c r="VVZ48" s="37"/>
      <c r="VWA48" s="37"/>
      <c r="VWB48" s="37"/>
      <c r="VWC48" s="37"/>
      <c r="VWD48" s="37"/>
      <c r="VWE48" s="37"/>
      <c r="VWF48" s="37"/>
      <c r="VWG48" s="37"/>
      <c r="VWH48" s="37"/>
      <c r="VWI48" s="37"/>
      <c r="VWJ48" s="37"/>
      <c r="VWK48" s="37"/>
      <c r="VWL48" s="37"/>
      <c r="VWM48" s="37"/>
      <c r="VWN48" s="37"/>
      <c r="VWO48" s="37"/>
      <c r="VWP48" s="37"/>
      <c r="VWQ48" s="37"/>
      <c r="VWR48" s="37"/>
      <c r="VWS48" s="37"/>
      <c r="VWT48" s="37"/>
      <c r="VWU48" s="37"/>
      <c r="VWV48" s="37"/>
      <c r="VWW48" s="37"/>
      <c r="VWX48" s="37"/>
      <c r="VWY48" s="37"/>
      <c r="VWZ48" s="37"/>
      <c r="VXA48" s="37"/>
      <c r="VXB48" s="37"/>
      <c r="VXC48" s="37"/>
      <c r="VXD48" s="37"/>
      <c r="VXE48" s="37"/>
      <c r="VXF48" s="37"/>
      <c r="VXG48" s="37"/>
      <c r="VXH48" s="37"/>
      <c r="VXI48" s="37"/>
      <c r="VXJ48" s="37"/>
      <c r="VXK48" s="37"/>
      <c r="VXL48" s="37"/>
      <c r="VXM48" s="37"/>
      <c r="VXN48" s="37"/>
      <c r="VXO48" s="37"/>
      <c r="VXP48" s="37"/>
      <c r="VXQ48" s="37"/>
      <c r="VXR48" s="37"/>
      <c r="VXS48" s="37"/>
      <c r="VXT48" s="37"/>
      <c r="VXU48" s="37"/>
      <c r="VXV48" s="37"/>
      <c r="VXW48" s="37"/>
      <c r="VXX48" s="37"/>
      <c r="VXY48" s="37"/>
      <c r="VXZ48" s="37"/>
      <c r="VYA48" s="37"/>
      <c r="VYB48" s="37"/>
      <c r="VYC48" s="37"/>
      <c r="VYD48" s="37"/>
      <c r="VYE48" s="37"/>
      <c r="VYF48" s="37"/>
      <c r="VYG48" s="37"/>
      <c r="VYH48" s="37"/>
      <c r="VYI48" s="37"/>
      <c r="VYJ48" s="37"/>
      <c r="VYK48" s="37"/>
      <c r="VYL48" s="37"/>
      <c r="VYM48" s="37"/>
      <c r="VYN48" s="37"/>
      <c r="VYO48" s="37"/>
      <c r="VYP48" s="37"/>
      <c r="VYQ48" s="37"/>
      <c r="VYR48" s="37"/>
      <c r="VYS48" s="37"/>
      <c r="VYT48" s="37"/>
      <c r="VYU48" s="37"/>
      <c r="VYV48" s="37"/>
      <c r="VYW48" s="37"/>
      <c r="VYX48" s="37"/>
      <c r="VYY48" s="37"/>
      <c r="VYZ48" s="37"/>
      <c r="VZA48" s="37"/>
      <c r="VZB48" s="37"/>
      <c r="VZC48" s="37"/>
      <c r="VZD48" s="37"/>
      <c r="VZE48" s="37"/>
      <c r="VZF48" s="37"/>
      <c r="VZG48" s="37"/>
      <c r="VZH48" s="37"/>
      <c r="VZI48" s="37"/>
      <c r="VZJ48" s="37"/>
      <c r="VZK48" s="37"/>
      <c r="VZL48" s="37"/>
      <c r="VZM48" s="37"/>
      <c r="VZN48" s="37"/>
      <c r="VZO48" s="37"/>
      <c r="VZP48" s="37"/>
      <c r="VZQ48" s="37"/>
      <c r="VZR48" s="37"/>
      <c r="VZS48" s="37"/>
      <c r="VZT48" s="37"/>
      <c r="VZU48" s="37"/>
      <c r="VZV48" s="37"/>
      <c r="VZW48" s="37"/>
      <c r="VZX48" s="37"/>
      <c r="VZY48" s="37"/>
      <c r="VZZ48" s="37"/>
      <c r="WAA48" s="37"/>
      <c r="WAB48" s="37"/>
      <c r="WAC48" s="37"/>
      <c r="WAD48" s="37"/>
      <c r="WAE48" s="37"/>
      <c r="WAF48" s="37"/>
      <c r="WAG48" s="37"/>
      <c r="WAH48" s="37"/>
      <c r="WAI48" s="37"/>
      <c r="WAJ48" s="37"/>
      <c r="WAK48" s="37"/>
      <c r="WAL48" s="37"/>
      <c r="WAM48" s="37"/>
      <c r="WAN48" s="37"/>
      <c r="WAO48" s="37"/>
      <c r="WAP48" s="37"/>
      <c r="WAQ48" s="37"/>
      <c r="WAR48" s="37"/>
      <c r="WAS48" s="37"/>
      <c r="WAT48" s="37"/>
      <c r="WAU48" s="37"/>
      <c r="WAV48" s="37"/>
      <c r="WAW48" s="37"/>
      <c r="WAX48" s="37"/>
      <c r="WAY48" s="37"/>
      <c r="WAZ48" s="37"/>
      <c r="WBA48" s="37"/>
      <c r="WBB48" s="37"/>
      <c r="WBC48" s="37"/>
      <c r="WBD48" s="37"/>
      <c r="WBE48" s="37"/>
      <c r="WBF48" s="37"/>
      <c r="WBG48" s="37"/>
      <c r="WBH48" s="37"/>
      <c r="WBI48" s="37"/>
      <c r="WBJ48" s="37"/>
      <c r="WBK48" s="37"/>
      <c r="WBL48" s="37"/>
      <c r="WBM48" s="37"/>
      <c r="WBN48" s="37"/>
      <c r="WBO48" s="37"/>
      <c r="WBP48" s="37"/>
      <c r="WBQ48" s="37"/>
      <c r="WBR48" s="37"/>
      <c r="WBS48" s="37"/>
      <c r="WBT48" s="37"/>
      <c r="WBU48" s="37"/>
      <c r="WBV48" s="37"/>
      <c r="WBW48" s="37"/>
      <c r="WBX48" s="37"/>
      <c r="WBY48" s="37"/>
      <c r="WBZ48" s="37"/>
      <c r="WCA48" s="37"/>
      <c r="WCB48" s="37"/>
      <c r="WCC48" s="37"/>
      <c r="WCD48" s="37"/>
      <c r="WCE48" s="37"/>
      <c r="WCF48" s="37"/>
      <c r="WCG48" s="37"/>
      <c r="WCH48" s="37"/>
      <c r="WCI48" s="37"/>
      <c r="WCJ48" s="37"/>
      <c r="WCK48" s="37"/>
      <c r="WCL48" s="37"/>
      <c r="WCM48" s="37"/>
      <c r="WCN48" s="37"/>
      <c r="WCO48" s="37"/>
      <c r="WCP48" s="37"/>
      <c r="WCQ48" s="37"/>
      <c r="WCR48" s="37"/>
      <c r="WCS48" s="37"/>
      <c r="WCT48" s="37"/>
      <c r="WCU48" s="37"/>
      <c r="WCV48" s="37"/>
      <c r="WCW48" s="37"/>
      <c r="WCX48" s="37"/>
      <c r="WCY48" s="37"/>
      <c r="WCZ48" s="37"/>
      <c r="WDA48" s="37"/>
      <c r="WDB48" s="37"/>
      <c r="WDC48" s="37"/>
      <c r="WDD48" s="37"/>
      <c r="WDE48" s="37"/>
      <c r="WDF48" s="37"/>
      <c r="WDG48" s="37"/>
      <c r="WDH48" s="37"/>
      <c r="WDI48" s="37"/>
      <c r="WDJ48" s="37"/>
      <c r="WDK48" s="37"/>
      <c r="WDL48" s="37"/>
      <c r="WDM48" s="37"/>
      <c r="WDN48" s="37"/>
      <c r="WDO48" s="37"/>
      <c r="WDP48" s="37"/>
      <c r="WDQ48" s="37"/>
      <c r="WDR48" s="37"/>
      <c r="WDS48" s="37"/>
      <c r="WDT48" s="37"/>
      <c r="WDU48" s="37"/>
      <c r="WDV48" s="37"/>
      <c r="WDW48" s="37"/>
      <c r="WDX48" s="37"/>
      <c r="WDY48" s="37"/>
      <c r="WDZ48" s="37"/>
      <c r="WEA48" s="37"/>
      <c r="WEB48" s="37"/>
      <c r="WEC48" s="37"/>
      <c r="WED48" s="37"/>
      <c r="WEE48" s="37"/>
      <c r="WEF48" s="37"/>
      <c r="WEG48" s="37"/>
      <c r="WEH48" s="37"/>
      <c r="WEI48" s="37"/>
      <c r="WEJ48" s="37"/>
      <c r="WEK48" s="37"/>
      <c r="WEL48" s="37"/>
      <c r="WEM48" s="37"/>
      <c r="WEN48" s="37"/>
      <c r="WEO48" s="37"/>
      <c r="WEP48" s="37"/>
      <c r="WEQ48" s="37"/>
      <c r="WER48" s="37"/>
      <c r="WES48" s="37"/>
      <c r="WET48" s="37"/>
      <c r="WEU48" s="37"/>
      <c r="WEV48" s="37"/>
      <c r="WEW48" s="37"/>
      <c r="WEX48" s="37"/>
      <c r="WEY48" s="37"/>
      <c r="WEZ48" s="37"/>
      <c r="WFA48" s="37"/>
      <c r="WFB48" s="37"/>
      <c r="WFC48" s="37"/>
      <c r="WFD48" s="37"/>
      <c r="WFE48" s="37"/>
      <c r="WFF48" s="37"/>
      <c r="WFG48" s="37"/>
      <c r="WFH48" s="37"/>
      <c r="WFI48" s="37"/>
      <c r="WFJ48" s="37"/>
      <c r="WFK48" s="37"/>
      <c r="WFL48" s="37"/>
      <c r="WFM48" s="37"/>
      <c r="WFN48" s="37"/>
      <c r="WFO48" s="37"/>
      <c r="WFP48" s="37"/>
      <c r="WFQ48" s="37"/>
      <c r="WFR48" s="37"/>
      <c r="WFS48" s="37"/>
      <c r="WFT48" s="37"/>
      <c r="WFU48" s="37"/>
      <c r="WFV48" s="37"/>
      <c r="WFW48" s="37"/>
      <c r="WFX48" s="37"/>
      <c r="WFY48" s="37"/>
      <c r="WFZ48" s="37"/>
      <c r="WGA48" s="37"/>
      <c r="WGB48" s="37"/>
      <c r="WGC48" s="37"/>
      <c r="WGD48" s="37"/>
      <c r="WGE48" s="37"/>
      <c r="WGF48" s="37"/>
      <c r="WGG48" s="37"/>
      <c r="WGH48" s="37"/>
      <c r="WGI48" s="37"/>
      <c r="WGJ48" s="37"/>
      <c r="WGK48" s="37"/>
      <c r="WGL48" s="37"/>
      <c r="WGM48" s="37"/>
      <c r="WGN48" s="37"/>
      <c r="WGO48" s="37"/>
      <c r="WGP48" s="37"/>
      <c r="WGQ48" s="37"/>
      <c r="WGR48" s="37"/>
      <c r="WGS48" s="37"/>
      <c r="WGT48" s="37"/>
      <c r="WGU48" s="37"/>
      <c r="WGV48" s="37"/>
      <c r="WGW48" s="37"/>
      <c r="WGX48" s="37"/>
      <c r="WGY48" s="37"/>
      <c r="WGZ48" s="37"/>
      <c r="WHA48" s="37"/>
      <c r="WHB48" s="37"/>
      <c r="WHC48" s="37"/>
      <c r="WHD48" s="37"/>
      <c r="WHE48" s="37"/>
      <c r="WHF48" s="37"/>
      <c r="WHG48" s="37"/>
      <c r="WHH48" s="37"/>
      <c r="WHI48" s="37"/>
      <c r="WHJ48" s="37"/>
      <c r="WHK48" s="37"/>
      <c r="WHL48" s="37"/>
      <c r="WHM48" s="37"/>
      <c r="WHN48" s="37"/>
      <c r="WHO48" s="37"/>
      <c r="WHP48" s="37"/>
      <c r="WHQ48" s="37"/>
      <c r="WHR48" s="37"/>
      <c r="WHS48" s="37"/>
      <c r="WHT48" s="37"/>
      <c r="WHU48" s="37"/>
      <c r="WHV48" s="37"/>
      <c r="WHW48" s="37"/>
      <c r="WHX48" s="37"/>
      <c r="WHY48" s="37"/>
      <c r="WHZ48" s="37"/>
      <c r="WIA48" s="37"/>
      <c r="WIB48" s="37"/>
      <c r="WIC48" s="37"/>
      <c r="WID48" s="37"/>
      <c r="WIE48" s="37"/>
      <c r="WIF48" s="37"/>
      <c r="WIG48" s="37"/>
      <c r="WIH48" s="37"/>
      <c r="WII48" s="37"/>
      <c r="WIJ48" s="37"/>
      <c r="WIK48" s="37"/>
      <c r="WIL48" s="37"/>
      <c r="WIM48" s="37"/>
      <c r="WIN48" s="37"/>
      <c r="WIO48" s="37"/>
      <c r="WIP48" s="37"/>
      <c r="WIQ48" s="37"/>
      <c r="WIR48" s="37"/>
      <c r="WIS48" s="37"/>
      <c r="WIT48" s="37"/>
      <c r="WIU48" s="37"/>
      <c r="WIV48" s="37"/>
      <c r="WIW48" s="37"/>
      <c r="WIX48" s="37"/>
      <c r="WIY48" s="37"/>
      <c r="WIZ48" s="37"/>
      <c r="WJA48" s="37"/>
      <c r="WJB48" s="37"/>
      <c r="WJC48" s="37"/>
      <c r="WJD48" s="37"/>
      <c r="WJE48" s="37"/>
      <c r="WJF48" s="37"/>
      <c r="WJG48" s="37"/>
      <c r="WJH48" s="37"/>
      <c r="WJI48" s="37"/>
      <c r="WJJ48" s="37"/>
      <c r="WJK48" s="37"/>
      <c r="WJL48" s="37"/>
      <c r="WJM48" s="37"/>
      <c r="WJN48" s="37"/>
      <c r="WJO48" s="37"/>
      <c r="WJP48" s="37"/>
      <c r="WJQ48" s="37"/>
      <c r="WJR48" s="37"/>
      <c r="WJS48" s="37"/>
      <c r="WJT48" s="37"/>
      <c r="WJU48" s="37"/>
      <c r="WJV48" s="37"/>
      <c r="WJW48" s="37"/>
      <c r="WJX48" s="37"/>
      <c r="WJY48" s="37"/>
      <c r="WJZ48" s="37"/>
      <c r="WKA48" s="37"/>
      <c r="WKB48" s="37"/>
      <c r="WKC48" s="37"/>
      <c r="WKD48" s="37"/>
      <c r="WKE48" s="37"/>
      <c r="WKF48" s="37"/>
      <c r="WKG48" s="37"/>
      <c r="WKH48" s="37"/>
      <c r="WKI48" s="37"/>
      <c r="WKJ48" s="37"/>
      <c r="WKK48" s="37"/>
      <c r="WKL48" s="37"/>
      <c r="WKM48" s="37"/>
      <c r="WKN48" s="37"/>
      <c r="WKO48" s="37"/>
      <c r="WKP48" s="37"/>
      <c r="WKQ48" s="37"/>
      <c r="WKR48" s="37"/>
      <c r="WKS48" s="37"/>
      <c r="WKT48" s="37"/>
      <c r="WKU48" s="37"/>
      <c r="WKV48" s="37"/>
      <c r="WKW48" s="37"/>
      <c r="WKX48" s="37"/>
      <c r="WKY48" s="37"/>
      <c r="WKZ48" s="37"/>
      <c r="WLA48" s="37"/>
      <c r="WLB48" s="37"/>
      <c r="WLC48" s="37"/>
      <c r="WLD48" s="37"/>
      <c r="WLE48" s="37"/>
      <c r="WLF48" s="37"/>
      <c r="WLG48" s="37"/>
      <c r="WLH48" s="37"/>
      <c r="WLI48" s="37"/>
      <c r="WLJ48" s="37"/>
      <c r="WLK48" s="37"/>
      <c r="WLL48" s="37"/>
      <c r="WLM48" s="37"/>
      <c r="WLN48" s="37"/>
      <c r="WLO48" s="37"/>
      <c r="WLP48" s="37"/>
      <c r="WLQ48" s="37"/>
      <c r="WLR48" s="37"/>
      <c r="WLS48" s="37"/>
      <c r="WLT48" s="37"/>
      <c r="WLU48" s="37"/>
      <c r="WLV48" s="37"/>
      <c r="WLW48" s="37"/>
      <c r="WLX48" s="37"/>
      <c r="WLY48" s="37"/>
      <c r="WLZ48" s="37"/>
      <c r="WMA48" s="37"/>
      <c r="WMB48" s="37"/>
      <c r="WMC48" s="37"/>
      <c r="WMD48" s="37"/>
      <c r="WME48" s="37"/>
      <c r="WMF48" s="37"/>
      <c r="WMG48" s="37"/>
      <c r="WMH48" s="37"/>
      <c r="WMI48" s="37"/>
      <c r="WMJ48" s="37"/>
      <c r="WMK48" s="37"/>
      <c r="WML48" s="37"/>
      <c r="WMM48" s="37"/>
      <c r="WMN48" s="37"/>
      <c r="WMO48" s="37"/>
      <c r="WMP48" s="37"/>
      <c r="WMQ48" s="37"/>
      <c r="WMR48" s="37"/>
      <c r="WMS48" s="37"/>
      <c r="WMT48" s="37"/>
      <c r="WMU48" s="37"/>
      <c r="WMV48" s="37"/>
      <c r="WMW48" s="37"/>
      <c r="WMX48" s="37"/>
      <c r="WMY48" s="37"/>
      <c r="WMZ48" s="37"/>
      <c r="WNA48" s="37"/>
      <c r="WNB48" s="37"/>
      <c r="WNC48" s="37"/>
      <c r="WND48" s="37"/>
      <c r="WNE48" s="37"/>
      <c r="WNF48" s="37"/>
      <c r="WNG48" s="37"/>
      <c r="WNH48" s="37"/>
      <c r="WNI48" s="37"/>
      <c r="WNJ48" s="37"/>
      <c r="WNK48" s="37"/>
      <c r="WNL48" s="37"/>
      <c r="WNM48" s="37"/>
      <c r="WNN48" s="37"/>
      <c r="WNO48" s="37"/>
      <c r="WNP48" s="37"/>
      <c r="WNQ48" s="37"/>
      <c r="WNR48" s="37"/>
      <c r="WNS48" s="37"/>
      <c r="WNT48" s="37"/>
      <c r="WNU48" s="37"/>
      <c r="WNV48" s="37"/>
      <c r="WNW48" s="37"/>
      <c r="WNX48" s="37"/>
      <c r="WNY48" s="37"/>
      <c r="WNZ48" s="37"/>
      <c r="WOA48" s="37"/>
      <c r="WOB48" s="37"/>
      <c r="WOC48" s="37"/>
      <c r="WOD48" s="37"/>
      <c r="WOE48" s="37"/>
      <c r="WOF48" s="37"/>
      <c r="WOG48" s="37"/>
      <c r="WOH48" s="37"/>
      <c r="WOI48" s="37"/>
      <c r="WOJ48" s="37"/>
      <c r="WOK48" s="37"/>
      <c r="WOL48" s="37"/>
      <c r="WOM48" s="37"/>
      <c r="WON48" s="37"/>
      <c r="WOO48" s="37"/>
      <c r="WOP48" s="37"/>
      <c r="WOQ48" s="37"/>
      <c r="WOR48" s="37"/>
      <c r="WOS48" s="37"/>
      <c r="WOT48" s="37"/>
      <c r="WOU48" s="37"/>
      <c r="WOV48" s="37"/>
      <c r="WOW48" s="37"/>
      <c r="WOX48" s="37"/>
      <c r="WOY48" s="37"/>
      <c r="WOZ48" s="37"/>
      <c r="WPA48" s="37"/>
      <c r="WPB48" s="37"/>
      <c r="WPC48" s="37"/>
      <c r="WPD48" s="37"/>
      <c r="WPE48" s="37"/>
      <c r="WPF48" s="37"/>
      <c r="WPG48" s="37"/>
      <c r="WPH48" s="37"/>
      <c r="WPI48" s="37"/>
      <c r="WPJ48" s="37"/>
      <c r="WPK48" s="37"/>
      <c r="WPL48" s="37"/>
      <c r="WPM48" s="37"/>
      <c r="WPN48" s="37"/>
      <c r="WPO48" s="37"/>
      <c r="WPP48" s="37"/>
      <c r="WPQ48" s="37"/>
      <c r="WPR48" s="37"/>
      <c r="WPS48" s="37"/>
      <c r="WPT48" s="37"/>
      <c r="WPU48" s="37"/>
      <c r="WPV48" s="37"/>
      <c r="WPW48" s="37"/>
      <c r="WPX48" s="37"/>
      <c r="WPY48" s="37"/>
      <c r="WPZ48" s="37"/>
      <c r="WQA48" s="37"/>
      <c r="WQB48" s="37"/>
      <c r="WQC48" s="37"/>
      <c r="WQD48" s="37"/>
      <c r="WQE48" s="37"/>
      <c r="WQF48" s="37"/>
      <c r="WQG48" s="37"/>
      <c r="WQH48" s="37"/>
      <c r="WQI48" s="37"/>
      <c r="WQJ48" s="37"/>
      <c r="WQK48" s="37"/>
      <c r="WQL48" s="37"/>
      <c r="WQM48" s="37"/>
      <c r="WQN48" s="37"/>
      <c r="WQO48" s="37"/>
      <c r="WQP48" s="37"/>
      <c r="WQQ48" s="37"/>
      <c r="WQR48" s="37"/>
      <c r="WQS48" s="37"/>
      <c r="WQT48" s="37"/>
      <c r="WQU48" s="37"/>
      <c r="WQV48" s="37"/>
      <c r="WQW48" s="37"/>
      <c r="WQX48" s="37"/>
      <c r="WQY48" s="37"/>
      <c r="WQZ48" s="37"/>
      <c r="WRA48" s="37"/>
      <c r="WRB48" s="37"/>
      <c r="WRC48" s="37"/>
      <c r="WRD48" s="37"/>
      <c r="WRE48" s="37"/>
      <c r="WRF48" s="37"/>
      <c r="WRG48" s="37"/>
      <c r="WRH48" s="37"/>
      <c r="WRI48" s="37"/>
      <c r="WRJ48" s="37"/>
      <c r="WRK48" s="37"/>
      <c r="WRL48" s="37"/>
      <c r="WRM48" s="37"/>
      <c r="WRN48" s="37"/>
      <c r="WRO48" s="37"/>
      <c r="WRP48" s="37"/>
      <c r="WRQ48" s="37"/>
      <c r="WRR48" s="37"/>
      <c r="WRS48" s="37"/>
      <c r="WRT48" s="37"/>
      <c r="WRU48" s="37"/>
      <c r="WRV48" s="37"/>
      <c r="WRW48" s="37"/>
      <c r="WRX48" s="37"/>
      <c r="WRY48" s="37"/>
      <c r="WRZ48" s="37"/>
      <c r="WSA48" s="37"/>
      <c r="WSB48" s="37"/>
      <c r="WSC48" s="37"/>
      <c r="WSD48" s="37"/>
      <c r="WSE48" s="37"/>
      <c r="WSF48" s="37"/>
      <c r="WSG48" s="37"/>
      <c r="WSH48" s="37"/>
      <c r="WSI48" s="37"/>
      <c r="WSJ48" s="37"/>
      <c r="WSK48" s="37"/>
      <c r="WSL48" s="37"/>
      <c r="WSM48" s="37"/>
      <c r="WSN48" s="37"/>
      <c r="WSO48" s="37"/>
      <c r="WSP48" s="37"/>
      <c r="WSQ48" s="37"/>
      <c r="WSR48" s="37"/>
      <c r="WSS48" s="37"/>
      <c r="WST48" s="37"/>
      <c r="WSU48" s="37"/>
      <c r="WSV48" s="37"/>
      <c r="WSW48" s="37"/>
      <c r="WSX48" s="37"/>
      <c r="WSY48" s="37"/>
      <c r="WSZ48" s="37"/>
      <c r="WTA48" s="37"/>
      <c r="WTB48" s="37"/>
      <c r="WTC48" s="37"/>
      <c r="WTD48" s="37"/>
      <c r="WTE48" s="37"/>
      <c r="WTF48" s="37"/>
      <c r="WTG48" s="37"/>
      <c r="WTH48" s="37"/>
      <c r="WTI48" s="37"/>
      <c r="WTJ48" s="37"/>
      <c r="WTK48" s="37"/>
      <c r="WTL48" s="37"/>
      <c r="WTM48" s="37"/>
      <c r="WTN48" s="37"/>
      <c r="WTO48" s="37"/>
      <c r="WTP48" s="37"/>
      <c r="WTQ48" s="37"/>
      <c r="WTR48" s="37"/>
      <c r="WTS48" s="37"/>
      <c r="WTT48" s="37"/>
      <c r="WTU48" s="37"/>
      <c r="WTV48" s="37"/>
      <c r="WTW48" s="37"/>
      <c r="WTX48" s="37"/>
      <c r="WTY48" s="37"/>
      <c r="WTZ48" s="37"/>
      <c r="WUA48" s="37"/>
      <c r="WUB48" s="37"/>
      <c r="WUC48" s="37"/>
      <c r="WUD48" s="37"/>
      <c r="WUE48" s="37"/>
      <c r="WUF48" s="37"/>
      <c r="WUG48" s="37"/>
      <c r="WUH48" s="37"/>
      <c r="WUI48" s="37"/>
      <c r="WUJ48" s="37"/>
      <c r="WUK48" s="37"/>
      <c r="WUL48" s="37"/>
      <c r="WUM48" s="37"/>
      <c r="WUN48" s="37"/>
      <c r="WUO48" s="37"/>
      <c r="WUP48" s="37"/>
      <c r="WUQ48" s="37"/>
      <c r="WUR48" s="37"/>
      <c r="WUS48" s="37"/>
      <c r="WUT48" s="37"/>
      <c r="WUU48" s="37"/>
      <c r="WUV48" s="37"/>
      <c r="WUW48" s="37"/>
      <c r="WUX48" s="37"/>
      <c r="WUY48" s="37"/>
      <c r="WUZ48" s="37"/>
      <c r="WVA48" s="37"/>
      <c r="WVB48" s="37"/>
      <c r="WVC48" s="37"/>
      <c r="WVD48" s="37"/>
      <c r="WVE48" s="37"/>
      <c r="WVF48" s="37"/>
      <c r="WVG48" s="37"/>
      <c r="WVH48" s="37"/>
      <c r="WVI48" s="37"/>
      <c r="WVJ48" s="37"/>
      <c r="WVK48" s="37"/>
      <c r="WVL48" s="37"/>
      <c r="WVM48" s="37"/>
      <c r="WVN48" s="37"/>
      <c r="WVO48" s="37"/>
      <c r="WVP48" s="37"/>
      <c r="WVQ48" s="37"/>
      <c r="WVR48" s="37"/>
      <c r="WVS48" s="37"/>
      <c r="WVT48" s="37"/>
      <c r="WVU48" s="37"/>
      <c r="WVV48" s="37"/>
      <c r="WVW48" s="37"/>
      <c r="WVX48" s="37"/>
      <c r="WVY48" s="37"/>
      <c r="WVZ48" s="37"/>
      <c r="WWA48" s="37"/>
      <c r="WWB48" s="37"/>
      <c r="WWC48" s="37"/>
      <c r="WWD48" s="37"/>
      <c r="WWE48" s="37"/>
      <c r="WWF48" s="37"/>
      <c r="WWG48" s="37"/>
      <c r="WWH48" s="37"/>
      <c r="WWI48" s="37"/>
      <c r="WWJ48" s="37"/>
      <c r="WWK48" s="37"/>
      <c r="WWL48" s="37"/>
      <c r="WWM48" s="37"/>
      <c r="WWN48" s="37"/>
      <c r="WWO48" s="37"/>
      <c r="WWP48" s="37"/>
      <c r="WWQ48" s="37"/>
      <c r="WWR48" s="37"/>
      <c r="WWS48" s="37"/>
      <c r="WWT48" s="37"/>
      <c r="WWU48" s="37"/>
      <c r="WWV48" s="37"/>
      <c r="WWW48" s="37"/>
      <c r="WWX48" s="37"/>
      <c r="WWY48" s="37"/>
      <c r="WWZ48" s="37"/>
      <c r="WXA48" s="37"/>
      <c r="WXB48" s="37"/>
      <c r="WXC48" s="37"/>
      <c r="WXD48" s="37"/>
      <c r="WXE48" s="37"/>
      <c r="WXF48" s="37"/>
      <c r="WXG48" s="37"/>
      <c r="WXH48" s="37"/>
      <c r="WXI48" s="37"/>
      <c r="WXJ48" s="37"/>
      <c r="WXK48" s="37"/>
      <c r="WXL48" s="37"/>
      <c r="WXM48" s="37"/>
      <c r="WXN48" s="37"/>
      <c r="WXO48" s="37"/>
      <c r="WXP48" s="37"/>
      <c r="WXQ48" s="37"/>
      <c r="WXR48" s="37"/>
      <c r="WXS48" s="37"/>
      <c r="WXT48" s="37"/>
      <c r="WXU48" s="37"/>
      <c r="WXV48" s="37"/>
      <c r="WXW48" s="37"/>
      <c r="WXX48" s="37"/>
      <c r="WXY48" s="37"/>
      <c r="WXZ48" s="37"/>
      <c r="WYA48" s="37"/>
      <c r="WYB48" s="37"/>
      <c r="WYC48" s="37"/>
      <c r="WYD48" s="37"/>
      <c r="WYE48" s="37"/>
      <c r="WYF48" s="37"/>
      <c r="WYG48" s="37"/>
      <c r="WYH48" s="37"/>
      <c r="WYI48" s="37"/>
      <c r="WYJ48" s="37"/>
      <c r="WYK48" s="37"/>
      <c r="WYL48" s="37"/>
      <c r="WYM48" s="37"/>
      <c r="WYN48" s="37"/>
      <c r="WYO48" s="37"/>
      <c r="WYP48" s="37"/>
      <c r="WYQ48" s="37"/>
      <c r="WYR48" s="37"/>
      <c r="WYS48" s="37"/>
      <c r="WYT48" s="37"/>
      <c r="WYU48" s="37"/>
      <c r="WYV48" s="37"/>
      <c r="WYW48" s="37"/>
      <c r="WYX48" s="37"/>
      <c r="WYY48" s="37"/>
      <c r="WYZ48" s="37"/>
      <c r="WZA48" s="37"/>
      <c r="WZB48" s="37"/>
      <c r="WZC48" s="37"/>
      <c r="WZD48" s="37"/>
      <c r="WZE48" s="37"/>
      <c r="WZF48" s="37"/>
      <c r="WZG48" s="37"/>
      <c r="WZH48" s="37"/>
      <c r="WZI48" s="37"/>
      <c r="WZJ48" s="37"/>
      <c r="WZK48" s="37"/>
      <c r="WZL48" s="37"/>
      <c r="WZM48" s="37"/>
      <c r="WZN48" s="37"/>
      <c r="WZO48" s="37"/>
      <c r="WZP48" s="37"/>
      <c r="WZQ48" s="37"/>
      <c r="WZR48" s="37"/>
      <c r="WZS48" s="37"/>
      <c r="WZT48" s="37"/>
      <c r="WZU48" s="37"/>
      <c r="WZV48" s="37"/>
      <c r="WZW48" s="37"/>
      <c r="WZX48" s="37"/>
      <c r="WZY48" s="37"/>
      <c r="WZZ48" s="37"/>
      <c r="XAA48" s="37"/>
      <c r="XAB48" s="37"/>
      <c r="XAC48" s="37"/>
      <c r="XAD48" s="37"/>
      <c r="XAE48" s="37"/>
      <c r="XAF48" s="37"/>
      <c r="XAG48" s="37"/>
      <c r="XAH48" s="37"/>
      <c r="XAI48" s="37"/>
      <c r="XAJ48" s="37"/>
      <c r="XAK48" s="37"/>
      <c r="XAL48" s="37"/>
      <c r="XAM48" s="37"/>
      <c r="XAN48" s="37"/>
      <c r="XAO48" s="37"/>
      <c r="XAP48" s="37"/>
      <c r="XAQ48" s="37"/>
      <c r="XAR48" s="37"/>
      <c r="XAS48" s="37"/>
      <c r="XAT48" s="37"/>
      <c r="XAU48" s="37"/>
      <c r="XAV48" s="37"/>
      <c r="XAW48" s="37"/>
      <c r="XAX48" s="37"/>
      <c r="XAY48" s="37"/>
      <c r="XAZ48" s="37"/>
      <c r="XBA48" s="37"/>
      <c r="XBB48" s="37"/>
      <c r="XBC48" s="37"/>
      <c r="XBD48" s="37"/>
      <c r="XBE48" s="37"/>
      <c r="XBF48" s="37"/>
      <c r="XBG48" s="37"/>
      <c r="XBH48" s="37"/>
      <c r="XBI48" s="37"/>
      <c r="XBJ48" s="37"/>
      <c r="XBK48" s="37"/>
      <c r="XBL48" s="37"/>
      <c r="XBM48" s="37"/>
      <c r="XBN48" s="37"/>
      <c r="XBO48" s="37"/>
      <c r="XBP48" s="37"/>
      <c r="XBQ48" s="37"/>
      <c r="XBR48" s="37"/>
      <c r="XBS48" s="37"/>
      <c r="XBT48" s="37"/>
      <c r="XBU48" s="37"/>
      <c r="XBV48" s="37"/>
      <c r="XBW48" s="37"/>
      <c r="XBX48" s="37"/>
      <c r="XBY48" s="37"/>
      <c r="XBZ48" s="37"/>
      <c r="XCA48" s="37"/>
      <c r="XCB48" s="37"/>
      <c r="XCC48" s="37"/>
      <c r="XCD48" s="37"/>
      <c r="XCE48" s="37"/>
      <c r="XCF48" s="37"/>
      <c r="XCG48" s="37"/>
      <c r="XCH48" s="37"/>
      <c r="XCI48" s="37"/>
      <c r="XCJ48" s="37"/>
      <c r="XCK48" s="37"/>
      <c r="XCL48" s="37"/>
      <c r="XCM48" s="37"/>
      <c r="XCN48" s="37"/>
      <c r="XCO48" s="37"/>
      <c r="XCP48" s="37"/>
      <c r="XCQ48" s="37"/>
      <c r="XCR48" s="37"/>
      <c r="XCS48" s="37"/>
      <c r="XCT48" s="37"/>
      <c r="XCU48" s="37"/>
      <c r="XCV48" s="37"/>
      <c r="XCW48" s="37"/>
      <c r="XCX48" s="37"/>
      <c r="XCY48" s="37"/>
      <c r="XCZ48" s="37"/>
      <c r="XDA48" s="37"/>
      <c r="XDB48" s="37"/>
      <c r="XDC48" s="37"/>
      <c r="XDD48" s="37"/>
      <c r="XDE48" s="37"/>
      <c r="XDF48" s="37"/>
      <c r="XDG48" s="37"/>
      <c r="XDH48" s="37"/>
      <c r="XDI48" s="37"/>
      <c r="XDJ48" s="37"/>
      <c r="XDK48" s="37"/>
      <c r="XDL48" s="37"/>
      <c r="XDM48" s="37"/>
      <c r="XDN48" s="37"/>
      <c r="XDO48" s="37"/>
      <c r="XDP48" s="37"/>
      <c r="XDQ48" s="37"/>
      <c r="XDR48" s="37"/>
      <c r="XDS48" s="37"/>
      <c r="XDT48" s="37"/>
      <c r="XDU48" s="37"/>
      <c r="XDV48" s="37"/>
      <c r="XDW48" s="37"/>
      <c r="XDX48" s="37"/>
      <c r="XDY48" s="37"/>
      <c r="XDZ48" s="37"/>
      <c r="XEA48" s="37"/>
      <c r="XEB48" s="37"/>
      <c r="XEC48" s="37"/>
      <c r="XED48" s="37"/>
      <c r="XEE48" s="37"/>
      <c r="XEF48" s="37"/>
      <c r="XEG48" s="37"/>
      <c r="XEH48" s="37"/>
      <c r="XEI48" s="37"/>
      <c r="XEJ48" s="37"/>
      <c r="XEK48" s="37"/>
      <c r="XEL48" s="37"/>
      <c r="XEM48" s="37"/>
      <c r="XEN48" s="37"/>
      <c r="XEO48" s="37"/>
      <c r="XEP48" s="37"/>
      <c r="XEQ48" s="37"/>
      <c r="XER48" s="37"/>
      <c r="XES48" s="37"/>
      <c r="XET48" s="37"/>
      <c r="XEU48" s="37"/>
      <c r="XEV48" s="37"/>
      <c r="XEW48" s="37"/>
      <c r="XEX48" s="37"/>
      <c r="XEY48" s="37"/>
      <c r="XEZ48" s="37"/>
      <c r="XFA48" s="37"/>
      <c r="XFB48" s="37"/>
      <c r="XFC48" s="37"/>
      <c r="XFD48" s="37"/>
    </row>
    <row r="49" spans="2:12" ht="21" thickTop="1">
      <c r="B49" s="78"/>
    </row>
    <row r="50" spans="2:12">
      <c r="B50" s="77" t="s">
        <v>200</v>
      </c>
      <c r="C50" s="330" t="s">
        <v>196</v>
      </c>
      <c r="D50" s="330"/>
      <c r="E50" s="330"/>
      <c r="F50" s="330"/>
      <c r="G50" s="330"/>
      <c r="H50" s="330"/>
      <c r="I50" s="330"/>
      <c r="J50" s="330"/>
      <c r="K50" s="330"/>
      <c r="L50" s="330"/>
    </row>
    <row r="51" spans="2:12">
      <c r="B51" s="84" t="s">
        <v>202</v>
      </c>
      <c r="C51" s="76">
        <f>C37</f>
        <v>45291</v>
      </c>
      <c r="D51" s="76">
        <f t="shared" ref="D51:L51" si="6">D37</f>
        <v>44926</v>
      </c>
      <c r="E51" s="76">
        <f t="shared" si="6"/>
        <v>44561</v>
      </c>
      <c r="F51" s="76">
        <f t="shared" si="6"/>
        <v>44196</v>
      </c>
      <c r="G51" s="76">
        <f t="shared" si="6"/>
        <v>43830</v>
      </c>
      <c r="H51" s="76" t="str">
        <f t="shared" si="6"/>
        <v/>
      </c>
      <c r="I51" s="76" t="str">
        <f t="shared" si="6"/>
        <v/>
      </c>
      <c r="J51" s="76" t="str">
        <f t="shared" si="6"/>
        <v/>
      </c>
      <c r="K51" s="76" t="str">
        <f t="shared" si="6"/>
        <v/>
      </c>
      <c r="L51" s="76" t="str">
        <f t="shared" si="6"/>
        <v/>
      </c>
    </row>
    <row r="52" spans="2:12">
      <c r="B52" t="s">
        <v>39</v>
      </c>
      <c r="C52" s="80">
        <f t="shared" ref="C52:L52" si="7">IF(C38&lt;&gt;"",C42, "")</f>
        <v>2897</v>
      </c>
      <c r="D52" s="80">
        <f t="shared" si="7"/>
        <v>707</v>
      </c>
      <c r="E52" s="80">
        <f t="shared" si="7"/>
        <v>-2271</v>
      </c>
      <c r="F52" s="80">
        <f t="shared" si="7"/>
        <v>-38</v>
      </c>
      <c r="G52" s="80">
        <f t="shared" si="7"/>
        <v>1105</v>
      </c>
      <c r="H52" s="80" t="str">
        <f t="shared" si="7"/>
        <v/>
      </c>
      <c r="I52" s="80" t="str">
        <f t="shared" si="7"/>
        <v/>
      </c>
      <c r="J52" s="80" t="str">
        <f t="shared" si="7"/>
        <v/>
      </c>
      <c r="K52" s="80" t="str">
        <f t="shared" si="7"/>
        <v/>
      </c>
      <c r="L52" s="80" t="str">
        <f t="shared" si="7"/>
        <v/>
      </c>
    </row>
    <row r="53" spans="2:12">
      <c r="B53" t="s">
        <v>101</v>
      </c>
      <c r="C53" s="80">
        <f t="shared" ref="C53:L53" si="8">IF(C38&lt;&gt;"",C6-SUM(C24,C20), "")</f>
        <v>28352</v>
      </c>
      <c r="D53" s="80">
        <f t="shared" si="8"/>
        <v>21162</v>
      </c>
      <c r="E53" s="80">
        <f t="shared" si="8"/>
        <v>16906</v>
      </c>
      <c r="F53" s="80">
        <f t="shared" si="8"/>
        <v>18694</v>
      </c>
      <c r="G53" s="80">
        <f t="shared" si="8"/>
        <v>5903</v>
      </c>
      <c r="H53" s="80" t="str">
        <f t="shared" si="8"/>
        <v/>
      </c>
      <c r="I53" s="80" t="str">
        <f t="shared" si="8"/>
        <v/>
      </c>
      <c r="J53" s="80" t="str">
        <f t="shared" si="8"/>
        <v/>
      </c>
      <c r="K53" s="80" t="str">
        <f t="shared" si="8"/>
        <v/>
      </c>
      <c r="L53" s="80" t="str">
        <f t="shared" si="8"/>
        <v/>
      </c>
    </row>
    <row r="54" spans="2:12">
      <c r="C54" s="80"/>
      <c r="D54" s="80"/>
      <c r="E54" s="80"/>
      <c r="F54" s="80"/>
      <c r="G54" s="80"/>
      <c r="H54" s="80"/>
      <c r="I54" s="80"/>
      <c r="J54" s="80"/>
      <c r="K54" s="80"/>
      <c r="L54" s="80"/>
    </row>
    <row r="55" spans="2:12">
      <c r="B55" t="s">
        <v>19</v>
      </c>
      <c r="C55" s="80">
        <f t="shared" ref="C55:L55" si="9">IF(C38&lt;&gt;"",C11,"")</f>
        <v>45123</v>
      </c>
      <c r="D55" s="80">
        <f t="shared" si="9"/>
        <v>36635</v>
      </c>
      <c r="E55" s="80">
        <f t="shared" si="9"/>
        <v>31176</v>
      </c>
      <c r="F55" s="80">
        <f t="shared" si="9"/>
        <v>23375</v>
      </c>
      <c r="G55" s="80">
        <f t="shared" si="9"/>
        <v>20199</v>
      </c>
      <c r="H55" s="80" t="str">
        <f t="shared" si="9"/>
        <v/>
      </c>
      <c r="I55" s="80" t="str">
        <f t="shared" si="9"/>
        <v/>
      </c>
      <c r="J55" s="80" t="str">
        <f t="shared" si="9"/>
        <v/>
      </c>
      <c r="K55" s="80" t="str">
        <f t="shared" si="9"/>
        <v/>
      </c>
      <c r="L55" s="80" t="str">
        <f t="shared" si="9"/>
        <v/>
      </c>
    </row>
    <row r="56" spans="2:12">
      <c r="B56" t="s">
        <v>103</v>
      </c>
      <c r="C56" s="80">
        <f t="shared" ref="C56:L56" si="10">IF(C38&lt;&gt;"",C15,"")</f>
        <v>615</v>
      </c>
      <c r="D56" s="80">
        <f t="shared" si="10"/>
        <v>593</v>
      </c>
      <c r="E56" s="80">
        <f t="shared" si="10"/>
        <v>1717</v>
      </c>
      <c r="F56" s="80">
        <f t="shared" si="10"/>
        <v>520</v>
      </c>
      <c r="G56" s="80">
        <f t="shared" si="10"/>
        <v>537</v>
      </c>
      <c r="H56" s="80" t="str">
        <f t="shared" si="10"/>
        <v/>
      </c>
      <c r="I56" s="80" t="str">
        <f t="shared" si="10"/>
        <v/>
      </c>
      <c r="J56" s="80" t="str">
        <f t="shared" si="10"/>
        <v/>
      </c>
      <c r="K56" s="80" t="str">
        <f t="shared" si="10"/>
        <v/>
      </c>
      <c r="L56" s="80" t="str">
        <f t="shared" si="10"/>
        <v/>
      </c>
    </row>
    <row r="57" spans="2:12">
      <c r="C57" s="80"/>
      <c r="D57" s="80"/>
      <c r="E57" s="80"/>
      <c r="F57" s="80"/>
      <c r="G57" s="80"/>
      <c r="H57" s="80"/>
      <c r="I57" s="80"/>
      <c r="J57" s="80"/>
      <c r="K57" s="80"/>
      <c r="L57" s="80"/>
    </row>
    <row r="58" spans="2:12">
      <c r="B58" t="s">
        <v>102</v>
      </c>
      <c r="C58" s="80">
        <f t="shared" ref="C58:L58" si="11">IF(C38&lt;&gt;"",SUM(C9,C13,C16,C14)-SUM(C25,C21),"")</f>
        <v>-3805</v>
      </c>
      <c r="D58" s="80">
        <f t="shared" si="11"/>
        <v>-7451</v>
      </c>
      <c r="E58" s="80">
        <f t="shared" si="11"/>
        <v>-7072</v>
      </c>
      <c r="F58" s="80">
        <f t="shared" si="11"/>
        <v>-5525</v>
      </c>
      <c r="G58" s="80">
        <f t="shared" si="11"/>
        <v>-4937</v>
      </c>
      <c r="H58" s="80" t="str">
        <f t="shared" si="11"/>
        <v/>
      </c>
      <c r="I58" s="80" t="str">
        <f t="shared" si="11"/>
        <v/>
      </c>
      <c r="J58" s="80" t="str">
        <f t="shared" si="11"/>
        <v/>
      </c>
      <c r="K58" s="80" t="str">
        <f t="shared" si="11"/>
        <v/>
      </c>
      <c r="L58" s="80" t="str">
        <f t="shared" si="11"/>
        <v/>
      </c>
    </row>
    <row r="59" spans="2:12">
      <c r="C59" s="80"/>
      <c r="D59" s="80"/>
      <c r="E59" s="80"/>
      <c r="F59" s="80"/>
      <c r="G59" s="80"/>
      <c r="H59" s="80"/>
      <c r="I59" s="80"/>
      <c r="J59" s="80"/>
      <c r="K59" s="80"/>
      <c r="L59" s="80"/>
    </row>
    <row r="60" spans="2:12" ht="17" thickBot="1">
      <c r="B60" s="71" t="s">
        <v>104</v>
      </c>
      <c r="C60" s="81">
        <f t="shared" ref="C60:L60" si="12">IF(C38&lt;&gt;"",SUM(C52:C58),"")</f>
        <v>73182</v>
      </c>
      <c r="D60" s="81">
        <f t="shared" si="12"/>
        <v>51646</v>
      </c>
      <c r="E60" s="81">
        <f t="shared" si="12"/>
        <v>40456</v>
      </c>
      <c r="F60" s="81">
        <f t="shared" si="12"/>
        <v>37026</v>
      </c>
      <c r="G60" s="81">
        <f t="shared" si="12"/>
        <v>22807</v>
      </c>
      <c r="H60" s="81" t="str">
        <f t="shared" si="12"/>
        <v/>
      </c>
      <c r="I60" s="81" t="str">
        <f t="shared" si="12"/>
        <v/>
      </c>
      <c r="J60" s="81" t="str">
        <f t="shared" si="12"/>
        <v/>
      </c>
      <c r="K60" s="81" t="str">
        <f t="shared" si="12"/>
        <v/>
      </c>
      <c r="L60" s="81" t="str">
        <f t="shared" si="12"/>
        <v/>
      </c>
    </row>
    <row r="61" spans="2:12" ht="17" thickTop="1">
      <c r="C61" s="80"/>
      <c r="D61" s="80"/>
      <c r="E61" s="80"/>
      <c r="F61" s="80"/>
      <c r="G61" s="80"/>
      <c r="H61" s="80"/>
      <c r="I61" s="80"/>
      <c r="J61" s="80"/>
      <c r="K61" s="80"/>
      <c r="L61" s="80"/>
    </row>
    <row r="62" spans="2:12">
      <c r="B62" t="s">
        <v>105</v>
      </c>
      <c r="C62" s="80">
        <f t="shared" ref="C62:L62" si="13">IF(C38&lt;&gt;"",C18+C23,"")</f>
        <v>9573</v>
      </c>
      <c r="D62" s="80">
        <f t="shared" si="13"/>
        <v>5748</v>
      </c>
      <c r="E62" s="80">
        <f t="shared" si="13"/>
        <v>8873</v>
      </c>
      <c r="F62" s="80">
        <f t="shared" si="13"/>
        <v>13347</v>
      </c>
      <c r="G62" s="80">
        <f t="shared" si="13"/>
        <v>14697</v>
      </c>
      <c r="H62" s="80" t="str">
        <f t="shared" si="13"/>
        <v/>
      </c>
      <c r="I62" s="80" t="str">
        <f t="shared" si="13"/>
        <v/>
      </c>
      <c r="J62" s="80" t="str">
        <f t="shared" si="13"/>
        <v/>
      </c>
      <c r="K62" s="80" t="str">
        <f t="shared" si="13"/>
        <v/>
      </c>
      <c r="L62" s="80" t="str">
        <f t="shared" si="13"/>
        <v/>
      </c>
    </row>
    <row r="63" spans="2:12">
      <c r="C63" s="80"/>
      <c r="D63" s="80"/>
      <c r="E63" s="80"/>
      <c r="F63" s="80"/>
      <c r="G63" s="80"/>
      <c r="H63" s="80"/>
      <c r="I63" s="80"/>
      <c r="J63" s="80"/>
      <c r="K63" s="80"/>
      <c r="L63" s="80"/>
    </row>
    <row r="64" spans="2:12">
      <c r="B64" t="s">
        <v>106</v>
      </c>
      <c r="C64" s="80">
        <f t="shared" ref="C64:L64" si="14">IF(C38&lt;&gt;"",C30,"")</f>
        <v>62634</v>
      </c>
      <c r="D64" s="80">
        <f t="shared" si="14"/>
        <v>44704</v>
      </c>
      <c r="E64" s="80">
        <f t="shared" si="14"/>
        <v>30189</v>
      </c>
      <c r="F64" s="80">
        <f t="shared" si="14"/>
        <v>22225</v>
      </c>
      <c r="G64" s="80">
        <f t="shared" si="14"/>
        <v>6618</v>
      </c>
      <c r="H64" s="80" t="str">
        <f t="shared" si="14"/>
        <v/>
      </c>
      <c r="I64" s="80" t="str">
        <f t="shared" si="14"/>
        <v/>
      </c>
      <c r="J64" s="80" t="str">
        <f t="shared" si="14"/>
        <v/>
      </c>
      <c r="K64" s="80" t="str">
        <f t="shared" si="14"/>
        <v/>
      </c>
      <c r="L64" s="80" t="str">
        <f t="shared" si="14"/>
        <v/>
      </c>
    </row>
    <row r="65" spans="2:12">
      <c r="B65" t="s">
        <v>111</v>
      </c>
      <c r="C65" s="80">
        <f t="shared" ref="C65:L65" si="15">IF(C38&lt;&gt;"",C27,"")</f>
        <v>242</v>
      </c>
      <c r="D65" s="80">
        <f t="shared" si="15"/>
        <v>409</v>
      </c>
      <c r="E65" s="80">
        <f t="shared" si="15"/>
        <v>568</v>
      </c>
      <c r="F65" s="80">
        <f t="shared" si="15"/>
        <v>604</v>
      </c>
      <c r="G65" s="80">
        <f t="shared" si="15"/>
        <v>643</v>
      </c>
      <c r="H65" s="80" t="str">
        <f t="shared" si="15"/>
        <v/>
      </c>
      <c r="I65" s="80" t="str">
        <f t="shared" si="15"/>
        <v/>
      </c>
      <c r="J65" s="80" t="str">
        <f t="shared" si="15"/>
        <v/>
      </c>
      <c r="K65" s="80" t="str">
        <f t="shared" si="15"/>
        <v/>
      </c>
      <c r="L65" s="80" t="str">
        <f t="shared" si="15"/>
        <v/>
      </c>
    </row>
    <row r="66" spans="2:12">
      <c r="C66" s="80"/>
      <c r="D66" s="80"/>
      <c r="E66" s="80"/>
      <c r="F66" s="80"/>
      <c r="G66" s="80"/>
      <c r="H66" s="80"/>
      <c r="I66" s="80"/>
      <c r="J66" s="80"/>
      <c r="K66" s="80"/>
      <c r="L66" s="80"/>
    </row>
    <row r="67" spans="2:12" ht="17" thickBot="1">
      <c r="B67" s="39" t="s">
        <v>107</v>
      </c>
      <c r="C67" s="82">
        <f t="shared" ref="C67:L67" si="16">IF(C38&lt;&gt;"",SUM(C62:C65),"")</f>
        <v>72449</v>
      </c>
      <c r="D67" s="82">
        <f t="shared" si="16"/>
        <v>50861</v>
      </c>
      <c r="E67" s="82">
        <f t="shared" si="16"/>
        <v>39630</v>
      </c>
      <c r="F67" s="82">
        <f t="shared" si="16"/>
        <v>36176</v>
      </c>
      <c r="G67" s="82">
        <f t="shared" si="16"/>
        <v>21958</v>
      </c>
      <c r="H67" s="82" t="str">
        <f t="shared" si="16"/>
        <v/>
      </c>
      <c r="I67" s="82" t="str">
        <f t="shared" si="16"/>
        <v/>
      </c>
      <c r="J67" s="82" t="str">
        <f t="shared" si="16"/>
        <v/>
      </c>
      <c r="K67" s="82" t="str">
        <f t="shared" si="16"/>
        <v/>
      </c>
      <c r="L67" s="82" t="str">
        <f t="shared" si="16"/>
        <v/>
      </c>
    </row>
    <row r="68" spans="2:12" ht="17" thickTop="1"/>
  </sheetData>
  <mergeCells count="3">
    <mergeCell ref="C4:L4"/>
    <mergeCell ref="C36:L36"/>
    <mergeCell ref="C50:L5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B2:XFD38"/>
  <sheetViews>
    <sheetView zoomScale="75" workbookViewId="0">
      <selection activeCell="E55" sqref="E55:E57"/>
    </sheetView>
  </sheetViews>
  <sheetFormatPr baseColWidth="10" defaultRowHeight="16"/>
  <cols>
    <col min="2" max="2" width="35.28515625" bestFit="1" customWidth="1"/>
    <col min="3" max="3" width="13.28515625" bestFit="1" customWidth="1"/>
    <col min="4" max="4" width="10.5703125" customWidth="1"/>
    <col min="5" max="5" width="12" bestFit="1" customWidth="1"/>
  </cols>
  <sheetData>
    <row r="2" spans="2:16384" ht="21" thickBot="1">
      <c r="B2" s="38" t="s">
        <v>251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23" t="s">
        <v>241</v>
      </c>
      <c r="C4" s="124"/>
      <c r="E4" s="123" t="s">
        <v>244</v>
      </c>
      <c r="F4" s="124"/>
    </row>
    <row r="5" spans="2:16384">
      <c r="B5" s="125" t="s">
        <v>10</v>
      </c>
      <c r="C5" s="35" t="s">
        <v>0</v>
      </c>
      <c r="E5" s="126" t="s">
        <v>11</v>
      </c>
      <c r="F5" s="140" cm="1" vm="1">
        <f t="array" aca="1" ref="F5" ca="1">INDEX(_xlfn.STOCKHISTORY(Ticker, TODAY()-7, TODAY(), 0, 1), ROWS(_xlfn.STOCKHISTORY(Ticker, TODAY()-7, TODAY(), 0, 1)), 2)</f>
        <v>213.49</v>
      </c>
    </row>
    <row r="6" spans="2:16384">
      <c r="B6" s="125" t="s">
        <v>217</v>
      </c>
      <c r="C6" s="35" t="s">
        <v>218</v>
      </c>
    </row>
    <row r="7" spans="2:16384">
      <c r="B7" s="125"/>
      <c r="C7" s="35"/>
    </row>
    <row r="8" spans="2:16384">
      <c r="B8" s="125" t="s">
        <v>12</v>
      </c>
      <c r="C8" s="35">
        <v>5</v>
      </c>
    </row>
    <row r="9" spans="2:16384">
      <c r="B9" s="125" t="s">
        <v>13</v>
      </c>
      <c r="C9" s="35">
        <v>2023</v>
      </c>
    </row>
    <row r="10" spans="2:16384">
      <c r="B10" s="125" t="s">
        <v>92</v>
      </c>
      <c r="C10" s="35">
        <v>3</v>
      </c>
    </row>
    <row r="11" spans="2:16384">
      <c r="B11" s="125"/>
      <c r="C11" s="35"/>
    </row>
    <row r="12" spans="2:16384">
      <c r="B12" s="125" t="s">
        <v>115</v>
      </c>
      <c r="C12" s="35" t="s">
        <v>242</v>
      </c>
    </row>
    <row r="13" spans="2:16384">
      <c r="B13" s="125"/>
      <c r="C13" s="35"/>
    </row>
    <row r="14" spans="2:16384">
      <c r="B14" s="125" t="s">
        <v>97</v>
      </c>
      <c r="C14" s="122">
        <v>1</v>
      </c>
    </row>
    <row r="15" spans="2:16384">
      <c r="B15" s="125" t="s">
        <v>98</v>
      </c>
      <c r="C15" s="132">
        <v>0.04</v>
      </c>
    </row>
    <row r="16" spans="2:16384">
      <c r="B16" s="125" t="s">
        <v>100</v>
      </c>
      <c r="C16" s="132">
        <v>7.0000000000000007E-2</v>
      </c>
    </row>
    <row r="17" spans="2:3">
      <c r="B17" s="125" t="s">
        <v>99</v>
      </c>
      <c r="C17" s="132">
        <f>Market_Return-Riskfree_Return</f>
        <v>3.0000000000000006E-2</v>
      </c>
    </row>
    <row r="18" spans="2:3">
      <c r="B18" s="125"/>
      <c r="C18" s="35"/>
    </row>
    <row r="19" spans="2:3">
      <c r="B19" s="125" t="s">
        <v>128</v>
      </c>
      <c r="C19" s="133">
        <v>15171990000</v>
      </c>
    </row>
    <row r="20" spans="2:3">
      <c r="B20" s="125"/>
      <c r="C20" s="35"/>
    </row>
    <row r="21" spans="2:3">
      <c r="B21" s="125" t="s">
        <v>193</v>
      </c>
      <c r="C21" s="134">
        <v>280</v>
      </c>
    </row>
    <row r="22" spans="2:3">
      <c r="B22" s="126" t="s">
        <v>194</v>
      </c>
      <c r="C22" s="135">
        <v>120</v>
      </c>
    </row>
    <row r="25" spans="2:3">
      <c r="B25" s="139" t="s">
        <v>219</v>
      </c>
    </row>
    <row r="26" spans="2:3">
      <c r="B26" s="138" t="s">
        <v>243</v>
      </c>
    </row>
    <row r="27" spans="2:3">
      <c r="B27" s="136" t="str">
        <f>IF('Comparable multiples'!B23&lt;&gt;"",'Comparable multiples'!B23,"")</f>
        <v>DUMMY 1</v>
      </c>
    </row>
    <row r="28" spans="2:3">
      <c r="B28" s="136" t="str">
        <f>IF('Comparable multiples'!B24&lt;&gt;"",'Comparable multiples'!B24,"")</f>
        <v>DUMMY 2</v>
      </c>
    </row>
    <row r="29" spans="2:3">
      <c r="B29" s="136" t="str">
        <f>IF('Comparable multiples'!B25&lt;&gt;"",'Comparable multiples'!B25,"")</f>
        <v>DUMMY 3</v>
      </c>
    </row>
    <row r="30" spans="2:3">
      <c r="B30" s="136" t="str">
        <f>IF('Comparable multiples'!B26&lt;&gt;"",'Comparable multiples'!B26,"")</f>
        <v>DUMMY 4</v>
      </c>
    </row>
    <row r="31" spans="2:3">
      <c r="B31" s="136" t="str">
        <f>IF('Comparable multiples'!B27&lt;&gt;"",'Comparable multiples'!B27,"")</f>
        <v/>
      </c>
    </row>
    <row r="32" spans="2:3">
      <c r="B32" s="136" t="str">
        <f>IF('Comparable multiples'!B28&lt;&gt;"",'Comparable multiples'!B28,"")</f>
        <v/>
      </c>
    </row>
    <row r="33" spans="2:2">
      <c r="B33" s="136" t="str">
        <f>IF('Comparable multiples'!B29&lt;&gt;"",'Comparable multiples'!B29,"")</f>
        <v/>
      </c>
    </row>
    <row r="34" spans="2:2">
      <c r="B34" s="136" t="str">
        <f>IF('Comparable multiples'!B30&lt;&gt;"",'Comparable multiples'!B30,"")</f>
        <v/>
      </c>
    </row>
    <row r="35" spans="2:2">
      <c r="B35" s="136" t="str">
        <f>IF('Comparable multiples'!B31&lt;&gt;"",'Comparable multiples'!B31,"")</f>
        <v/>
      </c>
    </row>
    <row r="36" spans="2:2">
      <c r="B36" s="136" t="str">
        <f>IF('Comparable multiples'!B32&lt;&gt;"",'Comparable multiples'!B32,"")</f>
        <v/>
      </c>
    </row>
    <row r="37" spans="2:2">
      <c r="B37" s="137" t="str">
        <f>IF('Comparable multiples'!B33&lt;&gt;"",'Comparable multiples'!B33,"")</f>
        <v/>
      </c>
    </row>
    <row r="38" spans="2:2">
      <c r="B38" t="str">
        <f>IF('Comparable multiples'!B34&lt;&gt;"",'Comparable multiples'!B34,"")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1FE-DCFA-EE49-BFFE-D2C6C19D4F1D}">
  <sheetPr codeName="Sheet10"/>
  <dimension ref="B2:XFD11"/>
  <sheetViews>
    <sheetView workbookViewId="0">
      <selection activeCell="E55" sqref="E55:E57"/>
    </sheetView>
  </sheetViews>
  <sheetFormatPr baseColWidth="10" defaultRowHeight="16"/>
  <cols>
    <col min="2" max="2" width="19.140625" bestFit="1" customWidth="1"/>
  </cols>
  <sheetData>
    <row r="2" spans="2:16384" ht="21" thickBot="1">
      <c r="B2" s="38" t="s">
        <v>221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  <c r="BZ2" s="97"/>
      <c r="CA2" s="97"/>
      <c r="CB2" s="97"/>
      <c r="CC2" s="97"/>
      <c r="CD2" s="97"/>
      <c r="CE2" s="97"/>
      <c r="CF2" s="97"/>
      <c r="CG2" s="97"/>
      <c r="CH2" s="97"/>
      <c r="CI2" s="97"/>
      <c r="CJ2" s="97"/>
      <c r="CK2" s="97"/>
      <c r="CL2" s="97"/>
      <c r="CM2" s="97"/>
      <c r="CN2" s="97"/>
      <c r="CO2" s="97"/>
      <c r="CP2" s="9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97"/>
      <c r="DC2" s="97"/>
      <c r="DD2" s="97"/>
      <c r="DE2" s="97"/>
      <c r="DF2" s="97"/>
      <c r="DG2" s="97"/>
      <c r="DH2" s="97"/>
      <c r="DI2" s="97"/>
      <c r="DJ2" s="97"/>
      <c r="DK2" s="97"/>
      <c r="DL2" s="97"/>
      <c r="DM2" s="97"/>
      <c r="DN2" s="97"/>
      <c r="DO2" s="97"/>
      <c r="DP2" s="97"/>
      <c r="DQ2" s="97"/>
      <c r="DR2" s="97"/>
      <c r="DS2" s="97"/>
      <c r="DT2" s="97"/>
      <c r="DU2" s="97"/>
      <c r="DV2" s="97"/>
      <c r="DW2" s="97"/>
      <c r="DX2" s="97"/>
      <c r="DY2" s="97"/>
      <c r="DZ2" s="97"/>
      <c r="EA2" s="97"/>
      <c r="EB2" s="97"/>
      <c r="EC2" s="97"/>
      <c r="ED2" s="97"/>
      <c r="EE2" s="97"/>
      <c r="EF2" s="97"/>
      <c r="EG2" s="97"/>
      <c r="EH2" s="97"/>
      <c r="EI2" s="97"/>
      <c r="EJ2" s="97"/>
      <c r="EK2" s="97"/>
      <c r="EL2" s="97"/>
      <c r="EM2" s="97"/>
      <c r="EN2" s="97"/>
      <c r="EO2" s="97"/>
      <c r="EP2" s="97"/>
      <c r="EQ2" s="97"/>
      <c r="ER2" s="97"/>
      <c r="ES2" s="97"/>
      <c r="ET2" s="97"/>
      <c r="EU2" s="97"/>
      <c r="EV2" s="97"/>
      <c r="EW2" s="97"/>
      <c r="EX2" s="97"/>
      <c r="EY2" s="97"/>
      <c r="EZ2" s="97"/>
      <c r="FA2" s="97"/>
      <c r="FB2" s="97"/>
      <c r="FC2" s="97"/>
      <c r="FD2" s="97"/>
      <c r="FE2" s="97"/>
      <c r="FF2" s="97"/>
      <c r="FG2" s="97"/>
      <c r="FH2" s="97"/>
      <c r="FI2" s="97"/>
      <c r="FJ2" s="97"/>
      <c r="FK2" s="97"/>
      <c r="FL2" s="97"/>
      <c r="FM2" s="97"/>
      <c r="FN2" s="97"/>
      <c r="FO2" s="97"/>
      <c r="FP2" s="97"/>
      <c r="FQ2" s="97"/>
      <c r="FR2" s="97"/>
      <c r="FS2" s="97"/>
      <c r="FT2" s="97"/>
      <c r="FU2" s="97"/>
      <c r="FV2" s="97"/>
      <c r="FW2" s="97"/>
      <c r="FX2" s="97"/>
      <c r="FY2" s="97"/>
      <c r="FZ2" s="97"/>
      <c r="GA2" s="97"/>
      <c r="GB2" s="97"/>
      <c r="GC2" s="97"/>
      <c r="GD2" s="97"/>
      <c r="GE2" s="97"/>
      <c r="GF2" s="97"/>
      <c r="GG2" s="97"/>
      <c r="GH2" s="97"/>
      <c r="GI2" s="97"/>
      <c r="GJ2" s="97"/>
      <c r="GK2" s="97"/>
      <c r="GL2" s="97"/>
      <c r="GM2" s="97"/>
      <c r="GN2" s="97"/>
      <c r="GO2" s="97"/>
      <c r="GP2" s="97"/>
      <c r="GQ2" s="97"/>
      <c r="GR2" s="97"/>
      <c r="GS2" s="97"/>
      <c r="GT2" s="97"/>
      <c r="GU2" s="97"/>
      <c r="GV2" s="97"/>
      <c r="GW2" s="97"/>
      <c r="GX2" s="97"/>
      <c r="GY2" s="97"/>
      <c r="GZ2" s="97"/>
      <c r="HA2" s="97"/>
      <c r="HB2" s="97"/>
      <c r="HC2" s="97"/>
      <c r="HD2" s="97"/>
      <c r="HE2" s="97"/>
      <c r="HF2" s="97"/>
      <c r="HG2" s="97"/>
      <c r="HH2" s="97"/>
      <c r="HI2" s="97"/>
      <c r="HJ2" s="97"/>
      <c r="HK2" s="97"/>
      <c r="HL2" s="97"/>
      <c r="HM2" s="97"/>
      <c r="HN2" s="97"/>
      <c r="HO2" s="97"/>
      <c r="HP2" s="97"/>
      <c r="HQ2" s="97"/>
      <c r="HR2" s="97"/>
      <c r="HS2" s="97"/>
      <c r="HT2" s="97"/>
      <c r="HU2" s="97"/>
      <c r="HV2" s="97"/>
      <c r="HW2" s="97"/>
      <c r="HX2" s="97"/>
      <c r="HY2" s="97"/>
      <c r="HZ2" s="97"/>
      <c r="IA2" s="97"/>
      <c r="IB2" s="97"/>
      <c r="IC2" s="97"/>
      <c r="ID2" s="97"/>
      <c r="IE2" s="97"/>
      <c r="IF2" s="97"/>
      <c r="IG2" s="97"/>
      <c r="IH2" s="97"/>
      <c r="II2" s="97"/>
      <c r="IJ2" s="97"/>
      <c r="IK2" s="97"/>
      <c r="IL2" s="97"/>
      <c r="IM2" s="97"/>
      <c r="IN2" s="97"/>
      <c r="IO2" s="97"/>
      <c r="IP2" s="97"/>
      <c r="IQ2" s="97"/>
      <c r="IR2" s="97"/>
      <c r="IS2" s="97"/>
      <c r="IT2" s="97"/>
      <c r="IU2" s="97"/>
      <c r="IV2" s="97"/>
      <c r="IW2" s="97"/>
      <c r="IX2" s="97"/>
      <c r="IY2" s="97"/>
      <c r="IZ2" s="97"/>
      <c r="JA2" s="97"/>
      <c r="JB2" s="97"/>
      <c r="JC2" s="97"/>
      <c r="JD2" s="97"/>
      <c r="JE2" s="97"/>
      <c r="JF2" s="97"/>
      <c r="JG2" s="97"/>
      <c r="JH2" s="97"/>
      <c r="JI2" s="97"/>
      <c r="JJ2" s="97"/>
      <c r="JK2" s="97"/>
      <c r="JL2" s="97"/>
      <c r="JM2" s="97"/>
      <c r="JN2" s="97"/>
      <c r="JO2" s="97"/>
      <c r="JP2" s="97"/>
      <c r="JQ2" s="97"/>
      <c r="JR2" s="97"/>
      <c r="JS2" s="97"/>
      <c r="JT2" s="97"/>
      <c r="JU2" s="97"/>
      <c r="JV2" s="97"/>
      <c r="JW2" s="97"/>
      <c r="JX2" s="97"/>
      <c r="JY2" s="97"/>
      <c r="JZ2" s="97"/>
      <c r="KA2" s="97"/>
      <c r="KB2" s="97"/>
      <c r="KC2" s="97"/>
      <c r="KD2" s="97"/>
      <c r="KE2" s="97"/>
      <c r="KF2" s="97"/>
      <c r="KG2" s="97"/>
      <c r="KH2" s="97"/>
      <c r="KI2" s="97"/>
      <c r="KJ2" s="97"/>
      <c r="KK2" s="97"/>
      <c r="KL2" s="97"/>
      <c r="KM2" s="97"/>
      <c r="KN2" s="97"/>
      <c r="KO2" s="97"/>
      <c r="KP2" s="97"/>
      <c r="KQ2" s="97"/>
      <c r="KR2" s="97"/>
      <c r="KS2" s="97"/>
      <c r="KT2" s="97"/>
      <c r="KU2" s="97"/>
      <c r="KV2" s="97"/>
      <c r="KW2" s="97"/>
      <c r="KX2" s="97"/>
      <c r="KY2" s="97"/>
      <c r="KZ2" s="97"/>
      <c r="LA2" s="97"/>
      <c r="LB2" s="97"/>
      <c r="LC2" s="97"/>
      <c r="LD2" s="97"/>
      <c r="LE2" s="97"/>
      <c r="LF2" s="97"/>
      <c r="LG2" s="97"/>
      <c r="LH2" s="97"/>
      <c r="LI2" s="97"/>
      <c r="LJ2" s="97"/>
      <c r="LK2" s="97"/>
      <c r="LL2" s="97"/>
      <c r="LM2" s="97"/>
      <c r="LN2" s="97"/>
      <c r="LO2" s="97"/>
      <c r="LP2" s="97"/>
      <c r="LQ2" s="97"/>
      <c r="LR2" s="97"/>
      <c r="LS2" s="97"/>
      <c r="LT2" s="97"/>
      <c r="LU2" s="97"/>
      <c r="LV2" s="97"/>
      <c r="LW2" s="97"/>
      <c r="LX2" s="97"/>
      <c r="LY2" s="97"/>
      <c r="LZ2" s="97"/>
      <c r="MA2" s="97"/>
      <c r="MB2" s="97"/>
      <c r="MC2" s="97"/>
      <c r="MD2" s="97"/>
      <c r="ME2" s="97"/>
      <c r="MF2" s="97"/>
      <c r="MG2" s="97"/>
      <c r="MH2" s="97"/>
      <c r="MI2" s="97"/>
      <c r="MJ2" s="97"/>
      <c r="MK2" s="97"/>
      <c r="ML2" s="97"/>
      <c r="MM2" s="97"/>
      <c r="MN2" s="97"/>
      <c r="MO2" s="97"/>
      <c r="MP2" s="97"/>
      <c r="MQ2" s="97"/>
      <c r="MR2" s="97"/>
      <c r="MS2" s="97"/>
      <c r="MT2" s="97"/>
      <c r="MU2" s="97"/>
      <c r="MV2" s="97"/>
      <c r="MW2" s="97"/>
      <c r="MX2" s="97"/>
      <c r="MY2" s="97"/>
      <c r="MZ2" s="97"/>
      <c r="NA2" s="97"/>
      <c r="NB2" s="97"/>
      <c r="NC2" s="97"/>
      <c r="ND2" s="97"/>
      <c r="NE2" s="97"/>
      <c r="NF2" s="97"/>
      <c r="NG2" s="97"/>
      <c r="NH2" s="97"/>
      <c r="NI2" s="97"/>
      <c r="NJ2" s="97"/>
      <c r="NK2" s="97"/>
      <c r="NL2" s="97"/>
      <c r="NM2" s="97"/>
      <c r="NN2" s="97"/>
      <c r="NO2" s="97"/>
      <c r="NP2" s="97"/>
      <c r="NQ2" s="97"/>
      <c r="NR2" s="97"/>
      <c r="NS2" s="97"/>
      <c r="NT2" s="97"/>
      <c r="NU2" s="97"/>
      <c r="NV2" s="97"/>
      <c r="NW2" s="97"/>
      <c r="NX2" s="97"/>
      <c r="NY2" s="97"/>
      <c r="NZ2" s="97"/>
      <c r="OA2" s="97"/>
      <c r="OB2" s="97"/>
      <c r="OC2" s="97"/>
      <c r="OD2" s="97"/>
      <c r="OE2" s="97"/>
      <c r="OF2" s="97"/>
      <c r="OG2" s="97"/>
      <c r="OH2" s="97"/>
      <c r="OI2" s="97"/>
      <c r="OJ2" s="97"/>
      <c r="OK2" s="97"/>
      <c r="OL2" s="97"/>
      <c r="OM2" s="97"/>
      <c r="ON2" s="97"/>
      <c r="OO2" s="97"/>
      <c r="OP2" s="97"/>
      <c r="OQ2" s="97"/>
      <c r="OR2" s="97"/>
      <c r="OS2" s="97"/>
      <c r="OT2" s="97"/>
      <c r="OU2" s="97"/>
      <c r="OV2" s="97"/>
      <c r="OW2" s="97"/>
      <c r="OX2" s="97"/>
      <c r="OY2" s="97"/>
      <c r="OZ2" s="97"/>
      <c r="PA2" s="97"/>
      <c r="PB2" s="97"/>
      <c r="PC2" s="97"/>
      <c r="PD2" s="97"/>
      <c r="PE2" s="97"/>
      <c r="PF2" s="97"/>
      <c r="PG2" s="97"/>
      <c r="PH2" s="97"/>
      <c r="PI2" s="97"/>
      <c r="PJ2" s="97"/>
      <c r="PK2" s="97"/>
      <c r="PL2" s="97"/>
      <c r="PM2" s="97"/>
      <c r="PN2" s="97"/>
      <c r="PO2" s="97"/>
      <c r="PP2" s="97"/>
      <c r="PQ2" s="97"/>
      <c r="PR2" s="97"/>
      <c r="PS2" s="97"/>
      <c r="PT2" s="97"/>
      <c r="PU2" s="97"/>
      <c r="PV2" s="97"/>
      <c r="PW2" s="97"/>
      <c r="PX2" s="97"/>
      <c r="PY2" s="97"/>
      <c r="PZ2" s="97"/>
      <c r="QA2" s="97"/>
      <c r="QB2" s="97"/>
      <c r="QC2" s="97"/>
      <c r="QD2" s="97"/>
      <c r="QE2" s="97"/>
      <c r="QF2" s="97"/>
      <c r="QG2" s="97"/>
      <c r="QH2" s="97"/>
      <c r="QI2" s="97"/>
      <c r="QJ2" s="97"/>
      <c r="QK2" s="97"/>
      <c r="QL2" s="97"/>
      <c r="QM2" s="97"/>
      <c r="QN2" s="97"/>
      <c r="QO2" s="97"/>
      <c r="QP2" s="97"/>
      <c r="QQ2" s="97"/>
      <c r="QR2" s="97"/>
      <c r="QS2" s="97"/>
      <c r="QT2" s="97"/>
      <c r="QU2" s="97"/>
      <c r="QV2" s="97"/>
      <c r="QW2" s="97"/>
      <c r="QX2" s="97"/>
      <c r="QY2" s="97"/>
      <c r="QZ2" s="97"/>
      <c r="RA2" s="97"/>
      <c r="RB2" s="97"/>
      <c r="RC2" s="97"/>
      <c r="RD2" s="97"/>
      <c r="RE2" s="97"/>
      <c r="RF2" s="97"/>
      <c r="RG2" s="97"/>
      <c r="RH2" s="97"/>
      <c r="RI2" s="97"/>
      <c r="RJ2" s="97"/>
      <c r="RK2" s="97"/>
      <c r="RL2" s="97"/>
      <c r="RM2" s="97"/>
      <c r="RN2" s="97"/>
      <c r="RO2" s="97"/>
      <c r="RP2" s="97"/>
      <c r="RQ2" s="97"/>
      <c r="RR2" s="97"/>
      <c r="RS2" s="97"/>
      <c r="RT2" s="97"/>
      <c r="RU2" s="97"/>
      <c r="RV2" s="97"/>
      <c r="RW2" s="97"/>
      <c r="RX2" s="97"/>
      <c r="RY2" s="97"/>
      <c r="RZ2" s="97"/>
      <c r="SA2" s="97"/>
      <c r="SB2" s="97"/>
      <c r="SC2" s="97"/>
      <c r="SD2" s="97"/>
      <c r="SE2" s="97"/>
      <c r="SF2" s="97"/>
      <c r="SG2" s="97"/>
      <c r="SH2" s="97"/>
      <c r="SI2" s="97"/>
      <c r="SJ2" s="97"/>
      <c r="SK2" s="97"/>
      <c r="SL2" s="97"/>
      <c r="SM2" s="97"/>
      <c r="SN2" s="97"/>
      <c r="SO2" s="97"/>
      <c r="SP2" s="97"/>
      <c r="SQ2" s="97"/>
      <c r="SR2" s="97"/>
      <c r="SS2" s="97"/>
      <c r="ST2" s="97"/>
      <c r="SU2" s="97"/>
      <c r="SV2" s="97"/>
      <c r="SW2" s="97"/>
      <c r="SX2" s="97"/>
      <c r="SY2" s="97"/>
      <c r="SZ2" s="97"/>
      <c r="TA2" s="97"/>
      <c r="TB2" s="97"/>
      <c r="TC2" s="97"/>
      <c r="TD2" s="97"/>
      <c r="TE2" s="97"/>
      <c r="TF2" s="97"/>
      <c r="TG2" s="97"/>
      <c r="TH2" s="97"/>
      <c r="TI2" s="97"/>
      <c r="TJ2" s="97"/>
      <c r="TK2" s="97"/>
      <c r="TL2" s="97"/>
      <c r="TM2" s="97"/>
      <c r="TN2" s="97"/>
      <c r="TO2" s="97"/>
      <c r="TP2" s="97"/>
      <c r="TQ2" s="97"/>
      <c r="TR2" s="97"/>
      <c r="TS2" s="97"/>
      <c r="TT2" s="97"/>
      <c r="TU2" s="97"/>
      <c r="TV2" s="97"/>
      <c r="TW2" s="97"/>
      <c r="TX2" s="97"/>
      <c r="TY2" s="97"/>
      <c r="TZ2" s="97"/>
      <c r="UA2" s="97"/>
      <c r="UB2" s="97"/>
      <c r="UC2" s="97"/>
      <c r="UD2" s="97"/>
      <c r="UE2" s="97"/>
      <c r="UF2" s="97"/>
      <c r="UG2" s="97"/>
      <c r="UH2" s="97"/>
      <c r="UI2" s="97"/>
      <c r="UJ2" s="97"/>
      <c r="UK2" s="97"/>
      <c r="UL2" s="97"/>
      <c r="UM2" s="97"/>
      <c r="UN2" s="97"/>
      <c r="UO2" s="97"/>
      <c r="UP2" s="97"/>
      <c r="UQ2" s="97"/>
      <c r="UR2" s="97"/>
      <c r="US2" s="97"/>
      <c r="UT2" s="97"/>
      <c r="UU2" s="97"/>
      <c r="UV2" s="97"/>
      <c r="UW2" s="97"/>
      <c r="UX2" s="97"/>
      <c r="UY2" s="97"/>
      <c r="UZ2" s="97"/>
      <c r="VA2" s="97"/>
      <c r="VB2" s="97"/>
      <c r="VC2" s="97"/>
      <c r="VD2" s="97"/>
      <c r="VE2" s="97"/>
      <c r="VF2" s="97"/>
      <c r="VG2" s="97"/>
      <c r="VH2" s="97"/>
      <c r="VI2" s="97"/>
      <c r="VJ2" s="97"/>
      <c r="VK2" s="97"/>
      <c r="VL2" s="97"/>
      <c r="VM2" s="97"/>
      <c r="VN2" s="97"/>
      <c r="VO2" s="97"/>
      <c r="VP2" s="97"/>
      <c r="VQ2" s="97"/>
      <c r="VR2" s="97"/>
      <c r="VS2" s="97"/>
      <c r="VT2" s="97"/>
      <c r="VU2" s="97"/>
      <c r="VV2" s="97"/>
      <c r="VW2" s="97"/>
      <c r="VX2" s="97"/>
      <c r="VY2" s="97"/>
      <c r="VZ2" s="97"/>
      <c r="WA2" s="97"/>
      <c r="WB2" s="97"/>
      <c r="WC2" s="97"/>
      <c r="WD2" s="97"/>
      <c r="WE2" s="97"/>
      <c r="WF2" s="97"/>
      <c r="WG2" s="97"/>
      <c r="WH2" s="97"/>
      <c r="WI2" s="97"/>
      <c r="WJ2" s="97"/>
      <c r="WK2" s="97"/>
      <c r="WL2" s="97"/>
      <c r="WM2" s="97"/>
      <c r="WN2" s="97"/>
      <c r="WO2" s="97"/>
      <c r="WP2" s="97"/>
      <c r="WQ2" s="97"/>
      <c r="WR2" s="97"/>
      <c r="WS2" s="97"/>
      <c r="WT2" s="97"/>
      <c r="WU2" s="97"/>
      <c r="WV2" s="97"/>
      <c r="WW2" s="97"/>
      <c r="WX2" s="97"/>
      <c r="WY2" s="97"/>
      <c r="WZ2" s="97"/>
      <c r="XA2" s="97"/>
      <c r="XB2" s="97"/>
      <c r="XC2" s="97"/>
      <c r="XD2" s="97"/>
      <c r="XE2" s="97"/>
      <c r="XF2" s="97"/>
      <c r="XG2" s="97"/>
      <c r="XH2" s="97"/>
      <c r="XI2" s="97"/>
      <c r="XJ2" s="97"/>
      <c r="XK2" s="97"/>
      <c r="XL2" s="97"/>
      <c r="XM2" s="97"/>
      <c r="XN2" s="97"/>
      <c r="XO2" s="97"/>
      <c r="XP2" s="97"/>
      <c r="XQ2" s="97"/>
      <c r="XR2" s="97"/>
      <c r="XS2" s="97"/>
      <c r="XT2" s="97"/>
      <c r="XU2" s="97"/>
      <c r="XV2" s="97"/>
      <c r="XW2" s="97"/>
      <c r="XX2" s="97"/>
      <c r="XY2" s="97"/>
      <c r="XZ2" s="97"/>
      <c r="YA2" s="97"/>
      <c r="YB2" s="97"/>
      <c r="YC2" s="97"/>
      <c r="YD2" s="97"/>
      <c r="YE2" s="97"/>
      <c r="YF2" s="97"/>
      <c r="YG2" s="97"/>
      <c r="YH2" s="97"/>
      <c r="YI2" s="97"/>
      <c r="YJ2" s="97"/>
      <c r="YK2" s="97"/>
      <c r="YL2" s="97"/>
      <c r="YM2" s="97"/>
      <c r="YN2" s="97"/>
      <c r="YO2" s="97"/>
      <c r="YP2" s="97"/>
      <c r="YQ2" s="97"/>
      <c r="YR2" s="97"/>
      <c r="YS2" s="97"/>
      <c r="YT2" s="97"/>
      <c r="YU2" s="97"/>
      <c r="YV2" s="97"/>
      <c r="YW2" s="97"/>
      <c r="YX2" s="97"/>
      <c r="YY2" s="97"/>
      <c r="YZ2" s="97"/>
      <c r="ZA2" s="97"/>
      <c r="ZB2" s="97"/>
      <c r="ZC2" s="97"/>
      <c r="ZD2" s="97"/>
      <c r="ZE2" s="97"/>
      <c r="ZF2" s="97"/>
      <c r="ZG2" s="97"/>
      <c r="ZH2" s="97"/>
      <c r="ZI2" s="97"/>
      <c r="ZJ2" s="97"/>
      <c r="ZK2" s="97"/>
      <c r="ZL2" s="97"/>
      <c r="ZM2" s="97"/>
      <c r="ZN2" s="97"/>
      <c r="ZO2" s="97"/>
      <c r="ZP2" s="97"/>
      <c r="ZQ2" s="97"/>
      <c r="ZR2" s="97"/>
      <c r="ZS2" s="97"/>
      <c r="ZT2" s="97"/>
      <c r="ZU2" s="97"/>
      <c r="ZV2" s="97"/>
      <c r="ZW2" s="97"/>
      <c r="ZX2" s="97"/>
      <c r="ZY2" s="97"/>
      <c r="ZZ2" s="97"/>
      <c r="AAA2" s="97"/>
      <c r="AAB2" s="97"/>
      <c r="AAC2" s="97"/>
      <c r="AAD2" s="97"/>
      <c r="AAE2" s="97"/>
      <c r="AAF2" s="97"/>
      <c r="AAG2" s="97"/>
      <c r="AAH2" s="97"/>
      <c r="AAI2" s="97"/>
      <c r="AAJ2" s="97"/>
      <c r="AAK2" s="97"/>
      <c r="AAL2" s="97"/>
      <c r="AAM2" s="97"/>
      <c r="AAN2" s="97"/>
      <c r="AAO2" s="97"/>
      <c r="AAP2" s="97"/>
      <c r="AAQ2" s="97"/>
      <c r="AAR2" s="97"/>
      <c r="AAS2" s="97"/>
      <c r="AAT2" s="97"/>
      <c r="AAU2" s="97"/>
      <c r="AAV2" s="97"/>
      <c r="AAW2" s="97"/>
      <c r="AAX2" s="97"/>
      <c r="AAY2" s="97"/>
      <c r="AAZ2" s="97"/>
      <c r="ABA2" s="97"/>
      <c r="ABB2" s="97"/>
      <c r="ABC2" s="97"/>
      <c r="ABD2" s="97"/>
      <c r="ABE2" s="97"/>
      <c r="ABF2" s="97"/>
      <c r="ABG2" s="97"/>
      <c r="ABH2" s="97"/>
      <c r="ABI2" s="97"/>
      <c r="ABJ2" s="97"/>
      <c r="ABK2" s="97"/>
      <c r="ABL2" s="97"/>
      <c r="ABM2" s="97"/>
      <c r="ABN2" s="97"/>
      <c r="ABO2" s="97"/>
      <c r="ABP2" s="97"/>
      <c r="ABQ2" s="97"/>
      <c r="ABR2" s="97"/>
      <c r="ABS2" s="97"/>
      <c r="ABT2" s="97"/>
      <c r="ABU2" s="97"/>
      <c r="ABV2" s="97"/>
      <c r="ABW2" s="97"/>
      <c r="ABX2" s="97"/>
      <c r="ABY2" s="97"/>
      <c r="ABZ2" s="97"/>
      <c r="ACA2" s="97"/>
      <c r="ACB2" s="97"/>
      <c r="ACC2" s="97"/>
      <c r="ACD2" s="97"/>
      <c r="ACE2" s="97"/>
      <c r="ACF2" s="97"/>
      <c r="ACG2" s="97"/>
      <c r="ACH2" s="97"/>
      <c r="ACI2" s="97"/>
      <c r="ACJ2" s="97"/>
      <c r="ACK2" s="97"/>
      <c r="ACL2" s="97"/>
      <c r="ACM2" s="97"/>
      <c r="ACN2" s="97"/>
      <c r="ACO2" s="97"/>
      <c r="ACP2" s="97"/>
      <c r="ACQ2" s="97"/>
      <c r="ACR2" s="97"/>
      <c r="ACS2" s="97"/>
      <c r="ACT2" s="97"/>
      <c r="ACU2" s="97"/>
      <c r="ACV2" s="97"/>
      <c r="ACW2" s="97"/>
      <c r="ACX2" s="97"/>
      <c r="ACY2" s="97"/>
      <c r="ACZ2" s="97"/>
      <c r="ADA2" s="97"/>
      <c r="ADB2" s="97"/>
      <c r="ADC2" s="97"/>
      <c r="ADD2" s="97"/>
      <c r="ADE2" s="97"/>
      <c r="ADF2" s="97"/>
      <c r="ADG2" s="97"/>
      <c r="ADH2" s="97"/>
      <c r="ADI2" s="97"/>
      <c r="ADJ2" s="97"/>
      <c r="ADK2" s="97"/>
      <c r="ADL2" s="97"/>
      <c r="ADM2" s="97"/>
      <c r="ADN2" s="97"/>
      <c r="ADO2" s="97"/>
      <c r="ADP2" s="97"/>
      <c r="ADQ2" s="97"/>
      <c r="ADR2" s="97"/>
      <c r="ADS2" s="97"/>
      <c r="ADT2" s="97"/>
      <c r="ADU2" s="97"/>
      <c r="ADV2" s="97"/>
      <c r="ADW2" s="97"/>
      <c r="ADX2" s="97"/>
      <c r="ADY2" s="97"/>
      <c r="ADZ2" s="97"/>
      <c r="AEA2" s="97"/>
      <c r="AEB2" s="97"/>
      <c r="AEC2" s="97"/>
      <c r="AED2" s="97"/>
      <c r="AEE2" s="97"/>
      <c r="AEF2" s="97"/>
      <c r="AEG2" s="97"/>
      <c r="AEH2" s="97"/>
      <c r="AEI2" s="97"/>
      <c r="AEJ2" s="97"/>
      <c r="AEK2" s="97"/>
      <c r="AEL2" s="97"/>
      <c r="AEM2" s="97"/>
      <c r="AEN2" s="97"/>
      <c r="AEO2" s="97"/>
      <c r="AEP2" s="97"/>
      <c r="AEQ2" s="97"/>
      <c r="AER2" s="97"/>
      <c r="AES2" s="97"/>
      <c r="AET2" s="97"/>
      <c r="AEU2" s="97"/>
      <c r="AEV2" s="97"/>
      <c r="AEW2" s="97"/>
      <c r="AEX2" s="97"/>
      <c r="AEY2" s="97"/>
      <c r="AEZ2" s="97"/>
      <c r="AFA2" s="97"/>
      <c r="AFB2" s="97"/>
      <c r="AFC2" s="97"/>
      <c r="AFD2" s="97"/>
      <c r="AFE2" s="97"/>
      <c r="AFF2" s="97"/>
      <c r="AFG2" s="97"/>
      <c r="AFH2" s="97"/>
      <c r="AFI2" s="97"/>
      <c r="AFJ2" s="97"/>
      <c r="AFK2" s="97"/>
      <c r="AFL2" s="97"/>
      <c r="AFM2" s="97"/>
      <c r="AFN2" s="97"/>
      <c r="AFO2" s="97"/>
      <c r="AFP2" s="97"/>
      <c r="AFQ2" s="97"/>
      <c r="AFR2" s="97"/>
      <c r="AFS2" s="97"/>
      <c r="AFT2" s="97"/>
      <c r="AFU2" s="97"/>
      <c r="AFV2" s="97"/>
      <c r="AFW2" s="97"/>
      <c r="AFX2" s="97"/>
      <c r="AFY2" s="97"/>
      <c r="AFZ2" s="97"/>
      <c r="AGA2" s="97"/>
      <c r="AGB2" s="97"/>
      <c r="AGC2" s="97"/>
      <c r="AGD2" s="97"/>
      <c r="AGE2" s="97"/>
      <c r="AGF2" s="97"/>
      <c r="AGG2" s="97"/>
      <c r="AGH2" s="97"/>
      <c r="AGI2" s="97"/>
      <c r="AGJ2" s="97"/>
      <c r="AGK2" s="97"/>
      <c r="AGL2" s="97"/>
      <c r="AGM2" s="97"/>
      <c r="AGN2" s="97"/>
      <c r="AGO2" s="97"/>
      <c r="AGP2" s="97"/>
      <c r="AGQ2" s="97"/>
      <c r="AGR2" s="97"/>
      <c r="AGS2" s="97"/>
      <c r="AGT2" s="97"/>
      <c r="AGU2" s="97"/>
      <c r="AGV2" s="97"/>
      <c r="AGW2" s="97"/>
      <c r="AGX2" s="97"/>
      <c r="AGY2" s="97"/>
      <c r="AGZ2" s="97"/>
      <c r="AHA2" s="97"/>
      <c r="AHB2" s="97"/>
      <c r="AHC2" s="97"/>
      <c r="AHD2" s="97"/>
      <c r="AHE2" s="97"/>
      <c r="AHF2" s="97"/>
      <c r="AHG2" s="97"/>
      <c r="AHH2" s="97"/>
      <c r="AHI2" s="97"/>
      <c r="AHJ2" s="97"/>
      <c r="AHK2" s="97"/>
      <c r="AHL2" s="97"/>
      <c r="AHM2" s="97"/>
      <c r="AHN2" s="97"/>
      <c r="AHO2" s="97"/>
      <c r="AHP2" s="97"/>
      <c r="AHQ2" s="97"/>
      <c r="AHR2" s="97"/>
      <c r="AHS2" s="97"/>
      <c r="AHT2" s="97"/>
      <c r="AHU2" s="97"/>
      <c r="AHV2" s="97"/>
      <c r="AHW2" s="97"/>
      <c r="AHX2" s="97"/>
      <c r="AHY2" s="97"/>
      <c r="AHZ2" s="97"/>
      <c r="AIA2" s="97"/>
      <c r="AIB2" s="97"/>
      <c r="AIC2" s="97"/>
      <c r="AID2" s="97"/>
      <c r="AIE2" s="97"/>
      <c r="AIF2" s="97"/>
      <c r="AIG2" s="97"/>
      <c r="AIH2" s="97"/>
      <c r="AII2" s="97"/>
      <c r="AIJ2" s="97"/>
      <c r="AIK2" s="97"/>
      <c r="AIL2" s="97"/>
      <c r="AIM2" s="97"/>
      <c r="AIN2" s="97"/>
      <c r="AIO2" s="97"/>
      <c r="AIP2" s="97"/>
      <c r="AIQ2" s="97"/>
      <c r="AIR2" s="97"/>
      <c r="AIS2" s="97"/>
      <c r="AIT2" s="97"/>
      <c r="AIU2" s="97"/>
      <c r="AIV2" s="97"/>
      <c r="AIW2" s="97"/>
      <c r="AIX2" s="97"/>
      <c r="AIY2" s="97"/>
      <c r="AIZ2" s="97"/>
      <c r="AJA2" s="97"/>
      <c r="AJB2" s="97"/>
      <c r="AJC2" s="97"/>
      <c r="AJD2" s="97"/>
      <c r="AJE2" s="97"/>
      <c r="AJF2" s="97"/>
      <c r="AJG2" s="97"/>
      <c r="AJH2" s="97"/>
      <c r="AJI2" s="97"/>
      <c r="AJJ2" s="97"/>
      <c r="AJK2" s="97"/>
      <c r="AJL2" s="97"/>
      <c r="AJM2" s="97"/>
      <c r="AJN2" s="97"/>
      <c r="AJO2" s="97"/>
      <c r="AJP2" s="97"/>
      <c r="AJQ2" s="97"/>
      <c r="AJR2" s="97"/>
      <c r="AJS2" s="97"/>
      <c r="AJT2" s="97"/>
      <c r="AJU2" s="97"/>
      <c r="AJV2" s="97"/>
      <c r="AJW2" s="97"/>
      <c r="AJX2" s="97"/>
      <c r="AJY2" s="97"/>
      <c r="AJZ2" s="97"/>
      <c r="AKA2" s="97"/>
      <c r="AKB2" s="97"/>
      <c r="AKC2" s="97"/>
      <c r="AKD2" s="97"/>
      <c r="AKE2" s="97"/>
      <c r="AKF2" s="97"/>
      <c r="AKG2" s="97"/>
      <c r="AKH2" s="97"/>
      <c r="AKI2" s="97"/>
      <c r="AKJ2" s="97"/>
      <c r="AKK2" s="97"/>
      <c r="AKL2" s="97"/>
      <c r="AKM2" s="97"/>
      <c r="AKN2" s="97"/>
      <c r="AKO2" s="97"/>
      <c r="AKP2" s="97"/>
      <c r="AKQ2" s="97"/>
      <c r="AKR2" s="97"/>
      <c r="AKS2" s="97"/>
      <c r="AKT2" s="97"/>
      <c r="AKU2" s="97"/>
      <c r="AKV2" s="97"/>
      <c r="AKW2" s="97"/>
      <c r="AKX2" s="97"/>
      <c r="AKY2" s="97"/>
      <c r="AKZ2" s="97"/>
      <c r="ALA2" s="97"/>
      <c r="ALB2" s="97"/>
      <c r="ALC2" s="97"/>
      <c r="ALD2" s="97"/>
      <c r="ALE2" s="97"/>
      <c r="ALF2" s="97"/>
      <c r="ALG2" s="97"/>
      <c r="ALH2" s="97"/>
      <c r="ALI2" s="97"/>
      <c r="ALJ2" s="97"/>
      <c r="ALK2" s="97"/>
      <c r="ALL2" s="97"/>
      <c r="ALM2" s="97"/>
      <c r="ALN2" s="97"/>
      <c r="ALO2" s="97"/>
      <c r="ALP2" s="97"/>
      <c r="ALQ2" s="97"/>
      <c r="ALR2" s="97"/>
      <c r="ALS2" s="97"/>
      <c r="ALT2" s="97"/>
      <c r="ALU2" s="97"/>
      <c r="ALV2" s="97"/>
      <c r="ALW2" s="97"/>
      <c r="ALX2" s="97"/>
      <c r="ALY2" s="97"/>
      <c r="ALZ2" s="97"/>
      <c r="AMA2" s="97"/>
      <c r="AMB2" s="97"/>
      <c r="AMC2" s="97"/>
      <c r="AMD2" s="97"/>
      <c r="AME2" s="97"/>
      <c r="AMF2" s="97"/>
      <c r="AMG2" s="97"/>
      <c r="AMH2" s="97"/>
      <c r="AMI2" s="97"/>
      <c r="AMJ2" s="97"/>
      <c r="AMK2" s="97"/>
      <c r="AML2" s="97"/>
      <c r="AMM2" s="97"/>
      <c r="AMN2" s="97"/>
      <c r="AMO2" s="97"/>
      <c r="AMP2" s="97"/>
      <c r="AMQ2" s="97"/>
      <c r="AMR2" s="97"/>
      <c r="AMS2" s="97"/>
      <c r="AMT2" s="97"/>
      <c r="AMU2" s="97"/>
      <c r="AMV2" s="97"/>
      <c r="AMW2" s="97"/>
      <c r="AMX2" s="97"/>
      <c r="AMY2" s="97"/>
      <c r="AMZ2" s="97"/>
      <c r="ANA2" s="97"/>
      <c r="ANB2" s="97"/>
      <c r="ANC2" s="97"/>
      <c r="AND2" s="97"/>
      <c r="ANE2" s="97"/>
      <c r="ANF2" s="97"/>
      <c r="ANG2" s="97"/>
      <c r="ANH2" s="97"/>
      <c r="ANI2" s="97"/>
      <c r="ANJ2" s="97"/>
      <c r="ANK2" s="97"/>
      <c r="ANL2" s="97"/>
      <c r="ANM2" s="97"/>
      <c r="ANN2" s="97"/>
      <c r="ANO2" s="97"/>
      <c r="ANP2" s="97"/>
      <c r="ANQ2" s="97"/>
      <c r="ANR2" s="97"/>
      <c r="ANS2" s="97"/>
      <c r="ANT2" s="97"/>
      <c r="ANU2" s="97"/>
      <c r="ANV2" s="97"/>
      <c r="ANW2" s="97"/>
      <c r="ANX2" s="97"/>
      <c r="ANY2" s="97"/>
      <c r="ANZ2" s="97"/>
      <c r="AOA2" s="97"/>
      <c r="AOB2" s="97"/>
      <c r="AOC2" s="97"/>
      <c r="AOD2" s="97"/>
      <c r="AOE2" s="97"/>
      <c r="AOF2" s="97"/>
      <c r="AOG2" s="97"/>
      <c r="AOH2" s="97"/>
      <c r="AOI2" s="97"/>
      <c r="AOJ2" s="97"/>
      <c r="AOK2" s="97"/>
      <c r="AOL2" s="97"/>
      <c r="AOM2" s="97"/>
      <c r="AON2" s="97"/>
      <c r="AOO2" s="97"/>
      <c r="AOP2" s="97"/>
      <c r="AOQ2" s="97"/>
      <c r="AOR2" s="97"/>
      <c r="AOS2" s="97"/>
      <c r="AOT2" s="97"/>
      <c r="AOU2" s="97"/>
      <c r="AOV2" s="97"/>
      <c r="AOW2" s="97"/>
      <c r="AOX2" s="97"/>
      <c r="AOY2" s="97"/>
      <c r="AOZ2" s="97"/>
      <c r="APA2" s="97"/>
      <c r="APB2" s="97"/>
      <c r="APC2" s="97"/>
      <c r="APD2" s="97"/>
      <c r="APE2" s="97"/>
      <c r="APF2" s="97"/>
      <c r="APG2" s="97"/>
      <c r="APH2" s="97"/>
      <c r="API2" s="97"/>
      <c r="APJ2" s="97"/>
      <c r="APK2" s="97"/>
      <c r="APL2" s="97"/>
      <c r="APM2" s="97"/>
      <c r="APN2" s="97"/>
      <c r="APO2" s="97"/>
      <c r="APP2" s="97"/>
      <c r="APQ2" s="97"/>
      <c r="APR2" s="97"/>
      <c r="APS2" s="97"/>
      <c r="APT2" s="97"/>
      <c r="APU2" s="97"/>
      <c r="APV2" s="97"/>
      <c r="APW2" s="97"/>
      <c r="APX2" s="97"/>
      <c r="APY2" s="97"/>
      <c r="APZ2" s="97"/>
      <c r="AQA2" s="97"/>
      <c r="AQB2" s="97"/>
      <c r="AQC2" s="97"/>
      <c r="AQD2" s="97"/>
      <c r="AQE2" s="97"/>
      <c r="AQF2" s="97"/>
      <c r="AQG2" s="97"/>
      <c r="AQH2" s="97"/>
      <c r="AQI2" s="97"/>
      <c r="AQJ2" s="97"/>
      <c r="AQK2" s="97"/>
      <c r="AQL2" s="97"/>
      <c r="AQM2" s="97"/>
      <c r="AQN2" s="97"/>
      <c r="AQO2" s="97"/>
      <c r="AQP2" s="97"/>
      <c r="AQQ2" s="97"/>
      <c r="AQR2" s="97"/>
      <c r="AQS2" s="97"/>
      <c r="AQT2" s="97"/>
      <c r="AQU2" s="97"/>
      <c r="AQV2" s="97"/>
      <c r="AQW2" s="97"/>
      <c r="AQX2" s="97"/>
      <c r="AQY2" s="97"/>
      <c r="AQZ2" s="97"/>
      <c r="ARA2" s="97"/>
      <c r="ARB2" s="97"/>
      <c r="ARC2" s="97"/>
      <c r="ARD2" s="97"/>
      <c r="ARE2" s="97"/>
      <c r="ARF2" s="97"/>
      <c r="ARG2" s="97"/>
      <c r="ARH2" s="97"/>
      <c r="ARI2" s="97"/>
      <c r="ARJ2" s="97"/>
      <c r="ARK2" s="97"/>
      <c r="ARL2" s="97"/>
      <c r="ARM2" s="97"/>
      <c r="ARN2" s="97"/>
      <c r="ARO2" s="97"/>
      <c r="ARP2" s="97"/>
      <c r="ARQ2" s="97"/>
      <c r="ARR2" s="97"/>
      <c r="ARS2" s="97"/>
      <c r="ART2" s="97"/>
      <c r="ARU2" s="97"/>
      <c r="ARV2" s="97"/>
      <c r="ARW2" s="97"/>
      <c r="ARX2" s="97"/>
      <c r="ARY2" s="97"/>
      <c r="ARZ2" s="97"/>
      <c r="ASA2" s="97"/>
      <c r="ASB2" s="97"/>
      <c r="ASC2" s="97"/>
      <c r="ASD2" s="97"/>
      <c r="ASE2" s="97"/>
      <c r="ASF2" s="97"/>
      <c r="ASG2" s="97"/>
      <c r="ASH2" s="97"/>
      <c r="ASI2" s="97"/>
      <c r="ASJ2" s="97"/>
      <c r="ASK2" s="97"/>
      <c r="ASL2" s="97"/>
      <c r="ASM2" s="97"/>
      <c r="ASN2" s="97"/>
      <c r="ASO2" s="97"/>
      <c r="ASP2" s="97"/>
      <c r="ASQ2" s="97"/>
      <c r="ASR2" s="97"/>
      <c r="ASS2" s="97"/>
      <c r="AST2" s="97"/>
      <c r="ASU2" s="97"/>
      <c r="ASV2" s="97"/>
      <c r="ASW2" s="97"/>
      <c r="ASX2" s="97"/>
      <c r="ASY2" s="97"/>
      <c r="ASZ2" s="97"/>
      <c r="ATA2" s="97"/>
      <c r="ATB2" s="97"/>
      <c r="ATC2" s="97"/>
      <c r="ATD2" s="97"/>
      <c r="ATE2" s="97"/>
      <c r="ATF2" s="97"/>
      <c r="ATG2" s="97"/>
      <c r="ATH2" s="97"/>
      <c r="ATI2" s="97"/>
      <c r="ATJ2" s="97"/>
      <c r="ATK2" s="97"/>
      <c r="ATL2" s="97"/>
      <c r="ATM2" s="97"/>
      <c r="ATN2" s="97"/>
      <c r="ATO2" s="97"/>
      <c r="ATP2" s="97"/>
      <c r="ATQ2" s="97"/>
      <c r="ATR2" s="97"/>
      <c r="ATS2" s="97"/>
      <c r="ATT2" s="97"/>
      <c r="ATU2" s="97"/>
      <c r="ATV2" s="97"/>
      <c r="ATW2" s="97"/>
      <c r="ATX2" s="97"/>
      <c r="ATY2" s="97"/>
      <c r="ATZ2" s="97"/>
      <c r="AUA2" s="97"/>
      <c r="AUB2" s="97"/>
      <c r="AUC2" s="97"/>
      <c r="AUD2" s="97"/>
      <c r="AUE2" s="97"/>
      <c r="AUF2" s="97"/>
      <c r="AUG2" s="97"/>
      <c r="AUH2" s="97"/>
      <c r="AUI2" s="97"/>
      <c r="AUJ2" s="97"/>
      <c r="AUK2" s="97"/>
      <c r="AUL2" s="97"/>
      <c r="AUM2" s="97"/>
      <c r="AUN2" s="97"/>
      <c r="AUO2" s="97"/>
      <c r="AUP2" s="97"/>
      <c r="AUQ2" s="97"/>
      <c r="AUR2" s="97"/>
      <c r="AUS2" s="97"/>
      <c r="AUT2" s="97"/>
      <c r="AUU2" s="97"/>
      <c r="AUV2" s="97"/>
      <c r="AUW2" s="97"/>
      <c r="AUX2" s="97"/>
      <c r="AUY2" s="97"/>
      <c r="AUZ2" s="97"/>
      <c r="AVA2" s="97"/>
      <c r="AVB2" s="97"/>
      <c r="AVC2" s="97"/>
      <c r="AVD2" s="97"/>
      <c r="AVE2" s="97"/>
      <c r="AVF2" s="97"/>
      <c r="AVG2" s="97"/>
      <c r="AVH2" s="97"/>
      <c r="AVI2" s="97"/>
      <c r="AVJ2" s="97"/>
      <c r="AVK2" s="97"/>
      <c r="AVL2" s="97"/>
      <c r="AVM2" s="97"/>
      <c r="AVN2" s="97"/>
      <c r="AVO2" s="97"/>
      <c r="AVP2" s="97"/>
      <c r="AVQ2" s="97"/>
      <c r="AVR2" s="97"/>
      <c r="AVS2" s="97"/>
      <c r="AVT2" s="97"/>
      <c r="AVU2" s="97"/>
      <c r="AVV2" s="97"/>
      <c r="AVW2" s="97"/>
      <c r="AVX2" s="97"/>
      <c r="AVY2" s="97"/>
      <c r="AVZ2" s="97"/>
      <c r="AWA2" s="97"/>
      <c r="AWB2" s="97"/>
      <c r="AWC2" s="97"/>
      <c r="AWD2" s="97"/>
      <c r="AWE2" s="97"/>
      <c r="AWF2" s="97"/>
      <c r="AWG2" s="97"/>
      <c r="AWH2" s="97"/>
      <c r="AWI2" s="97"/>
      <c r="AWJ2" s="97"/>
      <c r="AWK2" s="97"/>
      <c r="AWL2" s="97"/>
      <c r="AWM2" s="97"/>
      <c r="AWN2" s="97"/>
      <c r="AWO2" s="97"/>
      <c r="AWP2" s="97"/>
      <c r="AWQ2" s="97"/>
      <c r="AWR2" s="97"/>
      <c r="AWS2" s="97"/>
      <c r="AWT2" s="97"/>
      <c r="AWU2" s="97"/>
      <c r="AWV2" s="97"/>
      <c r="AWW2" s="97"/>
      <c r="AWX2" s="97"/>
      <c r="AWY2" s="97"/>
      <c r="AWZ2" s="97"/>
      <c r="AXA2" s="97"/>
      <c r="AXB2" s="97"/>
      <c r="AXC2" s="97"/>
      <c r="AXD2" s="97"/>
      <c r="AXE2" s="97"/>
      <c r="AXF2" s="97"/>
      <c r="AXG2" s="97"/>
      <c r="AXH2" s="97"/>
      <c r="AXI2" s="97"/>
      <c r="AXJ2" s="97"/>
      <c r="AXK2" s="97"/>
      <c r="AXL2" s="97"/>
      <c r="AXM2" s="97"/>
      <c r="AXN2" s="97"/>
      <c r="AXO2" s="97"/>
      <c r="AXP2" s="97"/>
      <c r="AXQ2" s="97"/>
      <c r="AXR2" s="97"/>
      <c r="AXS2" s="97"/>
      <c r="AXT2" s="97"/>
      <c r="AXU2" s="97"/>
      <c r="AXV2" s="97"/>
      <c r="AXW2" s="97"/>
      <c r="AXX2" s="97"/>
      <c r="AXY2" s="97"/>
      <c r="AXZ2" s="97"/>
      <c r="AYA2" s="97"/>
      <c r="AYB2" s="97"/>
      <c r="AYC2" s="97"/>
      <c r="AYD2" s="97"/>
      <c r="AYE2" s="97"/>
      <c r="AYF2" s="97"/>
      <c r="AYG2" s="97"/>
      <c r="AYH2" s="97"/>
      <c r="AYI2" s="97"/>
      <c r="AYJ2" s="97"/>
      <c r="AYK2" s="97"/>
      <c r="AYL2" s="97"/>
      <c r="AYM2" s="97"/>
      <c r="AYN2" s="97"/>
      <c r="AYO2" s="97"/>
      <c r="AYP2" s="97"/>
      <c r="AYQ2" s="97"/>
      <c r="AYR2" s="97"/>
      <c r="AYS2" s="97"/>
      <c r="AYT2" s="97"/>
      <c r="AYU2" s="97"/>
      <c r="AYV2" s="97"/>
      <c r="AYW2" s="97"/>
      <c r="AYX2" s="97"/>
      <c r="AYY2" s="97"/>
      <c r="AYZ2" s="97"/>
      <c r="AZA2" s="97"/>
      <c r="AZB2" s="97"/>
      <c r="AZC2" s="97"/>
      <c r="AZD2" s="97"/>
      <c r="AZE2" s="97"/>
      <c r="AZF2" s="97"/>
      <c r="AZG2" s="97"/>
      <c r="AZH2" s="97"/>
      <c r="AZI2" s="97"/>
      <c r="AZJ2" s="97"/>
      <c r="AZK2" s="97"/>
      <c r="AZL2" s="97"/>
      <c r="AZM2" s="97"/>
      <c r="AZN2" s="97"/>
      <c r="AZO2" s="97"/>
      <c r="AZP2" s="97"/>
      <c r="AZQ2" s="97"/>
      <c r="AZR2" s="97"/>
      <c r="AZS2" s="97"/>
      <c r="AZT2" s="97"/>
      <c r="AZU2" s="97"/>
      <c r="AZV2" s="97"/>
      <c r="AZW2" s="97"/>
      <c r="AZX2" s="97"/>
      <c r="AZY2" s="97"/>
      <c r="AZZ2" s="97"/>
      <c r="BAA2" s="97"/>
      <c r="BAB2" s="97"/>
      <c r="BAC2" s="97"/>
      <c r="BAD2" s="97"/>
      <c r="BAE2" s="97"/>
      <c r="BAF2" s="97"/>
      <c r="BAG2" s="97"/>
      <c r="BAH2" s="97"/>
      <c r="BAI2" s="97"/>
      <c r="BAJ2" s="97"/>
      <c r="BAK2" s="97"/>
      <c r="BAL2" s="97"/>
      <c r="BAM2" s="97"/>
      <c r="BAN2" s="97"/>
      <c r="BAO2" s="97"/>
      <c r="BAP2" s="97"/>
      <c r="BAQ2" s="97"/>
      <c r="BAR2" s="97"/>
      <c r="BAS2" s="97"/>
      <c r="BAT2" s="97"/>
      <c r="BAU2" s="97"/>
      <c r="BAV2" s="97"/>
      <c r="BAW2" s="97"/>
      <c r="BAX2" s="97"/>
      <c r="BAY2" s="97"/>
      <c r="BAZ2" s="97"/>
      <c r="BBA2" s="97"/>
      <c r="BBB2" s="97"/>
      <c r="BBC2" s="97"/>
      <c r="BBD2" s="97"/>
      <c r="BBE2" s="97"/>
      <c r="BBF2" s="97"/>
      <c r="BBG2" s="97"/>
      <c r="BBH2" s="97"/>
      <c r="BBI2" s="97"/>
      <c r="BBJ2" s="97"/>
      <c r="BBK2" s="97"/>
      <c r="BBL2" s="97"/>
      <c r="BBM2" s="97"/>
      <c r="BBN2" s="97"/>
      <c r="BBO2" s="97"/>
      <c r="BBP2" s="97"/>
      <c r="BBQ2" s="97"/>
      <c r="BBR2" s="97"/>
      <c r="BBS2" s="97"/>
      <c r="BBT2" s="97"/>
      <c r="BBU2" s="97"/>
      <c r="BBV2" s="97"/>
      <c r="BBW2" s="97"/>
      <c r="BBX2" s="97"/>
      <c r="BBY2" s="97"/>
      <c r="BBZ2" s="97"/>
      <c r="BCA2" s="97"/>
      <c r="BCB2" s="97"/>
      <c r="BCC2" s="97"/>
      <c r="BCD2" s="97"/>
      <c r="BCE2" s="97"/>
      <c r="BCF2" s="97"/>
      <c r="BCG2" s="97"/>
      <c r="BCH2" s="97"/>
      <c r="BCI2" s="97"/>
      <c r="BCJ2" s="97"/>
      <c r="BCK2" s="97"/>
      <c r="BCL2" s="97"/>
      <c r="BCM2" s="97"/>
      <c r="BCN2" s="97"/>
      <c r="BCO2" s="97"/>
      <c r="BCP2" s="97"/>
      <c r="BCQ2" s="97"/>
      <c r="BCR2" s="97"/>
      <c r="BCS2" s="97"/>
      <c r="BCT2" s="97"/>
      <c r="BCU2" s="97"/>
      <c r="BCV2" s="97"/>
      <c r="BCW2" s="97"/>
      <c r="BCX2" s="97"/>
      <c r="BCY2" s="97"/>
      <c r="BCZ2" s="97"/>
      <c r="BDA2" s="97"/>
      <c r="BDB2" s="97"/>
      <c r="BDC2" s="97"/>
      <c r="BDD2" s="97"/>
      <c r="BDE2" s="97"/>
      <c r="BDF2" s="97"/>
      <c r="BDG2" s="97"/>
      <c r="BDH2" s="97"/>
      <c r="BDI2" s="97"/>
      <c r="BDJ2" s="97"/>
      <c r="BDK2" s="97"/>
      <c r="BDL2" s="97"/>
      <c r="BDM2" s="97"/>
      <c r="BDN2" s="97"/>
      <c r="BDO2" s="97"/>
      <c r="BDP2" s="97"/>
      <c r="BDQ2" s="97"/>
      <c r="BDR2" s="97"/>
      <c r="BDS2" s="97"/>
      <c r="BDT2" s="97"/>
      <c r="BDU2" s="97"/>
      <c r="BDV2" s="97"/>
      <c r="BDW2" s="97"/>
      <c r="BDX2" s="97"/>
      <c r="BDY2" s="97"/>
      <c r="BDZ2" s="97"/>
      <c r="BEA2" s="97"/>
      <c r="BEB2" s="97"/>
      <c r="BEC2" s="97"/>
      <c r="BED2" s="97"/>
      <c r="BEE2" s="97"/>
      <c r="BEF2" s="97"/>
      <c r="BEG2" s="97"/>
      <c r="BEH2" s="97"/>
      <c r="BEI2" s="97"/>
      <c r="BEJ2" s="97"/>
      <c r="BEK2" s="97"/>
      <c r="BEL2" s="97"/>
      <c r="BEM2" s="97"/>
      <c r="BEN2" s="97"/>
      <c r="BEO2" s="97"/>
      <c r="BEP2" s="97"/>
      <c r="BEQ2" s="97"/>
      <c r="BER2" s="97"/>
      <c r="BES2" s="97"/>
      <c r="BET2" s="97"/>
      <c r="BEU2" s="97"/>
      <c r="BEV2" s="97"/>
      <c r="BEW2" s="97"/>
      <c r="BEX2" s="97"/>
      <c r="BEY2" s="97"/>
      <c r="BEZ2" s="97"/>
      <c r="BFA2" s="97"/>
      <c r="BFB2" s="97"/>
      <c r="BFC2" s="97"/>
      <c r="BFD2" s="97"/>
      <c r="BFE2" s="97"/>
      <c r="BFF2" s="97"/>
      <c r="BFG2" s="97"/>
      <c r="BFH2" s="97"/>
      <c r="BFI2" s="97"/>
      <c r="BFJ2" s="97"/>
      <c r="BFK2" s="97"/>
      <c r="BFL2" s="97"/>
      <c r="BFM2" s="97"/>
      <c r="BFN2" s="97"/>
      <c r="BFO2" s="97"/>
      <c r="BFP2" s="97"/>
      <c r="BFQ2" s="97"/>
      <c r="BFR2" s="97"/>
      <c r="BFS2" s="97"/>
      <c r="BFT2" s="97"/>
      <c r="BFU2" s="97"/>
      <c r="BFV2" s="97"/>
      <c r="BFW2" s="97"/>
      <c r="BFX2" s="97"/>
      <c r="BFY2" s="97"/>
      <c r="BFZ2" s="97"/>
      <c r="BGA2" s="97"/>
      <c r="BGB2" s="97"/>
      <c r="BGC2" s="97"/>
      <c r="BGD2" s="97"/>
      <c r="BGE2" s="97"/>
      <c r="BGF2" s="97"/>
      <c r="BGG2" s="97"/>
      <c r="BGH2" s="97"/>
      <c r="BGI2" s="97"/>
      <c r="BGJ2" s="97"/>
      <c r="BGK2" s="97"/>
      <c r="BGL2" s="97"/>
      <c r="BGM2" s="97"/>
      <c r="BGN2" s="97"/>
      <c r="BGO2" s="97"/>
      <c r="BGP2" s="97"/>
      <c r="BGQ2" s="97"/>
      <c r="BGR2" s="97"/>
      <c r="BGS2" s="97"/>
      <c r="BGT2" s="97"/>
      <c r="BGU2" s="97"/>
      <c r="BGV2" s="97"/>
      <c r="BGW2" s="97"/>
      <c r="BGX2" s="97"/>
      <c r="BGY2" s="97"/>
      <c r="BGZ2" s="97"/>
      <c r="BHA2" s="97"/>
      <c r="BHB2" s="97"/>
      <c r="BHC2" s="97"/>
      <c r="BHD2" s="97"/>
      <c r="BHE2" s="97"/>
      <c r="BHF2" s="97"/>
      <c r="BHG2" s="97"/>
      <c r="BHH2" s="97"/>
      <c r="BHI2" s="97"/>
      <c r="BHJ2" s="97"/>
      <c r="BHK2" s="97"/>
      <c r="BHL2" s="97"/>
      <c r="BHM2" s="97"/>
      <c r="BHN2" s="97"/>
      <c r="BHO2" s="97"/>
      <c r="BHP2" s="97"/>
      <c r="BHQ2" s="97"/>
      <c r="BHR2" s="97"/>
      <c r="BHS2" s="97"/>
      <c r="BHT2" s="97"/>
      <c r="BHU2" s="97"/>
      <c r="BHV2" s="97"/>
      <c r="BHW2" s="97"/>
      <c r="BHX2" s="97"/>
      <c r="BHY2" s="97"/>
      <c r="BHZ2" s="97"/>
      <c r="BIA2" s="97"/>
      <c r="BIB2" s="97"/>
      <c r="BIC2" s="97"/>
      <c r="BID2" s="97"/>
      <c r="BIE2" s="97"/>
      <c r="BIF2" s="97"/>
      <c r="BIG2" s="97"/>
      <c r="BIH2" s="97"/>
      <c r="BII2" s="97"/>
      <c r="BIJ2" s="97"/>
      <c r="BIK2" s="97"/>
      <c r="BIL2" s="97"/>
      <c r="BIM2" s="97"/>
      <c r="BIN2" s="97"/>
      <c r="BIO2" s="97"/>
      <c r="BIP2" s="97"/>
      <c r="BIQ2" s="97"/>
      <c r="BIR2" s="97"/>
      <c r="BIS2" s="97"/>
      <c r="BIT2" s="97"/>
      <c r="BIU2" s="97"/>
      <c r="BIV2" s="97"/>
      <c r="BIW2" s="97"/>
      <c r="BIX2" s="97"/>
      <c r="BIY2" s="97"/>
      <c r="BIZ2" s="97"/>
      <c r="BJA2" s="97"/>
      <c r="BJB2" s="97"/>
      <c r="BJC2" s="97"/>
      <c r="BJD2" s="97"/>
      <c r="BJE2" s="97"/>
      <c r="BJF2" s="97"/>
      <c r="BJG2" s="97"/>
      <c r="BJH2" s="97"/>
      <c r="BJI2" s="97"/>
      <c r="BJJ2" s="97"/>
      <c r="BJK2" s="97"/>
      <c r="BJL2" s="97"/>
      <c r="BJM2" s="97"/>
      <c r="BJN2" s="97"/>
      <c r="BJO2" s="97"/>
      <c r="BJP2" s="97"/>
      <c r="BJQ2" s="97"/>
      <c r="BJR2" s="97"/>
      <c r="BJS2" s="97"/>
      <c r="BJT2" s="97"/>
      <c r="BJU2" s="97"/>
      <c r="BJV2" s="97"/>
      <c r="BJW2" s="97"/>
      <c r="BJX2" s="97"/>
      <c r="BJY2" s="97"/>
      <c r="BJZ2" s="97"/>
      <c r="BKA2" s="97"/>
      <c r="BKB2" s="97"/>
      <c r="BKC2" s="97"/>
      <c r="BKD2" s="97"/>
      <c r="BKE2" s="97"/>
      <c r="BKF2" s="97"/>
      <c r="BKG2" s="97"/>
      <c r="BKH2" s="97"/>
      <c r="BKI2" s="97"/>
      <c r="BKJ2" s="97"/>
      <c r="BKK2" s="97"/>
      <c r="BKL2" s="97"/>
      <c r="BKM2" s="97"/>
      <c r="BKN2" s="97"/>
      <c r="BKO2" s="97"/>
      <c r="BKP2" s="97"/>
      <c r="BKQ2" s="97"/>
      <c r="BKR2" s="97"/>
      <c r="BKS2" s="97"/>
      <c r="BKT2" s="97"/>
      <c r="BKU2" s="97"/>
      <c r="BKV2" s="97"/>
      <c r="BKW2" s="97"/>
      <c r="BKX2" s="97"/>
      <c r="BKY2" s="97"/>
      <c r="BKZ2" s="97"/>
      <c r="BLA2" s="97"/>
      <c r="BLB2" s="97"/>
      <c r="BLC2" s="97"/>
      <c r="BLD2" s="97"/>
      <c r="BLE2" s="97"/>
      <c r="BLF2" s="97"/>
      <c r="BLG2" s="97"/>
      <c r="BLH2" s="97"/>
      <c r="BLI2" s="97"/>
      <c r="BLJ2" s="97"/>
      <c r="BLK2" s="97"/>
      <c r="BLL2" s="97"/>
      <c r="BLM2" s="97"/>
      <c r="BLN2" s="97"/>
      <c r="BLO2" s="97"/>
      <c r="BLP2" s="97"/>
      <c r="BLQ2" s="97"/>
      <c r="BLR2" s="97"/>
      <c r="BLS2" s="97"/>
      <c r="BLT2" s="97"/>
      <c r="BLU2" s="97"/>
      <c r="BLV2" s="97"/>
      <c r="BLW2" s="97"/>
      <c r="BLX2" s="97"/>
      <c r="BLY2" s="97"/>
      <c r="BLZ2" s="97"/>
      <c r="BMA2" s="97"/>
      <c r="BMB2" s="97"/>
      <c r="BMC2" s="97"/>
      <c r="BMD2" s="97"/>
      <c r="BME2" s="97"/>
      <c r="BMF2" s="97"/>
      <c r="BMG2" s="97"/>
      <c r="BMH2" s="97"/>
      <c r="BMI2" s="97"/>
      <c r="BMJ2" s="97"/>
      <c r="BMK2" s="97"/>
      <c r="BML2" s="97"/>
      <c r="BMM2" s="97"/>
      <c r="BMN2" s="97"/>
      <c r="BMO2" s="97"/>
      <c r="BMP2" s="97"/>
      <c r="BMQ2" s="97"/>
      <c r="BMR2" s="97"/>
      <c r="BMS2" s="97"/>
      <c r="BMT2" s="97"/>
      <c r="BMU2" s="97"/>
      <c r="BMV2" s="97"/>
      <c r="BMW2" s="97"/>
      <c r="BMX2" s="97"/>
      <c r="BMY2" s="97"/>
      <c r="BMZ2" s="97"/>
      <c r="BNA2" s="97"/>
      <c r="BNB2" s="97"/>
      <c r="BNC2" s="97"/>
      <c r="BND2" s="97"/>
      <c r="BNE2" s="97"/>
      <c r="BNF2" s="97"/>
      <c r="BNG2" s="97"/>
      <c r="BNH2" s="97"/>
      <c r="BNI2" s="97"/>
      <c r="BNJ2" s="97"/>
      <c r="BNK2" s="97"/>
      <c r="BNL2" s="97"/>
      <c r="BNM2" s="97"/>
      <c r="BNN2" s="97"/>
      <c r="BNO2" s="97"/>
      <c r="BNP2" s="97"/>
      <c r="BNQ2" s="97"/>
      <c r="BNR2" s="97"/>
      <c r="BNS2" s="97"/>
      <c r="BNT2" s="97"/>
      <c r="BNU2" s="97"/>
      <c r="BNV2" s="97"/>
      <c r="BNW2" s="97"/>
      <c r="BNX2" s="97"/>
      <c r="BNY2" s="97"/>
      <c r="BNZ2" s="97"/>
      <c r="BOA2" s="97"/>
      <c r="BOB2" s="97"/>
      <c r="BOC2" s="97"/>
      <c r="BOD2" s="97"/>
      <c r="BOE2" s="97"/>
      <c r="BOF2" s="97"/>
      <c r="BOG2" s="97"/>
      <c r="BOH2" s="97"/>
      <c r="BOI2" s="97"/>
      <c r="BOJ2" s="97"/>
      <c r="BOK2" s="97"/>
      <c r="BOL2" s="97"/>
      <c r="BOM2" s="97"/>
      <c r="BON2" s="97"/>
      <c r="BOO2" s="97"/>
      <c r="BOP2" s="97"/>
      <c r="BOQ2" s="97"/>
      <c r="BOR2" s="97"/>
      <c r="BOS2" s="97"/>
      <c r="BOT2" s="97"/>
      <c r="BOU2" s="97"/>
      <c r="BOV2" s="97"/>
      <c r="BOW2" s="97"/>
      <c r="BOX2" s="97"/>
      <c r="BOY2" s="97"/>
      <c r="BOZ2" s="97"/>
      <c r="BPA2" s="97"/>
      <c r="BPB2" s="97"/>
      <c r="BPC2" s="97"/>
      <c r="BPD2" s="97"/>
      <c r="BPE2" s="97"/>
      <c r="BPF2" s="97"/>
      <c r="BPG2" s="97"/>
      <c r="BPH2" s="97"/>
      <c r="BPI2" s="97"/>
      <c r="BPJ2" s="97"/>
      <c r="BPK2" s="97"/>
      <c r="BPL2" s="97"/>
      <c r="BPM2" s="97"/>
      <c r="BPN2" s="97"/>
      <c r="BPO2" s="97"/>
      <c r="BPP2" s="97"/>
      <c r="BPQ2" s="97"/>
      <c r="BPR2" s="97"/>
      <c r="BPS2" s="97"/>
      <c r="BPT2" s="97"/>
      <c r="BPU2" s="97"/>
      <c r="BPV2" s="97"/>
      <c r="BPW2" s="97"/>
      <c r="BPX2" s="97"/>
      <c r="BPY2" s="97"/>
      <c r="BPZ2" s="97"/>
      <c r="BQA2" s="97"/>
      <c r="BQB2" s="97"/>
      <c r="BQC2" s="97"/>
      <c r="BQD2" s="97"/>
      <c r="BQE2" s="97"/>
      <c r="BQF2" s="97"/>
      <c r="BQG2" s="97"/>
      <c r="BQH2" s="97"/>
      <c r="BQI2" s="97"/>
      <c r="BQJ2" s="97"/>
      <c r="BQK2" s="97"/>
      <c r="BQL2" s="97"/>
      <c r="BQM2" s="97"/>
      <c r="BQN2" s="97"/>
      <c r="BQO2" s="97"/>
      <c r="BQP2" s="97"/>
      <c r="BQQ2" s="97"/>
      <c r="BQR2" s="97"/>
      <c r="BQS2" s="97"/>
      <c r="BQT2" s="97"/>
      <c r="BQU2" s="97"/>
      <c r="BQV2" s="97"/>
      <c r="BQW2" s="97"/>
      <c r="BQX2" s="97"/>
      <c r="BQY2" s="97"/>
      <c r="BQZ2" s="97"/>
      <c r="BRA2" s="97"/>
      <c r="BRB2" s="97"/>
      <c r="BRC2" s="97"/>
      <c r="BRD2" s="97"/>
      <c r="BRE2" s="97"/>
      <c r="BRF2" s="97"/>
      <c r="BRG2" s="97"/>
      <c r="BRH2" s="97"/>
      <c r="BRI2" s="97"/>
      <c r="BRJ2" s="97"/>
      <c r="BRK2" s="97"/>
      <c r="BRL2" s="97"/>
      <c r="BRM2" s="97"/>
      <c r="BRN2" s="97"/>
      <c r="BRO2" s="97"/>
      <c r="BRP2" s="97"/>
      <c r="BRQ2" s="97"/>
      <c r="BRR2" s="97"/>
      <c r="BRS2" s="97"/>
      <c r="BRT2" s="97"/>
      <c r="BRU2" s="97"/>
      <c r="BRV2" s="97"/>
      <c r="BRW2" s="97"/>
      <c r="BRX2" s="97"/>
      <c r="BRY2" s="97"/>
      <c r="BRZ2" s="97"/>
      <c r="BSA2" s="97"/>
      <c r="BSB2" s="97"/>
      <c r="BSC2" s="97"/>
      <c r="BSD2" s="97"/>
      <c r="BSE2" s="97"/>
      <c r="BSF2" s="97"/>
      <c r="BSG2" s="97"/>
      <c r="BSH2" s="97"/>
      <c r="BSI2" s="97"/>
      <c r="BSJ2" s="97"/>
      <c r="BSK2" s="97"/>
      <c r="BSL2" s="97"/>
      <c r="BSM2" s="97"/>
      <c r="BSN2" s="97"/>
      <c r="BSO2" s="97"/>
      <c r="BSP2" s="97"/>
      <c r="BSQ2" s="97"/>
      <c r="BSR2" s="97"/>
      <c r="BSS2" s="97"/>
      <c r="BST2" s="97"/>
      <c r="BSU2" s="97"/>
      <c r="BSV2" s="97"/>
      <c r="BSW2" s="97"/>
      <c r="BSX2" s="97"/>
      <c r="BSY2" s="97"/>
      <c r="BSZ2" s="97"/>
      <c r="BTA2" s="97"/>
      <c r="BTB2" s="97"/>
      <c r="BTC2" s="97"/>
      <c r="BTD2" s="97"/>
      <c r="BTE2" s="97"/>
      <c r="BTF2" s="97"/>
      <c r="BTG2" s="97"/>
      <c r="BTH2" s="97"/>
      <c r="BTI2" s="97"/>
      <c r="BTJ2" s="97"/>
      <c r="BTK2" s="97"/>
      <c r="BTL2" s="97"/>
      <c r="BTM2" s="97"/>
      <c r="BTN2" s="97"/>
      <c r="BTO2" s="97"/>
      <c r="BTP2" s="97"/>
      <c r="BTQ2" s="97"/>
      <c r="BTR2" s="97"/>
      <c r="BTS2" s="97"/>
      <c r="BTT2" s="97"/>
      <c r="BTU2" s="97"/>
      <c r="BTV2" s="97"/>
      <c r="BTW2" s="97"/>
      <c r="BTX2" s="97"/>
      <c r="BTY2" s="97"/>
      <c r="BTZ2" s="97"/>
      <c r="BUA2" s="97"/>
      <c r="BUB2" s="97"/>
      <c r="BUC2" s="97"/>
      <c r="BUD2" s="97"/>
      <c r="BUE2" s="97"/>
      <c r="BUF2" s="97"/>
      <c r="BUG2" s="97"/>
      <c r="BUH2" s="97"/>
      <c r="BUI2" s="97"/>
      <c r="BUJ2" s="97"/>
      <c r="BUK2" s="97"/>
      <c r="BUL2" s="97"/>
      <c r="BUM2" s="97"/>
      <c r="BUN2" s="97"/>
      <c r="BUO2" s="97"/>
      <c r="BUP2" s="97"/>
      <c r="BUQ2" s="97"/>
      <c r="BUR2" s="97"/>
      <c r="BUS2" s="97"/>
      <c r="BUT2" s="97"/>
      <c r="BUU2" s="97"/>
      <c r="BUV2" s="97"/>
      <c r="BUW2" s="97"/>
      <c r="BUX2" s="97"/>
      <c r="BUY2" s="97"/>
      <c r="BUZ2" s="97"/>
      <c r="BVA2" s="97"/>
      <c r="BVB2" s="97"/>
      <c r="BVC2" s="97"/>
      <c r="BVD2" s="97"/>
      <c r="BVE2" s="97"/>
      <c r="BVF2" s="97"/>
      <c r="BVG2" s="97"/>
      <c r="BVH2" s="97"/>
      <c r="BVI2" s="97"/>
      <c r="BVJ2" s="97"/>
      <c r="BVK2" s="97"/>
      <c r="BVL2" s="97"/>
      <c r="BVM2" s="97"/>
      <c r="BVN2" s="97"/>
      <c r="BVO2" s="97"/>
      <c r="BVP2" s="97"/>
      <c r="BVQ2" s="97"/>
      <c r="BVR2" s="97"/>
      <c r="BVS2" s="97"/>
      <c r="BVT2" s="97"/>
      <c r="BVU2" s="97"/>
      <c r="BVV2" s="97"/>
      <c r="BVW2" s="97"/>
      <c r="BVX2" s="97"/>
      <c r="BVY2" s="97"/>
      <c r="BVZ2" s="97"/>
      <c r="BWA2" s="97"/>
      <c r="BWB2" s="97"/>
      <c r="BWC2" s="97"/>
      <c r="BWD2" s="97"/>
      <c r="BWE2" s="97"/>
      <c r="BWF2" s="97"/>
      <c r="BWG2" s="97"/>
      <c r="BWH2" s="97"/>
      <c r="BWI2" s="97"/>
      <c r="BWJ2" s="97"/>
      <c r="BWK2" s="97"/>
      <c r="BWL2" s="97"/>
      <c r="BWM2" s="97"/>
      <c r="BWN2" s="97"/>
      <c r="BWO2" s="97"/>
      <c r="BWP2" s="97"/>
      <c r="BWQ2" s="97"/>
      <c r="BWR2" s="97"/>
      <c r="BWS2" s="97"/>
      <c r="BWT2" s="97"/>
      <c r="BWU2" s="97"/>
      <c r="BWV2" s="97"/>
      <c r="BWW2" s="97"/>
      <c r="BWX2" s="97"/>
      <c r="BWY2" s="97"/>
      <c r="BWZ2" s="97"/>
      <c r="BXA2" s="97"/>
      <c r="BXB2" s="97"/>
      <c r="BXC2" s="97"/>
      <c r="BXD2" s="97"/>
      <c r="BXE2" s="97"/>
      <c r="BXF2" s="97"/>
      <c r="BXG2" s="97"/>
      <c r="BXH2" s="97"/>
      <c r="BXI2" s="97"/>
      <c r="BXJ2" s="97"/>
      <c r="BXK2" s="97"/>
      <c r="BXL2" s="97"/>
      <c r="BXM2" s="97"/>
      <c r="BXN2" s="97"/>
      <c r="BXO2" s="97"/>
      <c r="BXP2" s="97"/>
      <c r="BXQ2" s="97"/>
      <c r="BXR2" s="97"/>
      <c r="BXS2" s="97"/>
      <c r="BXT2" s="97"/>
      <c r="BXU2" s="97"/>
      <c r="BXV2" s="97"/>
      <c r="BXW2" s="97"/>
      <c r="BXX2" s="97"/>
      <c r="BXY2" s="97"/>
      <c r="BXZ2" s="97"/>
      <c r="BYA2" s="97"/>
      <c r="BYB2" s="97"/>
      <c r="BYC2" s="97"/>
      <c r="BYD2" s="97"/>
      <c r="BYE2" s="97"/>
      <c r="BYF2" s="97"/>
      <c r="BYG2" s="97"/>
      <c r="BYH2" s="97"/>
      <c r="BYI2" s="97"/>
      <c r="BYJ2" s="97"/>
      <c r="BYK2" s="97"/>
      <c r="BYL2" s="97"/>
      <c r="BYM2" s="97"/>
      <c r="BYN2" s="97"/>
      <c r="BYO2" s="97"/>
      <c r="BYP2" s="97"/>
      <c r="BYQ2" s="97"/>
      <c r="BYR2" s="97"/>
      <c r="BYS2" s="97"/>
      <c r="BYT2" s="97"/>
      <c r="BYU2" s="97"/>
      <c r="BYV2" s="97"/>
      <c r="BYW2" s="97"/>
      <c r="BYX2" s="97"/>
      <c r="BYY2" s="97"/>
      <c r="BYZ2" s="97"/>
      <c r="BZA2" s="97"/>
      <c r="BZB2" s="97"/>
      <c r="BZC2" s="97"/>
      <c r="BZD2" s="97"/>
      <c r="BZE2" s="97"/>
      <c r="BZF2" s="97"/>
      <c r="BZG2" s="97"/>
      <c r="BZH2" s="97"/>
      <c r="BZI2" s="97"/>
      <c r="BZJ2" s="97"/>
      <c r="BZK2" s="97"/>
      <c r="BZL2" s="97"/>
      <c r="BZM2" s="97"/>
      <c r="BZN2" s="97"/>
      <c r="BZO2" s="97"/>
      <c r="BZP2" s="97"/>
      <c r="BZQ2" s="97"/>
      <c r="BZR2" s="97"/>
      <c r="BZS2" s="97"/>
      <c r="BZT2" s="97"/>
      <c r="BZU2" s="97"/>
      <c r="BZV2" s="97"/>
      <c r="BZW2" s="97"/>
      <c r="BZX2" s="97"/>
      <c r="BZY2" s="97"/>
      <c r="BZZ2" s="97"/>
      <c r="CAA2" s="97"/>
      <c r="CAB2" s="97"/>
      <c r="CAC2" s="97"/>
      <c r="CAD2" s="97"/>
      <c r="CAE2" s="97"/>
      <c r="CAF2" s="97"/>
      <c r="CAG2" s="97"/>
      <c r="CAH2" s="97"/>
      <c r="CAI2" s="97"/>
      <c r="CAJ2" s="97"/>
      <c r="CAK2" s="97"/>
      <c r="CAL2" s="97"/>
      <c r="CAM2" s="97"/>
      <c r="CAN2" s="97"/>
      <c r="CAO2" s="97"/>
      <c r="CAP2" s="97"/>
      <c r="CAQ2" s="97"/>
      <c r="CAR2" s="97"/>
      <c r="CAS2" s="97"/>
      <c r="CAT2" s="97"/>
      <c r="CAU2" s="97"/>
      <c r="CAV2" s="97"/>
      <c r="CAW2" s="97"/>
      <c r="CAX2" s="97"/>
      <c r="CAY2" s="97"/>
      <c r="CAZ2" s="97"/>
      <c r="CBA2" s="97"/>
      <c r="CBB2" s="97"/>
      <c r="CBC2" s="97"/>
      <c r="CBD2" s="97"/>
      <c r="CBE2" s="97"/>
      <c r="CBF2" s="97"/>
      <c r="CBG2" s="97"/>
      <c r="CBH2" s="97"/>
      <c r="CBI2" s="97"/>
      <c r="CBJ2" s="97"/>
      <c r="CBK2" s="97"/>
      <c r="CBL2" s="97"/>
      <c r="CBM2" s="97"/>
      <c r="CBN2" s="97"/>
      <c r="CBO2" s="97"/>
      <c r="CBP2" s="97"/>
      <c r="CBQ2" s="97"/>
      <c r="CBR2" s="97"/>
      <c r="CBS2" s="97"/>
      <c r="CBT2" s="97"/>
      <c r="CBU2" s="97"/>
      <c r="CBV2" s="97"/>
      <c r="CBW2" s="97"/>
      <c r="CBX2" s="97"/>
      <c r="CBY2" s="97"/>
      <c r="CBZ2" s="97"/>
      <c r="CCA2" s="97"/>
      <c r="CCB2" s="97"/>
      <c r="CCC2" s="97"/>
      <c r="CCD2" s="97"/>
      <c r="CCE2" s="97"/>
      <c r="CCF2" s="97"/>
      <c r="CCG2" s="97"/>
      <c r="CCH2" s="97"/>
      <c r="CCI2" s="97"/>
      <c r="CCJ2" s="97"/>
      <c r="CCK2" s="97"/>
      <c r="CCL2" s="97"/>
      <c r="CCM2" s="97"/>
      <c r="CCN2" s="97"/>
      <c r="CCO2" s="97"/>
      <c r="CCP2" s="97"/>
      <c r="CCQ2" s="97"/>
      <c r="CCR2" s="97"/>
      <c r="CCS2" s="97"/>
      <c r="CCT2" s="97"/>
      <c r="CCU2" s="97"/>
      <c r="CCV2" s="97"/>
      <c r="CCW2" s="97"/>
      <c r="CCX2" s="97"/>
      <c r="CCY2" s="97"/>
      <c r="CCZ2" s="97"/>
      <c r="CDA2" s="97"/>
      <c r="CDB2" s="97"/>
      <c r="CDC2" s="97"/>
      <c r="CDD2" s="97"/>
      <c r="CDE2" s="97"/>
      <c r="CDF2" s="97"/>
      <c r="CDG2" s="97"/>
      <c r="CDH2" s="97"/>
      <c r="CDI2" s="97"/>
      <c r="CDJ2" s="97"/>
      <c r="CDK2" s="97"/>
      <c r="CDL2" s="97"/>
      <c r="CDM2" s="97"/>
      <c r="CDN2" s="97"/>
      <c r="CDO2" s="97"/>
      <c r="CDP2" s="97"/>
      <c r="CDQ2" s="97"/>
      <c r="CDR2" s="97"/>
      <c r="CDS2" s="97"/>
      <c r="CDT2" s="97"/>
      <c r="CDU2" s="97"/>
      <c r="CDV2" s="97"/>
      <c r="CDW2" s="97"/>
      <c r="CDX2" s="97"/>
      <c r="CDY2" s="97"/>
      <c r="CDZ2" s="97"/>
      <c r="CEA2" s="97"/>
      <c r="CEB2" s="97"/>
      <c r="CEC2" s="97"/>
      <c r="CED2" s="97"/>
      <c r="CEE2" s="97"/>
      <c r="CEF2" s="97"/>
      <c r="CEG2" s="97"/>
      <c r="CEH2" s="97"/>
      <c r="CEI2" s="97"/>
      <c r="CEJ2" s="97"/>
      <c r="CEK2" s="97"/>
      <c r="CEL2" s="97"/>
      <c r="CEM2" s="97"/>
      <c r="CEN2" s="97"/>
      <c r="CEO2" s="97"/>
      <c r="CEP2" s="97"/>
      <c r="CEQ2" s="97"/>
      <c r="CER2" s="97"/>
      <c r="CES2" s="97"/>
      <c r="CET2" s="97"/>
      <c r="CEU2" s="97"/>
      <c r="CEV2" s="97"/>
      <c r="CEW2" s="97"/>
      <c r="CEX2" s="97"/>
      <c r="CEY2" s="97"/>
      <c r="CEZ2" s="97"/>
      <c r="CFA2" s="97"/>
      <c r="CFB2" s="97"/>
      <c r="CFC2" s="97"/>
      <c r="CFD2" s="97"/>
      <c r="CFE2" s="97"/>
      <c r="CFF2" s="97"/>
      <c r="CFG2" s="97"/>
      <c r="CFH2" s="97"/>
      <c r="CFI2" s="97"/>
      <c r="CFJ2" s="97"/>
      <c r="CFK2" s="97"/>
      <c r="CFL2" s="97"/>
      <c r="CFM2" s="97"/>
      <c r="CFN2" s="97"/>
      <c r="CFO2" s="97"/>
      <c r="CFP2" s="97"/>
      <c r="CFQ2" s="97"/>
      <c r="CFR2" s="97"/>
      <c r="CFS2" s="97"/>
      <c r="CFT2" s="97"/>
      <c r="CFU2" s="97"/>
      <c r="CFV2" s="97"/>
      <c r="CFW2" s="97"/>
      <c r="CFX2" s="97"/>
      <c r="CFY2" s="97"/>
      <c r="CFZ2" s="97"/>
      <c r="CGA2" s="97"/>
      <c r="CGB2" s="97"/>
      <c r="CGC2" s="97"/>
      <c r="CGD2" s="97"/>
      <c r="CGE2" s="97"/>
      <c r="CGF2" s="97"/>
      <c r="CGG2" s="97"/>
      <c r="CGH2" s="97"/>
      <c r="CGI2" s="97"/>
      <c r="CGJ2" s="97"/>
      <c r="CGK2" s="97"/>
      <c r="CGL2" s="97"/>
      <c r="CGM2" s="97"/>
      <c r="CGN2" s="97"/>
      <c r="CGO2" s="97"/>
      <c r="CGP2" s="97"/>
      <c r="CGQ2" s="97"/>
      <c r="CGR2" s="97"/>
      <c r="CGS2" s="97"/>
      <c r="CGT2" s="97"/>
      <c r="CGU2" s="97"/>
      <c r="CGV2" s="97"/>
      <c r="CGW2" s="97"/>
      <c r="CGX2" s="97"/>
      <c r="CGY2" s="97"/>
      <c r="CGZ2" s="97"/>
      <c r="CHA2" s="97"/>
      <c r="CHB2" s="97"/>
      <c r="CHC2" s="97"/>
      <c r="CHD2" s="97"/>
      <c r="CHE2" s="97"/>
      <c r="CHF2" s="97"/>
      <c r="CHG2" s="97"/>
      <c r="CHH2" s="97"/>
      <c r="CHI2" s="97"/>
      <c r="CHJ2" s="97"/>
      <c r="CHK2" s="97"/>
      <c r="CHL2" s="97"/>
      <c r="CHM2" s="97"/>
      <c r="CHN2" s="97"/>
      <c r="CHO2" s="97"/>
      <c r="CHP2" s="97"/>
      <c r="CHQ2" s="97"/>
      <c r="CHR2" s="97"/>
      <c r="CHS2" s="97"/>
      <c r="CHT2" s="97"/>
      <c r="CHU2" s="97"/>
      <c r="CHV2" s="97"/>
      <c r="CHW2" s="97"/>
      <c r="CHX2" s="97"/>
      <c r="CHY2" s="97"/>
      <c r="CHZ2" s="97"/>
      <c r="CIA2" s="97"/>
      <c r="CIB2" s="97"/>
      <c r="CIC2" s="97"/>
      <c r="CID2" s="97"/>
      <c r="CIE2" s="97"/>
      <c r="CIF2" s="97"/>
      <c r="CIG2" s="97"/>
      <c r="CIH2" s="97"/>
      <c r="CII2" s="97"/>
      <c r="CIJ2" s="97"/>
      <c r="CIK2" s="97"/>
      <c r="CIL2" s="97"/>
      <c r="CIM2" s="97"/>
      <c r="CIN2" s="97"/>
      <c r="CIO2" s="97"/>
      <c r="CIP2" s="97"/>
      <c r="CIQ2" s="97"/>
      <c r="CIR2" s="97"/>
      <c r="CIS2" s="97"/>
      <c r="CIT2" s="97"/>
      <c r="CIU2" s="97"/>
      <c r="CIV2" s="97"/>
      <c r="CIW2" s="97"/>
      <c r="CIX2" s="97"/>
      <c r="CIY2" s="97"/>
      <c r="CIZ2" s="97"/>
      <c r="CJA2" s="97"/>
      <c r="CJB2" s="97"/>
      <c r="CJC2" s="97"/>
      <c r="CJD2" s="97"/>
      <c r="CJE2" s="97"/>
      <c r="CJF2" s="97"/>
      <c r="CJG2" s="97"/>
      <c r="CJH2" s="97"/>
      <c r="CJI2" s="97"/>
      <c r="CJJ2" s="97"/>
      <c r="CJK2" s="97"/>
      <c r="CJL2" s="97"/>
      <c r="CJM2" s="97"/>
      <c r="CJN2" s="97"/>
      <c r="CJO2" s="97"/>
      <c r="CJP2" s="97"/>
      <c r="CJQ2" s="97"/>
      <c r="CJR2" s="97"/>
      <c r="CJS2" s="97"/>
      <c r="CJT2" s="97"/>
      <c r="CJU2" s="97"/>
      <c r="CJV2" s="97"/>
      <c r="CJW2" s="97"/>
      <c r="CJX2" s="97"/>
      <c r="CJY2" s="97"/>
      <c r="CJZ2" s="97"/>
      <c r="CKA2" s="97"/>
      <c r="CKB2" s="97"/>
      <c r="CKC2" s="97"/>
      <c r="CKD2" s="97"/>
      <c r="CKE2" s="97"/>
      <c r="CKF2" s="97"/>
      <c r="CKG2" s="97"/>
      <c r="CKH2" s="97"/>
      <c r="CKI2" s="97"/>
      <c r="CKJ2" s="97"/>
      <c r="CKK2" s="97"/>
      <c r="CKL2" s="97"/>
      <c r="CKM2" s="97"/>
      <c r="CKN2" s="97"/>
      <c r="CKO2" s="97"/>
      <c r="CKP2" s="97"/>
      <c r="CKQ2" s="97"/>
      <c r="CKR2" s="97"/>
      <c r="CKS2" s="97"/>
      <c r="CKT2" s="97"/>
      <c r="CKU2" s="97"/>
      <c r="CKV2" s="97"/>
      <c r="CKW2" s="97"/>
      <c r="CKX2" s="97"/>
      <c r="CKY2" s="97"/>
      <c r="CKZ2" s="97"/>
      <c r="CLA2" s="97"/>
      <c r="CLB2" s="97"/>
      <c r="CLC2" s="97"/>
      <c r="CLD2" s="97"/>
      <c r="CLE2" s="97"/>
      <c r="CLF2" s="97"/>
      <c r="CLG2" s="97"/>
      <c r="CLH2" s="97"/>
      <c r="CLI2" s="97"/>
      <c r="CLJ2" s="97"/>
      <c r="CLK2" s="97"/>
      <c r="CLL2" s="97"/>
      <c r="CLM2" s="97"/>
      <c r="CLN2" s="97"/>
      <c r="CLO2" s="97"/>
      <c r="CLP2" s="97"/>
      <c r="CLQ2" s="97"/>
      <c r="CLR2" s="97"/>
      <c r="CLS2" s="97"/>
      <c r="CLT2" s="97"/>
      <c r="CLU2" s="97"/>
      <c r="CLV2" s="97"/>
      <c r="CLW2" s="97"/>
      <c r="CLX2" s="97"/>
      <c r="CLY2" s="97"/>
      <c r="CLZ2" s="97"/>
      <c r="CMA2" s="97"/>
      <c r="CMB2" s="97"/>
      <c r="CMC2" s="97"/>
      <c r="CMD2" s="97"/>
      <c r="CME2" s="97"/>
      <c r="CMF2" s="97"/>
      <c r="CMG2" s="97"/>
      <c r="CMH2" s="97"/>
      <c r="CMI2" s="97"/>
      <c r="CMJ2" s="97"/>
      <c r="CMK2" s="97"/>
      <c r="CML2" s="97"/>
      <c r="CMM2" s="97"/>
      <c r="CMN2" s="97"/>
      <c r="CMO2" s="97"/>
      <c r="CMP2" s="97"/>
      <c r="CMQ2" s="97"/>
      <c r="CMR2" s="97"/>
      <c r="CMS2" s="97"/>
      <c r="CMT2" s="97"/>
      <c r="CMU2" s="97"/>
      <c r="CMV2" s="97"/>
      <c r="CMW2" s="97"/>
      <c r="CMX2" s="97"/>
      <c r="CMY2" s="97"/>
      <c r="CMZ2" s="97"/>
      <c r="CNA2" s="97"/>
      <c r="CNB2" s="97"/>
      <c r="CNC2" s="97"/>
      <c r="CND2" s="97"/>
      <c r="CNE2" s="97"/>
      <c r="CNF2" s="97"/>
      <c r="CNG2" s="97"/>
      <c r="CNH2" s="97"/>
      <c r="CNI2" s="97"/>
      <c r="CNJ2" s="97"/>
      <c r="CNK2" s="97"/>
      <c r="CNL2" s="97"/>
      <c r="CNM2" s="97"/>
      <c r="CNN2" s="97"/>
      <c r="CNO2" s="97"/>
      <c r="CNP2" s="97"/>
      <c r="CNQ2" s="97"/>
      <c r="CNR2" s="97"/>
      <c r="CNS2" s="97"/>
      <c r="CNT2" s="97"/>
      <c r="CNU2" s="97"/>
      <c r="CNV2" s="97"/>
      <c r="CNW2" s="97"/>
      <c r="CNX2" s="97"/>
      <c r="CNY2" s="97"/>
      <c r="CNZ2" s="97"/>
      <c r="COA2" s="97"/>
      <c r="COB2" s="97"/>
      <c r="COC2" s="97"/>
      <c r="COD2" s="97"/>
      <c r="COE2" s="97"/>
      <c r="COF2" s="97"/>
      <c r="COG2" s="97"/>
      <c r="COH2" s="97"/>
      <c r="COI2" s="97"/>
      <c r="COJ2" s="97"/>
      <c r="COK2" s="97"/>
      <c r="COL2" s="97"/>
      <c r="COM2" s="97"/>
      <c r="CON2" s="97"/>
      <c r="COO2" s="97"/>
      <c r="COP2" s="97"/>
      <c r="COQ2" s="97"/>
      <c r="COR2" s="97"/>
      <c r="COS2" s="97"/>
      <c r="COT2" s="97"/>
      <c r="COU2" s="97"/>
      <c r="COV2" s="97"/>
      <c r="COW2" s="97"/>
      <c r="COX2" s="97"/>
      <c r="COY2" s="97"/>
      <c r="COZ2" s="97"/>
      <c r="CPA2" s="97"/>
      <c r="CPB2" s="97"/>
      <c r="CPC2" s="97"/>
      <c r="CPD2" s="97"/>
      <c r="CPE2" s="97"/>
      <c r="CPF2" s="97"/>
      <c r="CPG2" s="97"/>
      <c r="CPH2" s="97"/>
      <c r="CPI2" s="97"/>
      <c r="CPJ2" s="97"/>
      <c r="CPK2" s="97"/>
      <c r="CPL2" s="97"/>
      <c r="CPM2" s="97"/>
      <c r="CPN2" s="97"/>
      <c r="CPO2" s="97"/>
      <c r="CPP2" s="97"/>
      <c r="CPQ2" s="97"/>
      <c r="CPR2" s="97"/>
      <c r="CPS2" s="97"/>
      <c r="CPT2" s="97"/>
      <c r="CPU2" s="97"/>
      <c r="CPV2" s="97"/>
      <c r="CPW2" s="97"/>
      <c r="CPX2" s="97"/>
      <c r="CPY2" s="97"/>
      <c r="CPZ2" s="97"/>
      <c r="CQA2" s="97"/>
      <c r="CQB2" s="97"/>
      <c r="CQC2" s="97"/>
      <c r="CQD2" s="97"/>
      <c r="CQE2" s="97"/>
      <c r="CQF2" s="97"/>
      <c r="CQG2" s="97"/>
      <c r="CQH2" s="97"/>
      <c r="CQI2" s="97"/>
      <c r="CQJ2" s="97"/>
      <c r="CQK2" s="97"/>
      <c r="CQL2" s="97"/>
      <c r="CQM2" s="97"/>
      <c r="CQN2" s="97"/>
      <c r="CQO2" s="97"/>
      <c r="CQP2" s="97"/>
      <c r="CQQ2" s="97"/>
      <c r="CQR2" s="97"/>
      <c r="CQS2" s="97"/>
      <c r="CQT2" s="97"/>
      <c r="CQU2" s="97"/>
      <c r="CQV2" s="97"/>
      <c r="CQW2" s="97"/>
      <c r="CQX2" s="97"/>
      <c r="CQY2" s="97"/>
      <c r="CQZ2" s="97"/>
      <c r="CRA2" s="97"/>
      <c r="CRB2" s="97"/>
      <c r="CRC2" s="97"/>
      <c r="CRD2" s="97"/>
      <c r="CRE2" s="97"/>
      <c r="CRF2" s="97"/>
      <c r="CRG2" s="97"/>
      <c r="CRH2" s="97"/>
      <c r="CRI2" s="97"/>
      <c r="CRJ2" s="97"/>
      <c r="CRK2" s="97"/>
      <c r="CRL2" s="97"/>
      <c r="CRM2" s="97"/>
      <c r="CRN2" s="97"/>
      <c r="CRO2" s="97"/>
      <c r="CRP2" s="97"/>
      <c r="CRQ2" s="97"/>
      <c r="CRR2" s="97"/>
      <c r="CRS2" s="97"/>
      <c r="CRT2" s="97"/>
      <c r="CRU2" s="97"/>
      <c r="CRV2" s="97"/>
      <c r="CRW2" s="97"/>
      <c r="CRX2" s="97"/>
      <c r="CRY2" s="97"/>
      <c r="CRZ2" s="97"/>
      <c r="CSA2" s="97"/>
      <c r="CSB2" s="97"/>
      <c r="CSC2" s="97"/>
      <c r="CSD2" s="97"/>
      <c r="CSE2" s="97"/>
      <c r="CSF2" s="97"/>
      <c r="CSG2" s="97"/>
      <c r="CSH2" s="97"/>
      <c r="CSI2" s="97"/>
      <c r="CSJ2" s="97"/>
      <c r="CSK2" s="97"/>
      <c r="CSL2" s="97"/>
      <c r="CSM2" s="97"/>
      <c r="CSN2" s="97"/>
      <c r="CSO2" s="97"/>
      <c r="CSP2" s="97"/>
      <c r="CSQ2" s="97"/>
      <c r="CSR2" s="97"/>
      <c r="CSS2" s="97"/>
      <c r="CST2" s="97"/>
      <c r="CSU2" s="97"/>
      <c r="CSV2" s="97"/>
      <c r="CSW2" s="97"/>
      <c r="CSX2" s="97"/>
      <c r="CSY2" s="97"/>
      <c r="CSZ2" s="97"/>
      <c r="CTA2" s="97"/>
      <c r="CTB2" s="97"/>
      <c r="CTC2" s="97"/>
      <c r="CTD2" s="97"/>
      <c r="CTE2" s="97"/>
      <c r="CTF2" s="97"/>
      <c r="CTG2" s="97"/>
      <c r="CTH2" s="97"/>
      <c r="CTI2" s="97"/>
      <c r="CTJ2" s="97"/>
      <c r="CTK2" s="97"/>
      <c r="CTL2" s="97"/>
      <c r="CTM2" s="97"/>
      <c r="CTN2" s="97"/>
      <c r="CTO2" s="97"/>
      <c r="CTP2" s="97"/>
      <c r="CTQ2" s="97"/>
      <c r="CTR2" s="97"/>
      <c r="CTS2" s="97"/>
      <c r="CTT2" s="97"/>
      <c r="CTU2" s="97"/>
      <c r="CTV2" s="97"/>
      <c r="CTW2" s="97"/>
      <c r="CTX2" s="97"/>
      <c r="CTY2" s="97"/>
      <c r="CTZ2" s="97"/>
      <c r="CUA2" s="97"/>
      <c r="CUB2" s="97"/>
      <c r="CUC2" s="97"/>
      <c r="CUD2" s="97"/>
      <c r="CUE2" s="97"/>
      <c r="CUF2" s="97"/>
      <c r="CUG2" s="97"/>
      <c r="CUH2" s="97"/>
      <c r="CUI2" s="97"/>
      <c r="CUJ2" s="97"/>
      <c r="CUK2" s="97"/>
      <c r="CUL2" s="97"/>
      <c r="CUM2" s="97"/>
      <c r="CUN2" s="97"/>
      <c r="CUO2" s="97"/>
      <c r="CUP2" s="97"/>
      <c r="CUQ2" s="97"/>
      <c r="CUR2" s="97"/>
      <c r="CUS2" s="97"/>
      <c r="CUT2" s="97"/>
      <c r="CUU2" s="97"/>
      <c r="CUV2" s="97"/>
      <c r="CUW2" s="97"/>
      <c r="CUX2" s="97"/>
      <c r="CUY2" s="97"/>
      <c r="CUZ2" s="97"/>
      <c r="CVA2" s="97"/>
      <c r="CVB2" s="97"/>
      <c r="CVC2" s="97"/>
      <c r="CVD2" s="97"/>
      <c r="CVE2" s="97"/>
      <c r="CVF2" s="97"/>
      <c r="CVG2" s="97"/>
      <c r="CVH2" s="97"/>
      <c r="CVI2" s="97"/>
      <c r="CVJ2" s="97"/>
      <c r="CVK2" s="97"/>
      <c r="CVL2" s="97"/>
      <c r="CVM2" s="97"/>
      <c r="CVN2" s="97"/>
      <c r="CVO2" s="97"/>
      <c r="CVP2" s="97"/>
      <c r="CVQ2" s="97"/>
      <c r="CVR2" s="97"/>
      <c r="CVS2" s="97"/>
      <c r="CVT2" s="97"/>
      <c r="CVU2" s="97"/>
      <c r="CVV2" s="97"/>
      <c r="CVW2" s="97"/>
      <c r="CVX2" s="97"/>
      <c r="CVY2" s="97"/>
      <c r="CVZ2" s="97"/>
      <c r="CWA2" s="97"/>
      <c r="CWB2" s="97"/>
      <c r="CWC2" s="97"/>
      <c r="CWD2" s="97"/>
      <c r="CWE2" s="97"/>
      <c r="CWF2" s="97"/>
      <c r="CWG2" s="97"/>
      <c r="CWH2" s="97"/>
      <c r="CWI2" s="97"/>
      <c r="CWJ2" s="97"/>
      <c r="CWK2" s="97"/>
      <c r="CWL2" s="97"/>
      <c r="CWM2" s="97"/>
      <c r="CWN2" s="97"/>
      <c r="CWO2" s="97"/>
      <c r="CWP2" s="97"/>
      <c r="CWQ2" s="97"/>
      <c r="CWR2" s="97"/>
      <c r="CWS2" s="97"/>
      <c r="CWT2" s="97"/>
      <c r="CWU2" s="97"/>
      <c r="CWV2" s="97"/>
      <c r="CWW2" s="97"/>
      <c r="CWX2" s="97"/>
      <c r="CWY2" s="97"/>
      <c r="CWZ2" s="97"/>
      <c r="CXA2" s="97"/>
      <c r="CXB2" s="97"/>
      <c r="CXC2" s="97"/>
      <c r="CXD2" s="97"/>
      <c r="CXE2" s="97"/>
      <c r="CXF2" s="97"/>
      <c r="CXG2" s="97"/>
      <c r="CXH2" s="97"/>
      <c r="CXI2" s="97"/>
      <c r="CXJ2" s="97"/>
      <c r="CXK2" s="97"/>
      <c r="CXL2" s="97"/>
      <c r="CXM2" s="97"/>
      <c r="CXN2" s="97"/>
      <c r="CXO2" s="97"/>
      <c r="CXP2" s="97"/>
      <c r="CXQ2" s="97"/>
      <c r="CXR2" s="97"/>
      <c r="CXS2" s="97"/>
      <c r="CXT2" s="97"/>
      <c r="CXU2" s="97"/>
      <c r="CXV2" s="97"/>
      <c r="CXW2" s="97"/>
      <c r="CXX2" s="97"/>
      <c r="CXY2" s="97"/>
      <c r="CXZ2" s="97"/>
      <c r="CYA2" s="97"/>
      <c r="CYB2" s="97"/>
      <c r="CYC2" s="97"/>
      <c r="CYD2" s="97"/>
      <c r="CYE2" s="97"/>
      <c r="CYF2" s="97"/>
      <c r="CYG2" s="97"/>
      <c r="CYH2" s="97"/>
      <c r="CYI2" s="97"/>
      <c r="CYJ2" s="97"/>
      <c r="CYK2" s="97"/>
      <c r="CYL2" s="97"/>
      <c r="CYM2" s="97"/>
      <c r="CYN2" s="97"/>
      <c r="CYO2" s="97"/>
      <c r="CYP2" s="97"/>
      <c r="CYQ2" s="97"/>
      <c r="CYR2" s="97"/>
      <c r="CYS2" s="97"/>
      <c r="CYT2" s="97"/>
      <c r="CYU2" s="97"/>
      <c r="CYV2" s="97"/>
      <c r="CYW2" s="97"/>
      <c r="CYX2" s="97"/>
      <c r="CYY2" s="97"/>
      <c r="CYZ2" s="97"/>
      <c r="CZA2" s="97"/>
      <c r="CZB2" s="97"/>
      <c r="CZC2" s="97"/>
      <c r="CZD2" s="97"/>
      <c r="CZE2" s="97"/>
      <c r="CZF2" s="97"/>
      <c r="CZG2" s="97"/>
      <c r="CZH2" s="97"/>
      <c r="CZI2" s="97"/>
      <c r="CZJ2" s="97"/>
      <c r="CZK2" s="97"/>
      <c r="CZL2" s="97"/>
      <c r="CZM2" s="97"/>
      <c r="CZN2" s="97"/>
      <c r="CZO2" s="97"/>
      <c r="CZP2" s="97"/>
      <c r="CZQ2" s="97"/>
      <c r="CZR2" s="97"/>
      <c r="CZS2" s="97"/>
      <c r="CZT2" s="97"/>
      <c r="CZU2" s="97"/>
      <c r="CZV2" s="97"/>
      <c r="CZW2" s="97"/>
      <c r="CZX2" s="97"/>
      <c r="CZY2" s="97"/>
      <c r="CZZ2" s="97"/>
      <c r="DAA2" s="97"/>
      <c r="DAB2" s="97"/>
      <c r="DAC2" s="97"/>
      <c r="DAD2" s="97"/>
      <c r="DAE2" s="97"/>
      <c r="DAF2" s="97"/>
      <c r="DAG2" s="97"/>
      <c r="DAH2" s="97"/>
      <c r="DAI2" s="97"/>
      <c r="DAJ2" s="97"/>
      <c r="DAK2" s="97"/>
      <c r="DAL2" s="97"/>
      <c r="DAM2" s="97"/>
      <c r="DAN2" s="97"/>
      <c r="DAO2" s="97"/>
      <c r="DAP2" s="97"/>
      <c r="DAQ2" s="97"/>
      <c r="DAR2" s="97"/>
      <c r="DAS2" s="97"/>
      <c r="DAT2" s="97"/>
      <c r="DAU2" s="97"/>
      <c r="DAV2" s="97"/>
      <c r="DAW2" s="97"/>
      <c r="DAX2" s="97"/>
      <c r="DAY2" s="97"/>
      <c r="DAZ2" s="97"/>
      <c r="DBA2" s="97"/>
      <c r="DBB2" s="97"/>
      <c r="DBC2" s="97"/>
      <c r="DBD2" s="97"/>
      <c r="DBE2" s="97"/>
      <c r="DBF2" s="97"/>
      <c r="DBG2" s="97"/>
      <c r="DBH2" s="97"/>
      <c r="DBI2" s="97"/>
      <c r="DBJ2" s="97"/>
      <c r="DBK2" s="97"/>
      <c r="DBL2" s="97"/>
      <c r="DBM2" s="97"/>
      <c r="DBN2" s="97"/>
      <c r="DBO2" s="97"/>
      <c r="DBP2" s="97"/>
      <c r="DBQ2" s="97"/>
      <c r="DBR2" s="97"/>
      <c r="DBS2" s="97"/>
      <c r="DBT2" s="97"/>
      <c r="DBU2" s="97"/>
      <c r="DBV2" s="97"/>
      <c r="DBW2" s="97"/>
      <c r="DBX2" s="97"/>
      <c r="DBY2" s="97"/>
      <c r="DBZ2" s="97"/>
      <c r="DCA2" s="97"/>
      <c r="DCB2" s="97"/>
      <c r="DCC2" s="97"/>
      <c r="DCD2" s="97"/>
      <c r="DCE2" s="97"/>
      <c r="DCF2" s="97"/>
      <c r="DCG2" s="97"/>
      <c r="DCH2" s="97"/>
      <c r="DCI2" s="97"/>
      <c r="DCJ2" s="97"/>
      <c r="DCK2" s="97"/>
      <c r="DCL2" s="97"/>
      <c r="DCM2" s="97"/>
      <c r="DCN2" s="97"/>
      <c r="DCO2" s="97"/>
      <c r="DCP2" s="97"/>
      <c r="DCQ2" s="97"/>
      <c r="DCR2" s="97"/>
      <c r="DCS2" s="97"/>
      <c r="DCT2" s="97"/>
      <c r="DCU2" s="97"/>
      <c r="DCV2" s="97"/>
      <c r="DCW2" s="97"/>
      <c r="DCX2" s="97"/>
      <c r="DCY2" s="97"/>
      <c r="DCZ2" s="97"/>
      <c r="DDA2" s="97"/>
      <c r="DDB2" s="97"/>
      <c r="DDC2" s="97"/>
      <c r="DDD2" s="97"/>
      <c r="DDE2" s="97"/>
      <c r="DDF2" s="97"/>
      <c r="DDG2" s="97"/>
      <c r="DDH2" s="97"/>
      <c r="DDI2" s="97"/>
      <c r="DDJ2" s="97"/>
      <c r="DDK2" s="97"/>
      <c r="DDL2" s="97"/>
      <c r="DDM2" s="97"/>
      <c r="DDN2" s="97"/>
      <c r="DDO2" s="97"/>
      <c r="DDP2" s="97"/>
      <c r="DDQ2" s="97"/>
      <c r="DDR2" s="97"/>
      <c r="DDS2" s="97"/>
      <c r="DDT2" s="97"/>
      <c r="DDU2" s="97"/>
      <c r="DDV2" s="97"/>
      <c r="DDW2" s="97"/>
      <c r="DDX2" s="97"/>
      <c r="DDY2" s="97"/>
      <c r="DDZ2" s="97"/>
      <c r="DEA2" s="97"/>
      <c r="DEB2" s="97"/>
      <c r="DEC2" s="97"/>
      <c r="DED2" s="97"/>
      <c r="DEE2" s="97"/>
      <c r="DEF2" s="97"/>
      <c r="DEG2" s="97"/>
      <c r="DEH2" s="97"/>
      <c r="DEI2" s="97"/>
      <c r="DEJ2" s="97"/>
      <c r="DEK2" s="97"/>
      <c r="DEL2" s="97"/>
      <c r="DEM2" s="97"/>
      <c r="DEN2" s="97"/>
      <c r="DEO2" s="97"/>
      <c r="DEP2" s="97"/>
      <c r="DEQ2" s="97"/>
      <c r="DER2" s="97"/>
      <c r="DES2" s="97"/>
      <c r="DET2" s="97"/>
      <c r="DEU2" s="97"/>
      <c r="DEV2" s="97"/>
      <c r="DEW2" s="97"/>
      <c r="DEX2" s="97"/>
      <c r="DEY2" s="97"/>
      <c r="DEZ2" s="97"/>
      <c r="DFA2" s="97"/>
      <c r="DFB2" s="97"/>
      <c r="DFC2" s="97"/>
      <c r="DFD2" s="97"/>
      <c r="DFE2" s="97"/>
      <c r="DFF2" s="97"/>
      <c r="DFG2" s="97"/>
      <c r="DFH2" s="97"/>
      <c r="DFI2" s="97"/>
      <c r="DFJ2" s="97"/>
      <c r="DFK2" s="97"/>
      <c r="DFL2" s="97"/>
      <c r="DFM2" s="97"/>
      <c r="DFN2" s="97"/>
      <c r="DFO2" s="97"/>
      <c r="DFP2" s="97"/>
      <c r="DFQ2" s="97"/>
      <c r="DFR2" s="97"/>
      <c r="DFS2" s="97"/>
      <c r="DFT2" s="97"/>
      <c r="DFU2" s="97"/>
      <c r="DFV2" s="97"/>
      <c r="DFW2" s="97"/>
      <c r="DFX2" s="97"/>
      <c r="DFY2" s="97"/>
      <c r="DFZ2" s="97"/>
      <c r="DGA2" s="97"/>
      <c r="DGB2" s="97"/>
      <c r="DGC2" s="97"/>
      <c r="DGD2" s="97"/>
      <c r="DGE2" s="97"/>
      <c r="DGF2" s="97"/>
      <c r="DGG2" s="97"/>
      <c r="DGH2" s="97"/>
      <c r="DGI2" s="97"/>
      <c r="DGJ2" s="97"/>
      <c r="DGK2" s="97"/>
      <c r="DGL2" s="97"/>
      <c r="DGM2" s="97"/>
      <c r="DGN2" s="97"/>
      <c r="DGO2" s="97"/>
      <c r="DGP2" s="97"/>
      <c r="DGQ2" s="97"/>
      <c r="DGR2" s="97"/>
      <c r="DGS2" s="97"/>
      <c r="DGT2" s="97"/>
      <c r="DGU2" s="97"/>
      <c r="DGV2" s="97"/>
      <c r="DGW2" s="97"/>
      <c r="DGX2" s="97"/>
      <c r="DGY2" s="97"/>
      <c r="DGZ2" s="97"/>
      <c r="DHA2" s="97"/>
      <c r="DHB2" s="97"/>
      <c r="DHC2" s="97"/>
      <c r="DHD2" s="97"/>
      <c r="DHE2" s="97"/>
      <c r="DHF2" s="97"/>
      <c r="DHG2" s="97"/>
      <c r="DHH2" s="97"/>
      <c r="DHI2" s="97"/>
      <c r="DHJ2" s="97"/>
      <c r="DHK2" s="97"/>
      <c r="DHL2" s="97"/>
      <c r="DHM2" s="97"/>
      <c r="DHN2" s="97"/>
      <c r="DHO2" s="97"/>
      <c r="DHP2" s="97"/>
      <c r="DHQ2" s="97"/>
      <c r="DHR2" s="97"/>
      <c r="DHS2" s="97"/>
      <c r="DHT2" s="97"/>
      <c r="DHU2" s="97"/>
      <c r="DHV2" s="97"/>
      <c r="DHW2" s="97"/>
      <c r="DHX2" s="97"/>
      <c r="DHY2" s="97"/>
      <c r="DHZ2" s="97"/>
      <c r="DIA2" s="97"/>
      <c r="DIB2" s="97"/>
      <c r="DIC2" s="97"/>
      <c r="DID2" s="97"/>
      <c r="DIE2" s="97"/>
      <c r="DIF2" s="97"/>
      <c r="DIG2" s="97"/>
      <c r="DIH2" s="97"/>
      <c r="DII2" s="97"/>
      <c r="DIJ2" s="97"/>
      <c r="DIK2" s="97"/>
      <c r="DIL2" s="97"/>
      <c r="DIM2" s="97"/>
      <c r="DIN2" s="97"/>
      <c r="DIO2" s="97"/>
      <c r="DIP2" s="97"/>
      <c r="DIQ2" s="97"/>
      <c r="DIR2" s="97"/>
      <c r="DIS2" s="97"/>
      <c r="DIT2" s="97"/>
      <c r="DIU2" s="97"/>
      <c r="DIV2" s="97"/>
      <c r="DIW2" s="97"/>
      <c r="DIX2" s="97"/>
      <c r="DIY2" s="97"/>
      <c r="DIZ2" s="97"/>
      <c r="DJA2" s="97"/>
      <c r="DJB2" s="97"/>
      <c r="DJC2" s="97"/>
      <c r="DJD2" s="97"/>
      <c r="DJE2" s="97"/>
      <c r="DJF2" s="97"/>
      <c r="DJG2" s="97"/>
      <c r="DJH2" s="97"/>
      <c r="DJI2" s="97"/>
      <c r="DJJ2" s="97"/>
      <c r="DJK2" s="97"/>
      <c r="DJL2" s="97"/>
      <c r="DJM2" s="97"/>
      <c r="DJN2" s="97"/>
      <c r="DJO2" s="97"/>
      <c r="DJP2" s="97"/>
      <c r="DJQ2" s="97"/>
      <c r="DJR2" s="97"/>
      <c r="DJS2" s="97"/>
      <c r="DJT2" s="97"/>
      <c r="DJU2" s="97"/>
      <c r="DJV2" s="97"/>
      <c r="DJW2" s="97"/>
      <c r="DJX2" s="97"/>
      <c r="DJY2" s="97"/>
      <c r="DJZ2" s="97"/>
      <c r="DKA2" s="97"/>
      <c r="DKB2" s="97"/>
      <c r="DKC2" s="97"/>
      <c r="DKD2" s="97"/>
      <c r="DKE2" s="97"/>
      <c r="DKF2" s="97"/>
      <c r="DKG2" s="97"/>
      <c r="DKH2" s="97"/>
      <c r="DKI2" s="97"/>
      <c r="DKJ2" s="97"/>
      <c r="DKK2" s="97"/>
      <c r="DKL2" s="97"/>
      <c r="DKM2" s="97"/>
      <c r="DKN2" s="97"/>
      <c r="DKO2" s="97"/>
      <c r="DKP2" s="97"/>
      <c r="DKQ2" s="97"/>
      <c r="DKR2" s="97"/>
      <c r="DKS2" s="97"/>
      <c r="DKT2" s="97"/>
      <c r="DKU2" s="97"/>
      <c r="DKV2" s="97"/>
      <c r="DKW2" s="97"/>
      <c r="DKX2" s="97"/>
      <c r="DKY2" s="97"/>
      <c r="DKZ2" s="97"/>
      <c r="DLA2" s="97"/>
      <c r="DLB2" s="97"/>
      <c r="DLC2" s="97"/>
      <c r="DLD2" s="97"/>
      <c r="DLE2" s="97"/>
      <c r="DLF2" s="97"/>
      <c r="DLG2" s="97"/>
      <c r="DLH2" s="97"/>
      <c r="DLI2" s="97"/>
      <c r="DLJ2" s="97"/>
      <c r="DLK2" s="97"/>
      <c r="DLL2" s="97"/>
      <c r="DLM2" s="97"/>
      <c r="DLN2" s="97"/>
      <c r="DLO2" s="97"/>
      <c r="DLP2" s="97"/>
      <c r="DLQ2" s="97"/>
      <c r="DLR2" s="97"/>
      <c r="DLS2" s="97"/>
      <c r="DLT2" s="97"/>
      <c r="DLU2" s="97"/>
      <c r="DLV2" s="97"/>
      <c r="DLW2" s="97"/>
      <c r="DLX2" s="97"/>
      <c r="DLY2" s="97"/>
      <c r="DLZ2" s="97"/>
      <c r="DMA2" s="97"/>
      <c r="DMB2" s="97"/>
      <c r="DMC2" s="97"/>
      <c r="DMD2" s="97"/>
      <c r="DME2" s="97"/>
      <c r="DMF2" s="97"/>
      <c r="DMG2" s="97"/>
      <c r="DMH2" s="97"/>
      <c r="DMI2" s="97"/>
      <c r="DMJ2" s="97"/>
      <c r="DMK2" s="97"/>
      <c r="DML2" s="97"/>
      <c r="DMM2" s="97"/>
      <c r="DMN2" s="97"/>
      <c r="DMO2" s="97"/>
      <c r="DMP2" s="97"/>
      <c r="DMQ2" s="97"/>
      <c r="DMR2" s="97"/>
      <c r="DMS2" s="97"/>
      <c r="DMT2" s="97"/>
      <c r="DMU2" s="97"/>
      <c r="DMV2" s="97"/>
      <c r="DMW2" s="97"/>
      <c r="DMX2" s="97"/>
      <c r="DMY2" s="97"/>
      <c r="DMZ2" s="97"/>
      <c r="DNA2" s="97"/>
      <c r="DNB2" s="97"/>
      <c r="DNC2" s="97"/>
      <c r="DND2" s="97"/>
      <c r="DNE2" s="97"/>
      <c r="DNF2" s="97"/>
      <c r="DNG2" s="97"/>
      <c r="DNH2" s="97"/>
      <c r="DNI2" s="97"/>
      <c r="DNJ2" s="97"/>
      <c r="DNK2" s="97"/>
      <c r="DNL2" s="97"/>
      <c r="DNM2" s="97"/>
      <c r="DNN2" s="97"/>
      <c r="DNO2" s="97"/>
      <c r="DNP2" s="97"/>
      <c r="DNQ2" s="97"/>
      <c r="DNR2" s="97"/>
      <c r="DNS2" s="97"/>
      <c r="DNT2" s="97"/>
      <c r="DNU2" s="97"/>
      <c r="DNV2" s="97"/>
      <c r="DNW2" s="97"/>
      <c r="DNX2" s="97"/>
      <c r="DNY2" s="97"/>
      <c r="DNZ2" s="97"/>
      <c r="DOA2" s="97"/>
      <c r="DOB2" s="97"/>
      <c r="DOC2" s="97"/>
      <c r="DOD2" s="97"/>
      <c r="DOE2" s="97"/>
      <c r="DOF2" s="97"/>
      <c r="DOG2" s="97"/>
      <c r="DOH2" s="97"/>
      <c r="DOI2" s="97"/>
      <c r="DOJ2" s="97"/>
      <c r="DOK2" s="97"/>
      <c r="DOL2" s="97"/>
      <c r="DOM2" s="97"/>
      <c r="DON2" s="97"/>
      <c r="DOO2" s="97"/>
      <c r="DOP2" s="97"/>
      <c r="DOQ2" s="97"/>
      <c r="DOR2" s="97"/>
      <c r="DOS2" s="97"/>
      <c r="DOT2" s="97"/>
      <c r="DOU2" s="97"/>
      <c r="DOV2" s="97"/>
      <c r="DOW2" s="97"/>
      <c r="DOX2" s="97"/>
      <c r="DOY2" s="97"/>
      <c r="DOZ2" s="97"/>
      <c r="DPA2" s="97"/>
      <c r="DPB2" s="97"/>
      <c r="DPC2" s="97"/>
      <c r="DPD2" s="97"/>
      <c r="DPE2" s="97"/>
      <c r="DPF2" s="97"/>
      <c r="DPG2" s="97"/>
      <c r="DPH2" s="97"/>
      <c r="DPI2" s="97"/>
      <c r="DPJ2" s="97"/>
      <c r="DPK2" s="97"/>
      <c r="DPL2" s="97"/>
      <c r="DPM2" s="97"/>
      <c r="DPN2" s="97"/>
      <c r="DPO2" s="97"/>
      <c r="DPP2" s="97"/>
      <c r="DPQ2" s="97"/>
      <c r="DPR2" s="97"/>
      <c r="DPS2" s="97"/>
      <c r="DPT2" s="97"/>
      <c r="DPU2" s="97"/>
      <c r="DPV2" s="97"/>
      <c r="DPW2" s="97"/>
      <c r="DPX2" s="97"/>
      <c r="DPY2" s="97"/>
      <c r="DPZ2" s="97"/>
      <c r="DQA2" s="97"/>
      <c r="DQB2" s="97"/>
      <c r="DQC2" s="97"/>
      <c r="DQD2" s="97"/>
      <c r="DQE2" s="97"/>
      <c r="DQF2" s="97"/>
      <c r="DQG2" s="97"/>
      <c r="DQH2" s="97"/>
      <c r="DQI2" s="97"/>
      <c r="DQJ2" s="97"/>
      <c r="DQK2" s="97"/>
      <c r="DQL2" s="97"/>
      <c r="DQM2" s="97"/>
      <c r="DQN2" s="97"/>
      <c r="DQO2" s="97"/>
      <c r="DQP2" s="97"/>
      <c r="DQQ2" s="97"/>
      <c r="DQR2" s="97"/>
      <c r="DQS2" s="97"/>
      <c r="DQT2" s="97"/>
      <c r="DQU2" s="97"/>
      <c r="DQV2" s="97"/>
      <c r="DQW2" s="97"/>
      <c r="DQX2" s="97"/>
      <c r="DQY2" s="97"/>
      <c r="DQZ2" s="97"/>
      <c r="DRA2" s="97"/>
      <c r="DRB2" s="97"/>
      <c r="DRC2" s="97"/>
      <c r="DRD2" s="97"/>
      <c r="DRE2" s="97"/>
      <c r="DRF2" s="97"/>
      <c r="DRG2" s="97"/>
      <c r="DRH2" s="97"/>
      <c r="DRI2" s="97"/>
      <c r="DRJ2" s="97"/>
      <c r="DRK2" s="97"/>
      <c r="DRL2" s="97"/>
      <c r="DRM2" s="97"/>
      <c r="DRN2" s="97"/>
      <c r="DRO2" s="97"/>
      <c r="DRP2" s="97"/>
      <c r="DRQ2" s="97"/>
      <c r="DRR2" s="97"/>
      <c r="DRS2" s="97"/>
      <c r="DRT2" s="97"/>
      <c r="DRU2" s="97"/>
      <c r="DRV2" s="97"/>
      <c r="DRW2" s="97"/>
      <c r="DRX2" s="97"/>
      <c r="DRY2" s="97"/>
      <c r="DRZ2" s="97"/>
      <c r="DSA2" s="97"/>
      <c r="DSB2" s="97"/>
      <c r="DSC2" s="97"/>
      <c r="DSD2" s="97"/>
      <c r="DSE2" s="97"/>
      <c r="DSF2" s="97"/>
      <c r="DSG2" s="97"/>
      <c r="DSH2" s="97"/>
      <c r="DSI2" s="97"/>
      <c r="DSJ2" s="97"/>
      <c r="DSK2" s="97"/>
      <c r="DSL2" s="97"/>
      <c r="DSM2" s="97"/>
      <c r="DSN2" s="97"/>
      <c r="DSO2" s="97"/>
      <c r="DSP2" s="97"/>
      <c r="DSQ2" s="97"/>
      <c r="DSR2" s="97"/>
      <c r="DSS2" s="97"/>
      <c r="DST2" s="97"/>
      <c r="DSU2" s="97"/>
      <c r="DSV2" s="97"/>
      <c r="DSW2" s="97"/>
      <c r="DSX2" s="97"/>
      <c r="DSY2" s="97"/>
      <c r="DSZ2" s="97"/>
      <c r="DTA2" s="97"/>
      <c r="DTB2" s="97"/>
      <c r="DTC2" s="97"/>
      <c r="DTD2" s="97"/>
      <c r="DTE2" s="97"/>
      <c r="DTF2" s="97"/>
      <c r="DTG2" s="97"/>
      <c r="DTH2" s="97"/>
      <c r="DTI2" s="97"/>
      <c r="DTJ2" s="97"/>
      <c r="DTK2" s="97"/>
      <c r="DTL2" s="97"/>
      <c r="DTM2" s="97"/>
      <c r="DTN2" s="97"/>
      <c r="DTO2" s="97"/>
      <c r="DTP2" s="97"/>
      <c r="DTQ2" s="97"/>
      <c r="DTR2" s="97"/>
      <c r="DTS2" s="97"/>
      <c r="DTT2" s="97"/>
      <c r="DTU2" s="97"/>
      <c r="DTV2" s="97"/>
      <c r="DTW2" s="97"/>
      <c r="DTX2" s="97"/>
      <c r="DTY2" s="97"/>
      <c r="DTZ2" s="97"/>
      <c r="DUA2" s="97"/>
      <c r="DUB2" s="97"/>
      <c r="DUC2" s="97"/>
      <c r="DUD2" s="97"/>
      <c r="DUE2" s="97"/>
      <c r="DUF2" s="97"/>
      <c r="DUG2" s="97"/>
      <c r="DUH2" s="97"/>
      <c r="DUI2" s="97"/>
      <c r="DUJ2" s="97"/>
      <c r="DUK2" s="97"/>
      <c r="DUL2" s="97"/>
      <c r="DUM2" s="97"/>
      <c r="DUN2" s="97"/>
      <c r="DUO2" s="97"/>
      <c r="DUP2" s="97"/>
      <c r="DUQ2" s="97"/>
      <c r="DUR2" s="97"/>
      <c r="DUS2" s="97"/>
      <c r="DUT2" s="97"/>
      <c r="DUU2" s="97"/>
      <c r="DUV2" s="97"/>
      <c r="DUW2" s="97"/>
      <c r="DUX2" s="97"/>
      <c r="DUY2" s="97"/>
      <c r="DUZ2" s="97"/>
      <c r="DVA2" s="97"/>
      <c r="DVB2" s="97"/>
      <c r="DVC2" s="97"/>
      <c r="DVD2" s="97"/>
      <c r="DVE2" s="97"/>
      <c r="DVF2" s="97"/>
      <c r="DVG2" s="97"/>
      <c r="DVH2" s="97"/>
      <c r="DVI2" s="97"/>
      <c r="DVJ2" s="97"/>
      <c r="DVK2" s="97"/>
      <c r="DVL2" s="97"/>
      <c r="DVM2" s="97"/>
      <c r="DVN2" s="97"/>
      <c r="DVO2" s="97"/>
      <c r="DVP2" s="97"/>
      <c r="DVQ2" s="97"/>
      <c r="DVR2" s="97"/>
      <c r="DVS2" s="97"/>
      <c r="DVT2" s="97"/>
      <c r="DVU2" s="97"/>
      <c r="DVV2" s="97"/>
      <c r="DVW2" s="97"/>
      <c r="DVX2" s="97"/>
      <c r="DVY2" s="97"/>
      <c r="DVZ2" s="97"/>
      <c r="DWA2" s="97"/>
      <c r="DWB2" s="97"/>
      <c r="DWC2" s="97"/>
      <c r="DWD2" s="97"/>
      <c r="DWE2" s="97"/>
      <c r="DWF2" s="97"/>
      <c r="DWG2" s="97"/>
      <c r="DWH2" s="97"/>
      <c r="DWI2" s="97"/>
      <c r="DWJ2" s="97"/>
      <c r="DWK2" s="97"/>
      <c r="DWL2" s="97"/>
      <c r="DWM2" s="97"/>
      <c r="DWN2" s="97"/>
      <c r="DWO2" s="97"/>
      <c r="DWP2" s="97"/>
      <c r="DWQ2" s="97"/>
      <c r="DWR2" s="97"/>
      <c r="DWS2" s="97"/>
      <c r="DWT2" s="97"/>
      <c r="DWU2" s="97"/>
      <c r="DWV2" s="97"/>
      <c r="DWW2" s="97"/>
      <c r="DWX2" s="97"/>
      <c r="DWY2" s="97"/>
      <c r="DWZ2" s="97"/>
      <c r="DXA2" s="97"/>
      <c r="DXB2" s="97"/>
      <c r="DXC2" s="97"/>
      <c r="DXD2" s="97"/>
      <c r="DXE2" s="97"/>
      <c r="DXF2" s="97"/>
      <c r="DXG2" s="97"/>
      <c r="DXH2" s="97"/>
      <c r="DXI2" s="97"/>
      <c r="DXJ2" s="97"/>
      <c r="DXK2" s="97"/>
      <c r="DXL2" s="97"/>
      <c r="DXM2" s="97"/>
      <c r="DXN2" s="97"/>
      <c r="DXO2" s="97"/>
      <c r="DXP2" s="97"/>
      <c r="DXQ2" s="97"/>
      <c r="DXR2" s="97"/>
      <c r="DXS2" s="97"/>
      <c r="DXT2" s="97"/>
      <c r="DXU2" s="97"/>
      <c r="DXV2" s="97"/>
      <c r="DXW2" s="97"/>
      <c r="DXX2" s="97"/>
      <c r="DXY2" s="97"/>
      <c r="DXZ2" s="97"/>
      <c r="DYA2" s="97"/>
      <c r="DYB2" s="97"/>
      <c r="DYC2" s="97"/>
      <c r="DYD2" s="97"/>
      <c r="DYE2" s="97"/>
      <c r="DYF2" s="97"/>
      <c r="DYG2" s="97"/>
      <c r="DYH2" s="97"/>
      <c r="DYI2" s="97"/>
      <c r="DYJ2" s="97"/>
      <c r="DYK2" s="97"/>
      <c r="DYL2" s="97"/>
      <c r="DYM2" s="97"/>
      <c r="DYN2" s="97"/>
      <c r="DYO2" s="97"/>
      <c r="DYP2" s="97"/>
      <c r="DYQ2" s="97"/>
      <c r="DYR2" s="97"/>
      <c r="DYS2" s="97"/>
      <c r="DYT2" s="97"/>
      <c r="DYU2" s="97"/>
      <c r="DYV2" s="97"/>
      <c r="DYW2" s="97"/>
      <c r="DYX2" s="97"/>
      <c r="DYY2" s="97"/>
      <c r="DYZ2" s="97"/>
      <c r="DZA2" s="97"/>
      <c r="DZB2" s="97"/>
      <c r="DZC2" s="97"/>
      <c r="DZD2" s="97"/>
      <c r="DZE2" s="97"/>
      <c r="DZF2" s="97"/>
      <c r="DZG2" s="97"/>
      <c r="DZH2" s="97"/>
      <c r="DZI2" s="97"/>
      <c r="DZJ2" s="97"/>
      <c r="DZK2" s="97"/>
      <c r="DZL2" s="97"/>
      <c r="DZM2" s="97"/>
      <c r="DZN2" s="97"/>
      <c r="DZO2" s="97"/>
      <c r="DZP2" s="97"/>
      <c r="DZQ2" s="97"/>
      <c r="DZR2" s="97"/>
      <c r="DZS2" s="97"/>
      <c r="DZT2" s="97"/>
      <c r="DZU2" s="97"/>
      <c r="DZV2" s="97"/>
      <c r="DZW2" s="97"/>
      <c r="DZX2" s="97"/>
      <c r="DZY2" s="97"/>
      <c r="DZZ2" s="97"/>
      <c r="EAA2" s="97"/>
      <c r="EAB2" s="97"/>
      <c r="EAC2" s="97"/>
      <c r="EAD2" s="97"/>
      <c r="EAE2" s="97"/>
      <c r="EAF2" s="97"/>
      <c r="EAG2" s="97"/>
      <c r="EAH2" s="97"/>
      <c r="EAI2" s="97"/>
      <c r="EAJ2" s="97"/>
      <c r="EAK2" s="97"/>
      <c r="EAL2" s="97"/>
      <c r="EAM2" s="97"/>
      <c r="EAN2" s="97"/>
      <c r="EAO2" s="97"/>
      <c r="EAP2" s="97"/>
      <c r="EAQ2" s="97"/>
      <c r="EAR2" s="97"/>
      <c r="EAS2" s="97"/>
      <c r="EAT2" s="97"/>
      <c r="EAU2" s="97"/>
      <c r="EAV2" s="97"/>
      <c r="EAW2" s="97"/>
      <c r="EAX2" s="97"/>
      <c r="EAY2" s="97"/>
      <c r="EAZ2" s="97"/>
      <c r="EBA2" s="97"/>
      <c r="EBB2" s="97"/>
      <c r="EBC2" s="97"/>
      <c r="EBD2" s="97"/>
      <c r="EBE2" s="97"/>
      <c r="EBF2" s="97"/>
      <c r="EBG2" s="97"/>
      <c r="EBH2" s="97"/>
      <c r="EBI2" s="97"/>
      <c r="EBJ2" s="97"/>
      <c r="EBK2" s="97"/>
      <c r="EBL2" s="97"/>
      <c r="EBM2" s="97"/>
      <c r="EBN2" s="97"/>
      <c r="EBO2" s="97"/>
      <c r="EBP2" s="97"/>
      <c r="EBQ2" s="97"/>
      <c r="EBR2" s="97"/>
      <c r="EBS2" s="97"/>
      <c r="EBT2" s="97"/>
      <c r="EBU2" s="97"/>
      <c r="EBV2" s="97"/>
      <c r="EBW2" s="97"/>
      <c r="EBX2" s="97"/>
      <c r="EBY2" s="97"/>
      <c r="EBZ2" s="97"/>
      <c r="ECA2" s="97"/>
      <c r="ECB2" s="97"/>
      <c r="ECC2" s="97"/>
      <c r="ECD2" s="97"/>
      <c r="ECE2" s="97"/>
      <c r="ECF2" s="97"/>
      <c r="ECG2" s="97"/>
      <c r="ECH2" s="97"/>
      <c r="ECI2" s="97"/>
      <c r="ECJ2" s="97"/>
      <c r="ECK2" s="97"/>
      <c r="ECL2" s="97"/>
      <c r="ECM2" s="97"/>
      <c r="ECN2" s="97"/>
      <c r="ECO2" s="97"/>
      <c r="ECP2" s="97"/>
      <c r="ECQ2" s="97"/>
      <c r="ECR2" s="97"/>
      <c r="ECS2" s="97"/>
      <c r="ECT2" s="97"/>
      <c r="ECU2" s="97"/>
      <c r="ECV2" s="97"/>
      <c r="ECW2" s="97"/>
      <c r="ECX2" s="97"/>
      <c r="ECY2" s="97"/>
      <c r="ECZ2" s="97"/>
      <c r="EDA2" s="97"/>
      <c r="EDB2" s="97"/>
      <c r="EDC2" s="97"/>
      <c r="EDD2" s="97"/>
      <c r="EDE2" s="97"/>
      <c r="EDF2" s="97"/>
      <c r="EDG2" s="97"/>
      <c r="EDH2" s="97"/>
      <c r="EDI2" s="97"/>
      <c r="EDJ2" s="97"/>
      <c r="EDK2" s="97"/>
      <c r="EDL2" s="97"/>
      <c r="EDM2" s="97"/>
      <c r="EDN2" s="97"/>
      <c r="EDO2" s="97"/>
      <c r="EDP2" s="97"/>
      <c r="EDQ2" s="97"/>
      <c r="EDR2" s="97"/>
      <c r="EDS2" s="97"/>
      <c r="EDT2" s="97"/>
      <c r="EDU2" s="97"/>
      <c r="EDV2" s="97"/>
      <c r="EDW2" s="97"/>
      <c r="EDX2" s="97"/>
      <c r="EDY2" s="97"/>
      <c r="EDZ2" s="97"/>
      <c r="EEA2" s="97"/>
      <c r="EEB2" s="97"/>
      <c r="EEC2" s="97"/>
      <c r="EED2" s="97"/>
      <c r="EEE2" s="97"/>
      <c r="EEF2" s="97"/>
      <c r="EEG2" s="97"/>
      <c r="EEH2" s="97"/>
      <c r="EEI2" s="97"/>
      <c r="EEJ2" s="97"/>
      <c r="EEK2" s="97"/>
      <c r="EEL2" s="97"/>
      <c r="EEM2" s="97"/>
      <c r="EEN2" s="97"/>
      <c r="EEO2" s="97"/>
      <c r="EEP2" s="97"/>
      <c r="EEQ2" s="97"/>
      <c r="EER2" s="97"/>
      <c r="EES2" s="97"/>
      <c r="EET2" s="97"/>
      <c r="EEU2" s="97"/>
      <c r="EEV2" s="97"/>
      <c r="EEW2" s="97"/>
      <c r="EEX2" s="97"/>
      <c r="EEY2" s="97"/>
      <c r="EEZ2" s="97"/>
      <c r="EFA2" s="97"/>
      <c r="EFB2" s="97"/>
      <c r="EFC2" s="97"/>
      <c r="EFD2" s="97"/>
      <c r="EFE2" s="97"/>
      <c r="EFF2" s="97"/>
      <c r="EFG2" s="97"/>
      <c r="EFH2" s="97"/>
      <c r="EFI2" s="97"/>
      <c r="EFJ2" s="97"/>
      <c r="EFK2" s="97"/>
      <c r="EFL2" s="97"/>
      <c r="EFM2" s="97"/>
      <c r="EFN2" s="97"/>
      <c r="EFO2" s="97"/>
      <c r="EFP2" s="97"/>
      <c r="EFQ2" s="97"/>
      <c r="EFR2" s="97"/>
      <c r="EFS2" s="97"/>
      <c r="EFT2" s="97"/>
      <c r="EFU2" s="97"/>
      <c r="EFV2" s="97"/>
      <c r="EFW2" s="97"/>
      <c r="EFX2" s="97"/>
      <c r="EFY2" s="97"/>
      <c r="EFZ2" s="97"/>
      <c r="EGA2" s="97"/>
      <c r="EGB2" s="97"/>
      <c r="EGC2" s="97"/>
      <c r="EGD2" s="97"/>
      <c r="EGE2" s="97"/>
      <c r="EGF2" s="97"/>
      <c r="EGG2" s="97"/>
      <c r="EGH2" s="97"/>
      <c r="EGI2" s="97"/>
      <c r="EGJ2" s="97"/>
      <c r="EGK2" s="97"/>
      <c r="EGL2" s="97"/>
      <c r="EGM2" s="97"/>
      <c r="EGN2" s="97"/>
      <c r="EGO2" s="97"/>
      <c r="EGP2" s="97"/>
      <c r="EGQ2" s="97"/>
      <c r="EGR2" s="97"/>
      <c r="EGS2" s="97"/>
      <c r="EGT2" s="97"/>
      <c r="EGU2" s="97"/>
      <c r="EGV2" s="97"/>
      <c r="EGW2" s="97"/>
      <c r="EGX2" s="97"/>
      <c r="EGY2" s="97"/>
      <c r="EGZ2" s="97"/>
      <c r="EHA2" s="97"/>
      <c r="EHB2" s="97"/>
      <c r="EHC2" s="97"/>
      <c r="EHD2" s="97"/>
      <c r="EHE2" s="97"/>
      <c r="EHF2" s="97"/>
      <c r="EHG2" s="97"/>
      <c r="EHH2" s="97"/>
      <c r="EHI2" s="97"/>
      <c r="EHJ2" s="97"/>
      <c r="EHK2" s="97"/>
      <c r="EHL2" s="97"/>
      <c r="EHM2" s="97"/>
      <c r="EHN2" s="97"/>
      <c r="EHO2" s="97"/>
      <c r="EHP2" s="97"/>
      <c r="EHQ2" s="97"/>
      <c r="EHR2" s="97"/>
      <c r="EHS2" s="97"/>
      <c r="EHT2" s="97"/>
      <c r="EHU2" s="97"/>
      <c r="EHV2" s="97"/>
      <c r="EHW2" s="97"/>
      <c r="EHX2" s="97"/>
      <c r="EHY2" s="97"/>
      <c r="EHZ2" s="97"/>
      <c r="EIA2" s="97"/>
      <c r="EIB2" s="97"/>
      <c r="EIC2" s="97"/>
      <c r="EID2" s="97"/>
      <c r="EIE2" s="97"/>
      <c r="EIF2" s="97"/>
      <c r="EIG2" s="97"/>
      <c r="EIH2" s="97"/>
      <c r="EII2" s="97"/>
      <c r="EIJ2" s="97"/>
      <c r="EIK2" s="97"/>
      <c r="EIL2" s="97"/>
      <c r="EIM2" s="97"/>
      <c r="EIN2" s="97"/>
      <c r="EIO2" s="97"/>
      <c r="EIP2" s="97"/>
      <c r="EIQ2" s="97"/>
      <c r="EIR2" s="97"/>
      <c r="EIS2" s="97"/>
      <c r="EIT2" s="97"/>
      <c r="EIU2" s="97"/>
      <c r="EIV2" s="97"/>
      <c r="EIW2" s="97"/>
      <c r="EIX2" s="97"/>
      <c r="EIY2" s="97"/>
      <c r="EIZ2" s="97"/>
      <c r="EJA2" s="97"/>
      <c r="EJB2" s="97"/>
      <c r="EJC2" s="97"/>
      <c r="EJD2" s="97"/>
      <c r="EJE2" s="97"/>
      <c r="EJF2" s="97"/>
      <c r="EJG2" s="97"/>
      <c r="EJH2" s="97"/>
      <c r="EJI2" s="97"/>
      <c r="EJJ2" s="97"/>
      <c r="EJK2" s="97"/>
      <c r="EJL2" s="97"/>
      <c r="EJM2" s="97"/>
      <c r="EJN2" s="97"/>
      <c r="EJO2" s="97"/>
      <c r="EJP2" s="97"/>
      <c r="EJQ2" s="97"/>
      <c r="EJR2" s="97"/>
      <c r="EJS2" s="97"/>
      <c r="EJT2" s="97"/>
      <c r="EJU2" s="97"/>
      <c r="EJV2" s="97"/>
      <c r="EJW2" s="97"/>
      <c r="EJX2" s="97"/>
      <c r="EJY2" s="97"/>
      <c r="EJZ2" s="97"/>
      <c r="EKA2" s="97"/>
      <c r="EKB2" s="97"/>
      <c r="EKC2" s="97"/>
      <c r="EKD2" s="97"/>
      <c r="EKE2" s="97"/>
      <c r="EKF2" s="97"/>
      <c r="EKG2" s="97"/>
      <c r="EKH2" s="97"/>
      <c r="EKI2" s="97"/>
      <c r="EKJ2" s="97"/>
      <c r="EKK2" s="97"/>
      <c r="EKL2" s="97"/>
      <c r="EKM2" s="97"/>
      <c r="EKN2" s="97"/>
      <c r="EKO2" s="97"/>
      <c r="EKP2" s="97"/>
      <c r="EKQ2" s="97"/>
      <c r="EKR2" s="97"/>
      <c r="EKS2" s="97"/>
      <c r="EKT2" s="97"/>
      <c r="EKU2" s="97"/>
      <c r="EKV2" s="97"/>
      <c r="EKW2" s="97"/>
      <c r="EKX2" s="97"/>
      <c r="EKY2" s="97"/>
      <c r="EKZ2" s="97"/>
      <c r="ELA2" s="97"/>
      <c r="ELB2" s="97"/>
      <c r="ELC2" s="97"/>
      <c r="ELD2" s="97"/>
      <c r="ELE2" s="97"/>
      <c r="ELF2" s="97"/>
      <c r="ELG2" s="97"/>
      <c r="ELH2" s="97"/>
      <c r="ELI2" s="97"/>
      <c r="ELJ2" s="97"/>
      <c r="ELK2" s="97"/>
      <c r="ELL2" s="97"/>
      <c r="ELM2" s="97"/>
      <c r="ELN2" s="97"/>
      <c r="ELO2" s="97"/>
      <c r="ELP2" s="97"/>
      <c r="ELQ2" s="97"/>
      <c r="ELR2" s="97"/>
      <c r="ELS2" s="97"/>
      <c r="ELT2" s="97"/>
      <c r="ELU2" s="97"/>
      <c r="ELV2" s="97"/>
      <c r="ELW2" s="97"/>
      <c r="ELX2" s="97"/>
      <c r="ELY2" s="97"/>
      <c r="ELZ2" s="97"/>
      <c r="EMA2" s="97"/>
      <c r="EMB2" s="97"/>
      <c r="EMC2" s="97"/>
      <c r="EMD2" s="97"/>
      <c r="EME2" s="97"/>
      <c r="EMF2" s="97"/>
      <c r="EMG2" s="97"/>
      <c r="EMH2" s="97"/>
      <c r="EMI2" s="97"/>
      <c r="EMJ2" s="97"/>
      <c r="EMK2" s="97"/>
      <c r="EML2" s="97"/>
      <c r="EMM2" s="97"/>
      <c r="EMN2" s="97"/>
      <c r="EMO2" s="97"/>
      <c r="EMP2" s="97"/>
      <c r="EMQ2" s="97"/>
      <c r="EMR2" s="97"/>
      <c r="EMS2" s="97"/>
      <c r="EMT2" s="97"/>
      <c r="EMU2" s="97"/>
      <c r="EMV2" s="97"/>
      <c r="EMW2" s="97"/>
      <c r="EMX2" s="97"/>
      <c r="EMY2" s="97"/>
      <c r="EMZ2" s="97"/>
      <c r="ENA2" s="97"/>
      <c r="ENB2" s="97"/>
      <c r="ENC2" s="97"/>
      <c r="END2" s="97"/>
      <c r="ENE2" s="97"/>
      <c r="ENF2" s="97"/>
      <c r="ENG2" s="97"/>
      <c r="ENH2" s="97"/>
      <c r="ENI2" s="97"/>
      <c r="ENJ2" s="97"/>
      <c r="ENK2" s="97"/>
      <c r="ENL2" s="97"/>
      <c r="ENM2" s="97"/>
      <c r="ENN2" s="97"/>
      <c r="ENO2" s="97"/>
      <c r="ENP2" s="97"/>
      <c r="ENQ2" s="97"/>
      <c r="ENR2" s="97"/>
      <c r="ENS2" s="97"/>
      <c r="ENT2" s="97"/>
      <c r="ENU2" s="97"/>
      <c r="ENV2" s="97"/>
      <c r="ENW2" s="97"/>
      <c r="ENX2" s="97"/>
      <c r="ENY2" s="97"/>
      <c r="ENZ2" s="97"/>
      <c r="EOA2" s="97"/>
      <c r="EOB2" s="97"/>
      <c r="EOC2" s="97"/>
      <c r="EOD2" s="97"/>
      <c r="EOE2" s="97"/>
      <c r="EOF2" s="97"/>
      <c r="EOG2" s="97"/>
      <c r="EOH2" s="97"/>
      <c r="EOI2" s="97"/>
      <c r="EOJ2" s="97"/>
      <c r="EOK2" s="97"/>
      <c r="EOL2" s="97"/>
      <c r="EOM2" s="97"/>
      <c r="EON2" s="97"/>
      <c r="EOO2" s="97"/>
      <c r="EOP2" s="97"/>
      <c r="EOQ2" s="97"/>
      <c r="EOR2" s="97"/>
      <c r="EOS2" s="97"/>
      <c r="EOT2" s="97"/>
      <c r="EOU2" s="97"/>
      <c r="EOV2" s="97"/>
      <c r="EOW2" s="97"/>
      <c r="EOX2" s="97"/>
      <c r="EOY2" s="97"/>
      <c r="EOZ2" s="97"/>
      <c r="EPA2" s="97"/>
      <c r="EPB2" s="97"/>
      <c r="EPC2" s="97"/>
      <c r="EPD2" s="97"/>
      <c r="EPE2" s="97"/>
      <c r="EPF2" s="97"/>
      <c r="EPG2" s="97"/>
      <c r="EPH2" s="97"/>
      <c r="EPI2" s="97"/>
      <c r="EPJ2" s="97"/>
      <c r="EPK2" s="97"/>
      <c r="EPL2" s="97"/>
      <c r="EPM2" s="97"/>
      <c r="EPN2" s="97"/>
      <c r="EPO2" s="97"/>
      <c r="EPP2" s="97"/>
      <c r="EPQ2" s="97"/>
      <c r="EPR2" s="97"/>
      <c r="EPS2" s="97"/>
      <c r="EPT2" s="97"/>
      <c r="EPU2" s="97"/>
      <c r="EPV2" s="97"/>
      <c r="EPW2" s="97"/>
      <c r="EPX2" s="97"/>
      <c r="EPY2" s="97"/>
      <c r="EPZ2" s="97"/>
      <c r="EQA2" s="97"/>
      <c r="EQB2" s="97"/>
      <c r="EQC2" s="97"/>
      <c r="EQD2" s="97"/>
      <c r="EQE2" s="97"/>
      <c r="EQF2" s="97"/>
      <c r="EQG2" s="97"/>
      <c r="EQH2" s="97"/>
      <c r="EQI2" s="97"/>
      <c r="EQJ2" s="97"/>
      <c r="EQK2" s="97"/>
      <c r="EQL2" s="97"/>
      <c r="EQM2" s="97"/>
      <c r="EQN2" s="97"/>
      <c r="EQO2" s="97"/>
      <c r="EQP2" s="97"/>
      <c r="EQQ2" s="97"/>
      <c r="EQR2" s="97"/>
      <c r="EQS2" s="97"/>
      <c r="EQT2" s="97"/>
      <c r="EQU2" s="97"/>
      <c r="EQV2" s="97"/>
      <c r="EQW2" s="97"/>
      <c r="EQX2" s="97"/>
      <c r="EQY2" s="97"/>
      <c r="EQZ2" s="97"/>
      <c r="ERA2" s="97"/>
      <c r="ERB2" s="97"/>
      <c r="ERC2" s="97"/>
      <c r="ERD2" s="97"/>
      <c r="ERE2" s="97"/>
      <c r="ERF2" s="97"/>
      <c r="ERG2" s="97"/>
      <c r="ERH2" s="97"/>
      <c r="ERI2" s="97"/>
      <c r="ERJ2" s="97"/>
      <c r="ERK2" s="97"/>
      <c r="ERL2" s="97"/>
      <c r="ERM2" s="97"/>
      <c r="ERN2" s="97"/>
      <c r="ERO2" s="97"/>
      <c r="ERP2" s="97"/>
      <c r="ERQ2" s="97"/>
      <c r="ERR2" s="97"/>
      <c r="ERS2" s="97"/>
      <c r="ERT2" s="97"/>
      <c r="ERU2" s="97"/>
      <c r="ERV2" s="97"/>
      <c r="ERW2" s="97"/>
      <c r="ERX2" s="97"/>
      <c r="ERY2" s="97"/>
      <c r="ERZ2" s="97"/>
      <c r="ESA2" s="97"/>
      <c r="ESB2" s="97"/>
      <c r="ESC2" s="97"/>
      <c r="ESD2" s="97"/>
      <c r="ESE2" s="97"/>
      <c r="ESF2" s="97"/>
      <c r="ESG2" s="97"/>
      <c r="ESH2" s="97"/>
      <c r="ESI2" s="97"/>
      <c r="ESJ2" s="97"/>
      <c r="ESK2" s="97"/>
      <c r="ESL2" s="97"/>
      <c r="ESM2" s="97"/>
      <c r="ESN2" s="97"/>
      <c r="ESO2" s="97"/>
      <c r="ESP2" s="97"/>
      <c r="ESQ2" s="97"/>
      <c r="ESR2" s="97"/>
      <c r="ESS2" s="97"/>
      <c r="EST2" s="97"/>
      <c r="ESU2" s="97"/>
      <c r="ESV2" s="97"/>
      <c r="ESW2" s="97"/>
      <c r="ESX2" s="97"/>
      <c r="ESY2" s="97"/>
      <c r="ESZ2" s="97"/>
      <c r="ETA2" s="97"/>
      <c r="ETB2" s="97"/>
      <c r="ETC2" s="97"/>
      <c r="ETD2" s="97"/>
      <c r="ETE2" s="97"/>
      <c r="ETF2" s="97"/>
      <c r="ETG2" s="97"/>
      <c r="ETH2" s="97"/>
      <c r="ETI2" s="97"/>
      <c r="ETJ2" s="97"/>
      <c r="ETK2" s="97"/>
      <c r="ETL2" s="97"/>
      <c r="ETM2" s="97"/>
      <c r="ETN2" s="97"/>
      <c r="ETO2" s="97"/>
      <c r="ETP2" s="97"/>
      <c r="ETQ2" s="97"/>
      <c r="ETR2" s="97"/>
      <c r="ETS2" s="97"/>
      <c r="ETT2" s="97"/>
      <c r="ETU2" s="97"/>
      <c r="ETV2" s="97"/>
      <c r="ETW2" s="97"/>
      <c r="ETX2" s="97"/>
      <c r="ETY2" s="97"/>
      <c r="ETZ2" s="97"/>
      <c r="EUA2" s="97"/>
      <c r="EUB2" s="97"/>
      <c r="EUC2" s="97"/>
      <c r="EUD2" s="97"/>
      <c r="EUE2" s="97"/>
      <c r="EUF2" s="97"/>
      <c r="EUG2" s="97"/>
      <c r="EUH2" s="97"/>
      <c r="EUI2" s="97"/>
      <c r="EUJ2" s="97"/>
      <c r="EUK2" s="97"/>
      <c r="EUL2" s="97"/>
      <c r="EUM2" s="97"/>
      <c r="EUN2" s="97"/>
      <c r="EUO2" s="97"/>
      <c r="EUP2" s="97"/>
      <c r="EUQ2" s="97"/>
      <c r="EUR2" s="97"/>
      <c r="EUS2" s="97"/>
      <c r="EUT2" s="97"/>
      <c r="EUU2" s="97"/>
      <c r="EUV2" s="97"/>
      <c r="EUW2" s="97"/>
      <c r="EUX2" s="97"/>
      <c r="EUY2" s="97"/>
      <c r="EUZ2" s="97"/>
      <c r="EVA2" s="97"/>
      <c r="EVB2" s="97"/>
      <c r="EVC2" s="97"/>
      <c r="EVD2" s="97"/>
      <c r="EVE2" s="97"/>
      <c r="EVF2" s="97"/>
      <c r="EVG2" s="97"/>
      <c r="EVH2" s="97"/>
      <c r="EVI2" s="97"/>
      <c r="EVJ2" s="97"/>
      <c r="EVK2" s="97"/>
      <c r="EVL2" s="97"/>
      <c r="EVM2" s="97"/>
      <c r="EVN2" s="97"/>
      <c r="EVO2" s="97"/>
      <c r="EVP2" s="97"/>
      <c r="EVQ2" s="97"/>
      <c r="EVR2" s="97"/>
      <c r="EVS2" s="97"/>
      <c r="EVT2" s="97"/>
      <c r="EVU2" s="97"/>
      <c r="EVV2" s="97"/>
      <c r="EVW2" s="97"/>
      <c r="EVX2" s="97"/>
      <c r="EVY2" s="97"/>
      <c r="EVZ2" s="97"/>
      <c r="EWA2" s="97"/>
      <c r="EWB2" s="97"/>
      <c r="EWC2" s="97"/>
      <c r="EWD2" s="97"/>
      <c r="EWE2" s="97"/>
      <c r="EWF2" s="97"/>
      <c r="EWG2" s="97"/>
      <c r="EWH2" s="97"/>
      <c r="EWI2" s="97"/>
      <c r="EWJ2" s="97"/>
      <c r="EWK2" s="97"/>
      <c r="EWL2" s="97"/>
      <c r="EWM2" s="97"/>
      <c r="EWN2" s="97"/>
      <c r="EWO2" s="97"/>
      <c r="EWP2" s="97"/>
      <c r="EWQ2" s="97"/>
      <c r="EWR2" s="97"/>
      <c r="EWS2" s="97"/>
      <c r="EWT2" s="97"/>
      <c r="EWU2" s="97"/>
      <c r="EWV2" s="97"/>
      <c r="EWW2" s="97"/>
      <c r="EWX2" s="97"/>
      <c r="EWY2" s="97"/>
      <c r="EWZ2" s="97"/>
      <c r="EXA2" s="97"/>
      <c r="EXB2" s="97"/>
      <c r="EXC2" s="97"/>
      <c r="EXD2" s="97"/>
      <c r="EXE2" s="97"/>
      <c r="EXF2" s="97"/>
      <c r="EXG2" s="97"/>
      <c r="EXH2" s="97"/>
      <c r="EXI2" s="97"/>
      <c r="EXJ2" s="97"/>
      <c r="EXK2" s="97"/>
      <c r="EXL2" s="97"/>
      <c r="EXM2" s="97"/>
      <c r="EXN2" s="97"/>
      <c r="EXO2" s="97"/>
      <c r="EXP2" s="97"/>
      <c r="EXQ2" s="97"/>
      <c r="EXR2" s="97"/>
      <c r="EXS2" s="97"/>
      <c r="EXT2" s="97"/>
      <c r="EXU2" s="97"/>
      <c r="EXV2" s="97"/>
      <c r="EXW2" s="97"/>
      <c r="EXX2" s="97"/>
      <c r="EXY2" s="97"/>
      <c r="EXZ2" s="97"/>
      <c r="EYA2" s="97"/>
      <c r="EYB2" s="97"/>
      <c r="EYC2" s="97"/>
      <c r="EYD2" s="97"/>
      <c r="EYE2" s="97"/>
      <c r="EYF2" s="97"/>
      <c r="EYG2" s="97"/>
      <c r="EYH2" s="97"/>
      <c r="EYI2" s="97"/>
      <c r="EYJ2" s="97"/>
      <c r="EYK2" s="97"/>
      <c r="EYL2" s="97"/>
      <c r="EYM2" s="97"/>
      <c r="EYN2" s="97"/>
      <c r="EYO2" s="97"/>
      <c r="EYP2" s="97"/>
      <c r="EYQ2" s="97"/>
      <c r="EYR2" s="97"/>
      <c r="EYS2" s="97"/>
      <c r="EYT2" s="97"/>
      <c r="EYU2" s="97"/>
      <c r="EYV2" s="97"/>
      <c r="EYW2" s="97"/>
      <c r="EYX2" s="97"/>
      <c r="EYY2" s="97"/>
      <c r="EYZ2" s="97"/>
      <c r="EZA2" s="97"/>
      <c r="EZB2" s="97"/>
      <c r="EZC2" s="97"/>
      <c r="EZD2" s="97"/>
      <c r="EZE2" s="97"/>
      <c r="EZF2" s="97"/>
      <c r="EZG2" s="97"/>
      <c r="EZH2" s="97"/>
      <c r="EZI2" s="97"/>
      <c r="EZJ2" s="97"/>
      <c r="EZK2" s="97"/>
      <c r="EZL2" s="97"/>
      <c r="EZM2" s="97"/>
      <c r="EZN2" s="97"/>
      <c r="EZO2" s="97"/>
      <c r="EZP2" s="97"/>
      <c r="EZQ2" s="97"/>
      <c r="EZR2" s="97"/>
      <c r="EZS2" s="97"/>
      <c r="EZT2" s="97"/>
      <c r="EZU2" s="97"/>
      <c r="EZV2" s="97"/>
      <c r="EZW2" s="97"/>
      <c r="EZX2" s="97"/>
      <c r="EZY2" s="97"/>
      <c r="EZZ2" s="97"/>
      <c r="FAA2" s="97"/>
      <c r="FAB2" s="97"/>
      <c r="FAC2" s="97"/>
      <c r="FAD2" s="97"/>
      <c r="FAE2" s="97"/>
      <c r="FAF2" s="97"/>
      <c r="FAG2" s="97"/>
      <c r="FAH2" s="97"/>
      <c r="FAI2" s="97"/>
      <c r="FAJ2" s="97"/>
      <c r="FAK2" s="97"/>
      <c r="FAL2" s="97"/>
      <c r="FAM2" s="97"/>
      <c r="FAN2" s="97"/>
      <c r="FAO2" s="97"/>
      <c r="FAP2" s="97"/>
      <c r="FAQ2" s="97"/>
      <c r="FAR2" s="97"/>
      <c r="FAS2" s="97"/>
      <c r="FAT2" s="97"/>
      <c r="FAU2" s="97"/>
      <c r="FAV2" s="97"/>
      <c r="FAW2" s="97"/>
      <c r="FAX2" s="97"/>
      <c r="FAY2" s="97"/>
      <c r="FAZ2" s="97"/>
      <c r="FBA2" s="97"/>
      <c r="FBB2" s="97"/>
      <c r="FBC2" s="97"/>
      <c r="FBD2" s="97"/>
      <c r="FBE2" s="97"/>
      <c r="FBF2" s="97"/>
      <c r="FBG2" s="97"/>
      <c r="FBH2" s="97"/>
      <c r="FBI2" s="97"/>
      <c r="FBJ2" s="97"/>
      <c r="FBK2" s="97"/>
      <c r="FBL2" s="97"/>
      <c r="FBM2" s="97"/>
      <c r="FBN2" s="97"/>
      <c r="FBO2" s="97"/>
      <c r="FBP2" s="97"/>
      <c r="FBQ2" s="97"/>
      <c r="FBR2" s="97"/>
      <c r="FBS2" s="97"/>
      <c r="FBT2" s="97"/>
      <c r="FBU2" s="97"/>
      <c r="FBV2" s="97"/>
      <c r="FBW2" s="97"/>
      <c r="FBX2" s="97"/>
      <c r="FBY2" s="97"/>
      <c r="FBZ2" s="97"/>
      <c r="FCA2" s="97"/>
      <c r="FCB2" s="97"/>
      <c r="FCC2" s="97"/>
      <c r="FCD2" s="97"/>
      <c r="FCE2" s="97"/>
      <c r="FCF2" s="97"/>
      <c r="FCG2" s="97"/>
      <c r="FCH2" s="97"/>
      <c r="FCI2" s="97"/>
      <c r="FCJ2" s="97"/>
      <c r="FCK2" s="97"/>
      <c r="FCL2" s="97"/>
      <c r="FCM2" s="97"/>
      <c r="FCN2" s="97"/>
      <c r="FCO2" s="97"/>
      <c r="FCP2" s="97"/>
      <c r="FCQ2" s="97"/>
      <c r="FCR2" s="97"/>
      <c r="FCS2" s="97"/>
      <c r="FCT2" s="97"/>
      <c r="FCU2" s="97"/>
      <c r="FCV2" s="97"/>
      <c r="FCW2" s="97"/>
      <c r="FCX2" s="97"/>
      <c r="FCY2" s="97"/>
      <c r="FCZ2" s="97"/>
      <c r="FDA2" s="97"/>
      <c r="FDB2" s="97"/>
      <c r="FDC2" s="97"/>
      <c r="FDD2" s="97"/>
      <c r="FDE2" s="97"/>
      <c r="FDF2" s="97"/>
      <c r="FDG2" s="97"/>
      <c r="FDH2" s="97"/>
      <c r="FDI2" s="97"/>
      <c r="FDJ2" s="97"/>
      <c r="FDK2" s="97"/>
      <c r="FDL2" s="97"/>
      <c r="FDM2" s="97"/>
      <c r="FDN2" s="97"/>
      <c r="FDO2" s="97"/>
      <c r="FDP2" s="97"/>
      <c r="FDQ2" s="97"/>
      <c r="FDR2" s="97"/>
      <c r="FDS2" s="97"/>
      <c r="FDT2" s="97"/>
      <c r="FDU2" s="97"/>
      <c r="FDV2" s="97"/>
      <c r="FDW2" s="97"/>
      <c r="FDX2" s="97"/>
      <c r="FDY2" s="97"/>
      <c r="FDZ2" s="97"/>
      <c r="FEA2" s="97"/>
      <c r="FEB2" s="97"/>
      <c r="FEC2" s="97"/>
      <c r="FED2" s="97"/>
      <c r="FEE2" s="97"/>
      <c r="FEF2" s="97"/>
      <c r="FEG2" s="97"/>
      <c r="FEH2" s="97"/>
      <c r="FEI2" s="97"/>
      <c r="FEJ2" s="97"/>
      <c r="FEK2" s="97"/>
      <c r="FEL2" s="97"/>
      <c r="FEM2" s="97"/>
      <c r="FEN2" s="97"/>
      <c r="FEO2" s="97"/>
      <c r="FEP2" s="97"/>
      <c r="FEQ2" s="97"/>
      <c r="FER2" s="97"/>
      <c r="FES2" s="97"/>
      <c r="FET2" s="97"/>
      <c r="FEU2" s="97"/>
      <c r="FEV2" s="97"/>
      <c r="FEW2" s="97"/>
      <c r="FEX2" s="97"/>
      <c r="FEY2" s="97"/>
      <c r="FEZ2" s="97"/>
      <c r="FFA2" s="97"/>
      <c r="FFB2" s="97"/>
      <c r="FFC2" s="97"/>
      <c r="FFD2" s="97"/>
      <c r="FFE2" s="97"/>
      <c r="FFF2" s="97"/>
      <c r="FFG2" s="97"/>
      <c r="FFH2" s="97"/>
      <c r="FFI2" s="97"/>
      <c r="FFJ2" s="97"/>
      <c r="FFK2" s="97"/>
      <c r="FFL2" s="97"/>
      <c r="FFM2" s="97"/>
      <c r="FFN2" s="97"/>
      <c r="FFO2" s="97"/>
      <c r="FFP2" s="97"/>
      <c r="FFQ2" s="97"/>
      <c r="FFR2" s="97"/>
      <c r="FFS2" s="97"/>
      <c r="FFT2" s="97"/>
      <c r="FFU2" s="97"/>
      <c r="FFV2" s="97"/>
      <c r="FFW2" s="97"/>
      <c r="FFX2" s="97"/>
      <c r="FFY2" s="97"/>
      <c r="FFZ2" s="97"/>
      <c r="FGA2" s="97"/>
      <c r="FGB2" s="97"/>
      <c r="FGC2" s="97"/>
      <c r="FGD2" s="97"/>
      <c r="FGE2" s="97"/>
      <c r="FGF2" s="97"/>
      <c r="FGG2" s="97"/>
      <c r="FGH2" s="97"/>
      <c r="FGI2" s="97"/>
      <c r="FGJ2" s="97"/>
      <c r="FGK2" s="97"/>
      <c r="FGL2" s="97"/>
      <c r="FGM2" s="97"/>
      <c r="FGN2" s="97"/>
      <c r="FGO2" s="97"/>
      <c r="FGP2" s="97"/>
      <c r="FGQ2" s="97"/>
      <c r="FGR2" s="97"/>
      <c r="FGS2" s="97"/>
      <c r="FGT2" s="97"/>
      <c r="FGU2" s="97"/>
      <c r="FGV2" s="97"/>
      <c r="FGW2" s="97"/>
      <c r="FGX2" s="97"/>
      <c r="FGY2" s="97"/>
      <c r="FGZ2" s="97"/>
      <c r="FHA2" s="97"/>
      <c r="FHB2" s="97"/>
      <c r="FHC2" s="97"/>
      <c r="FHD2" s="97"/>
      <c r="FHE2" s="97"/>
      <c r="FHF2" s="97"/>
      <c r="FHG2" s="97"/>
      <c r="FHH2" s="97"/>
      <c r="FHI2" s="97"/>
      <c r="FHJ2" s="97"/>
      <c r="FHK2" s="97"/>
      <c r="FHL2" s="97"/>
      <c r="FHM2" s="97"/>
      <c r="FHN2" s="97"/>
      <c r="FHO2" s="97"/>
      <c r="FHP2" s="97"/>
      <c r="FHQ2" s="97"/>
      <c r="FHR2" s="97"/>
      <c r="FHS2" s="97"/>
      <c r="FHT2" s="97"/>
      <c r="FHU2" s="97"/>
      <c r="FHV2" s="97"/>
      <c r="FHW2" s="97"/>
      <c r="FHX2" s="97"/>
      <c r="FHY2" s="97"/>
      <c r="FHZ2" s="97"/>
      <c r="FIA2" s="97"/>
      <c r="FIB2" s="97"/>
      <c r="FIC2" s="97"/>
      <c r="FID2" s="97"/>
      <c r="FIE2" s="97"/>
      <c r="FIF2" s="97"/>
      <c r="FIG2" s="97"/>
      <c r="FIH2" s="97"/>
      <c r="FII2" s="97"/>
      <c r="FIJ2" s="97"/>
      <c r="FIK2" s="97"/>
      <c r="FIL2" s="97"/>
      <c r="FIM2" s="97"/>
      <c r="FIN2" s="97"/>
      <c r="FIO2" s="97"/>
      <c r="FIP2" s="97"/>
      <c r="FIQ2" s="97"/>
      <c r="FIR2" s="97"/>
      <c r="FIS2" s="97"/>
      <c r="FIT2" s="97"/>
      <c r="FIU2" s="97"/>
      <c r="FIV2" s="97"/>
      <c r="FIW2" s="97"/>
      <c r="FIX2" s="97"/>
      <c r="FIY2" s="97"/>
      <c r="FIZ2" s="97"/>
      <c r="FJA2" s="97"/>
      <c r="FJB2" s="97"/>
      <c r="FJC2" s="97"/>
      <c r="FJD2" s="97"/>
      <c r="FJE2" s="97"/>
      <c r="FJF2" s="97"/>
      <c r="FJG2" s="97"/>
      <c r="FJH2" s="97"/>
      <c r="FJI2" s="97"/>
      <c r="FJJ2" s="97"/>
      <c r="FJK2" s="97"/>
      <c r="FJL2" s="97"/>
      <c r="FJM2" s="97"/>
      <c r="FJN2" s="97"/>
      <c r="FJO2" s="97"/>
      <c r="FJP2" s="97"/>
      <c r="FJQ2" s="97"/>
      <c r="FJR2" s="97"/>
      <c r="FJS2" s="97"/>
      <c r="FJT2" s="97"/>
      <c r="FJU2" s="97"/>
      <c r="FJV2" s="97"/>
      <c r="FJW2" s="97"/>
      <c r="FJX2" s="97"/>
      <c r="FJY2" s="97"/>
      <c r="FJZ2" s="97"/>
      <c r="FKA2" s="97"/>
      <c r="FKB2" s="97"/>
      <c r="FKC2" s="97"/>
      <c r="FKD2" s="97"/>
      <c r="FKE2" s="97"/>
      <c r="FKF2" s="97"/>
      <c r="FKG2" s="97"/>
      <c r="FKH2" s="97"/>
      <c r="FKI2" s="97"/>
      <c r="FKJ2" s="97"/>
      <c r="FKK2" s="97"/>
      <c r="FKL2" s="97"/>
      <c r="FKM2" s="97"/>
      <c r="FKN2" s="97"/>
      <c r="FKO2" s="97"/>
      <c r="FKP2" s="97"/>
      <c r="FKQ2" s="97"/>
      <c r="FKR2" s="97"/>
      <c r="FKS2" s="97"/>
      <c r="FKT2" s="97"/>
      <c r="FKU2" s="97"/>
      <c r="FKV2" s="97"/>
      <c r="FKW2" s="97"/>
      <c r="FKX2" s="97"/>
      <c r="FKY2" s="97"/>
      <c r="FKZ2" s="97"/>
      <c r="FLA2" s="97"/>
      <c r="FLB2" s="97"/>
      <c r="FLC2" s="97"/>
      <c r="FLD2" s="97"/>
      <c r="FLE2" s="97"/>
      <c r="FLF2" s="97"/>
      <c r="FLG2" s="97"/>
      <c r="FLH2" s="97"/>
      <c r="FLI2" s="97"/>
      <c r="FLJ2" s="97"/>
      <c r="FLK2" s="97"/>
      <c r="FLL2" s="97"/>
      <c r="FLM2" s="97"/>
      <c r="FLN2" s="97"/>
      <c r="FLO2" s="97"/>
      <c r="FLP2" s="97"/>
      <c r="FLQ2" s="97"/>
      <c r="FLR2" s="97"/>
      <c r="FLS2" s="97"/>
      <c r="FLT2" s="97"/>
      <c r="FLU2" s="97"/>
      <c r="FLV2" s="97"/>
      <c r="FLW2" s="97"/>
      <c r="FLX2" s="97"/>
      <c r="FLY2" s="97"/>
      <c r="FLZ2" s="97"/>
      <c r="FMA2" s="97"/>
      <c r="FMB2" s="97"/>
      <c r="FMC2" s="97"/>
      <c r="FMD2" s="97"/>
      <c r="FME2" s="97"/>
      <c r="FMF2" s="97"/>
      <c r="FMG2" s="97"/>
      <c r="FMH2" s="97"/>
      <c r="FMI2" s="97"/>
      <c r="FMJ2" s="97"/>
      <c r="FMK2" s="97"/>
      <c r="FML2" s="97"/>
      <c r="FMM2" s="97"/>
      <c r="FMN2" s="97"/>
      <c r="FMO2" s="97"/>
      <c r="FMP2" s="97"/>
      <c r="FMQ2" s="97"/>
      <c r="FMR2" s="97"/>
      <c r="FMS2" s="97"/>
      <c r="FMT2" s="97"/>
      <c r="FMU2" s="97"/>
      <c r="FMV2" s="97"/>
      <c r="FMW2" s="97"/>
      <c r="FMX2" s="97"/>
      <c r="FMY2" s="97"/>
      <c r="FMZ2" s="97"/>
      <c r="FNA2" s="97"/>
      <c r="FNB2" s="97"/>
      <c r="FNC2" s="97"/>
      <c r="FND2" s="97"/>
      <c r="FNE2" s="97"/>
      <c r="FNF2" s="97"/>
      <c r="FNG2" s="97"/>
      <c r="FNH2" s="97"/>
      <c r="FNI2" s="97"/>
      <c r="FNJ2" s="97"/>
      <c r="FNK2" s="97"/>
      <c r="FNL2" s="97"/>
      <c r="FNM2" s="97"/>
      <c r="FNN2" s="97"/>
      <c r="FNO2" s="97"/>
      <c r="FNP2" s="97"/>
      <c r="FNQ2" s="97"/>
      <c r="FNR2" s="97"/>
      <c r="FNS2" s="97"/>
      <c r="FNT2" s="97"/>
      <c r="FNU2" s="97"/>
      <c r="FNV2" s="97"/>
      <c r="FNW2" s="97"/>
      <c r="FNX2" s="97"/>
      <c r="FNY2" s="97"/>
      <c r="FNZ2" s="97"/>
      <c r="FOA2" s="97"/>
      <c r="FOB2" s="97"/>
      <c r="FOC2" s="97"/>
      <c r="FOD2" s="97"/>
      <c r="FOE2" s="97"/>
      <c r="FOF2" s="97"/>
      <c r="FOG2" s="97"/>
      <c r="FOH2" s="97"/>
      <c r="FOI2" s="97"/>
      <c r="FOJ2" s="97"/>
      <c r="FOK2" s="97"/>
      <c r="FOL2" s="97"/>
      <c r="FOM2" s="97"/>
      <c r="FON2" s="97"/>
      <c r="FOO2" s="97"/>
      <c r="FOP2" s="97"/>
      <c r="FOQ2" s="97"/>
      <c r="FOR2" s="97"/>
      <c r="FOS2" s="97"/>
      <c r="FOT2" s="97"/>
      <c r="FOU2" s="97"/>
      <c r="FOV2" s="97"/>
      <c r="FOW2" s="97"/>
      <c r="FOX2" s="97"/>
      <c r="FOY2" s="97"/>
      <c r="FOZ2" s="97"/>
      <c r="FPA2" s="97"/>
      <c r="FPB2" s="97"/>
      <c r="FPC2" s="97"/>
      <c r="FPD2" s="97"/>
      <c r="FPE2" s="97"/>
      <c r="FPF2" s="97"/>
      <c r="FPG2" s="97"/>
      <c r="FPH2" s="97"/>
      <c r="FPI2" s="97"/>
      <c r="FPJ2" s="97"/>
      <c r="FPK2" s="97"/>
      <c r="FPL2" s="97"/>
      <c r="FPM2" s="97"/>
      <c r="FPN2" s="97"/>
      <c r="FPO2" s="97"/>
      <c r="FPP2" s="97"/>
      <c r="FPQ2" s="97"/>
      <c r="FPR2" s="97"/>
      <c r="FPS2" s="97"/>
      <c r="FPT2" s="97"/>
      <c r="FPU2" s="97"/>
      <c r="FPV2" s="97"/>
      <c r="FPW2" s="97"/>
      <c r="FPX2" s="97"/>
      <c r="FPY2" s="97"/>
      <c r="FPZ2" s="97"/>
      <c r="FQA2" s="97"/>
      <c r="FQB2" s="97"/>
      <c r="FQC2" s="97"/>
      <c r="FQD2" s="97"/>
      <c r="FQE2" s="97"/>
      <c r="FQF2" s="97"/>
      <c r="FQG2" s="97"/>
      <c r="FQH2" s="97"/>
      <c r="FQI2" s="97"/>
      <c r="FQJ2" s="97"/>
      <c r="FQK2" s="97"/>
      <c r="FQL2" s="97"/>
      <c r="FQM2" s="97"/>
      <c r="FQN2" s="97"/>
      <c r="FQO2" s="97"/>
      <c r="FQP2" s="97"/>
      <c r="FQQ2" s="97"/>
      <c r="FQR2" s="97"/>
      <c r="FQS2" s="97"/>
      <c r="FQT2" s="97"/>
      <c r="FQU2" s="97"/>
      <c r="FQV2" s="97"/>
      <c r="FQW2" s="97"/>
      <c r="FQX2" s="97"/>
      <c r="FQY2" s="97"/>
      <c r="FQZ2" s="97"/>
      <c r="FRA2" s="97"/>
      <c r="FRB2" s="97"/>
      <c r="FRC2" s="97"/>
      <c r="FRD2" s="97"/>
      <c r="FRE2" s="97"/>
      <c r="FRF2" s="97"/>
      <c r="FRG2" s="97"/>
      <c r="FRH2" s="97"/>
      <c r="FRI2" s="97"/>
      <c r="FRJ2" s="97"/>
      <c r="FRK2" s="97"/>
      <c r="FRL2" s="97"/>
      <c r="FRM2" s="97"/>
      <c r="FRN2" s="97"/>
      <c r="FRO2" s="97"/>
      <c r="FRP2" s="97"/>
      <c r="FRQ2" s="97"/>
      <c r="FRR2" s="97"/>
      <c r="FRS2" s="97"/>
      <c r="FRT2" s="97"/>
      <c r="FRU2" s="97"/>
      <c r="FRV2" s="97"/>
      <c r="FRW2" s="97"/>
      <c r="FRX2" s="97"/>
      <c r="FRY2" s="97"/>
      <c r="FRZ2" s="97"/>
      <c r="FSA2" s="97"/>
      <c r="FSB2" s="97"/>
      <c r="FSC2" s="97"/>
      <c r="FSD2" s="97"/>
      <c r="FSE2" s="97"/>
      <c r="FSF2" s="97"/>
      <c r="FSG2" s="97"/>
      <c r="FSH2" s="97"/>
      <c r="FSI2" s="97"/>
      <c r="FSJ2" s="97"/>
      <c r="FSK2" s="97"/>
      <c r="FSL2" s="97"/>
      <c r="FSM2" s="97"/>
      <c r="FSN2" s="97"/>
      <c r="FSO2" s="97"/>
      <c r="FSP2" s="97"/>
      <c r="FSQ2" s="97"/>
      <c r="FSR2" s="97"/>
      <c r="FSS2" s="97"/>
      <c r="FST2" s="97"/>
      <c r="FSU2" s="97"/>
      <c r="FSV2" s="97"/>
      <c r="FSW2" s="97"/>
      <c r="FSX2" s="97"/>
      <c r="FSY2" s="97"/>
      <c r="FSZ2" s="97"/>
      <c r="FTA2" s="97"/>
      <c r="FTB2" s="97"/>
      <c r="FTC2" s="97"/>
      <c r="FTD2" s="97"/>
      <c r="FTE2" s="97"/>
      <c r="FTF2" s="97"/>
      <c r="FTG2" s="97"/>
      <c r="FTH2" s="97"/>
      <c r="FTI2" s="97"/>
      <c r="FTJ2" s="97"/>
      <c r="FTK2" s="97"/>
      <c r="FTL2" s="97"/>
      <c r="FTM2" s="97"/>
      <c r="FTN2" s="97"/>
      <c r="FTO2" s="97"/>
      <c r="FTP2" s="97"/>
      <c r="FTQ2" s="97"/>
      <c r="FTR2" s="97"/>
      <c r="FTS2" s="97"/>
      <c r="FTT2" s="97"/>
      <c r="FTU2" s="97"/>
      <c r="FTV2" s="97"/>
      <c r="FTW2" s="97"/>
      <c r="FTX2" s="97"/>
      <c r="FTY2" s="97"/>
      <c r="FTZ2" s="97"/>
      <c r="FUA2" s="97"/>
      <c r="FUB2" s="97"/>
      <c r="FUC2" s="97"/>
      <c r="FUD2" s="97"/>
      <c r="FUE2" s="97"/>
      <c r="FUF2" s="97"/>
      <c r="FUG2" s="97"/>
      <c r="FUH2" s="97"/>
      <c r="FUI2" s="97"/>
      <c r="FUJ2" s="97"/>
      <c r="FUK2" s="97"/>
      <c r="FUL2" s="97"/>
      <c r="FUM2" s="97"/>
      <c r="FUN2" s="97"/>
      <c r="FUO2" s="97"/>
      <c r="FUP2" s="97"/>
      <c r="FUQ2" s="97"/>
      <c r="FUR2" s="97"/>
      <c r="FUS2" s="97"/>
      <c r="FUT2" s="97"/>
      <c r="FUU2" s="97"/>
      <c r="FUV2" s="97"/>
      <c r="FUW2" s="97"/>
      <c r="FUX2" s="97"/>
      <c r="FUY2" s="97"/>
      <c r="FUZ2" s="97"/>
      <c r="FVA2" s="97"/>
      <c r="FVB2" s="97"/>
      <c r="FVC2" s="97"/>
      <c r="FVD2" s="97"/>
      <c r="FVE2" s="97"/>
      <c r="FVF2" s="97"/>
      <c r="FVG2" s="97"/>
      <c r="FVH2" s="97"/>
      <c r="FVI2" s="97"/>
      <c r="FVJ2" s="97"/>
      <c r="FVK2" s="97"/>
      <c r="FVL2" s="97"/>
      <c r="FVM2" s="97"/>
      <c r="FVN2" s="97"/>
      <c r="FVO2" s="97"/>
      <c r="FVP2" s="97"/>
      <c r="FVQ2" s="97"/>
      <c r="FVR2" s="97"/>
      <c r="FVS2" s="97"/>
      <c r="FVT2" s="97"/>
      <c r="FVU2" s="97"/>
      <c r="FVV2" s="97"/>
      <c r="FVW2" s="97"/>
      <c r="FVX2" s="97"/>
      <c r="FVY2" s="97"/>
      <c r="FVZ2" s="97"/>
      <c r="FWA2" s="97"/>
      <c r="FWB2" s="97"/>
      <c r="FWC2" s="97"/>
      <c r="FWD2" s="97"/>
      <c r="FWE2" s="97"/>
      <c r="FWF2" s="97"/>
      <c r="FWG2" s="97"/>
      <c r="FWH2" s="97"/>
      <c r="FWI2" s="97"/>
      <c r="FWJ2" s="97"/>
      <c r="FWK2" s="97"/>
      <c r="FWL2" s="97"/>
      <c r="FWM2" s="97"/>
      <c r="FWN2" s="97"/>
      <c r="FWO2" s="97"/>
      <c r="FWP2" s="97"/>
      <c r="FWQ2" s="97"/>
      <c r="FWR2" s="97"/>
      <c r="FWS2" s="97"/>
      <c r="FWT2" s="97"/>
      <c r="FWU2" s="97"/>
      <c r="FWV2" s="97"/>
      <c r="FWW2" s="97"/>
      <c r="FWX2" s="97"/>
      <c r="FWY2" s="97"/>
      <c r="FWZ2" s="97"/>
      <c r="FXA2" s="97"/>
      <c r="FXB2" s="97"/>
      <c r="FXC2" s="97"/>
      <c r="FXD2" s="97"/>
      <c r="FXE2" s="97"/>
      <c r="FXF2" s="97"/>
      <c r="FXG2" s="97"/>
      <c r="FXH2" s="97"/>
      <c r="FXI2" s="97"/>
      <c r="FXJ2" s="97"/>
      <c r="FXK2" s="97"/>
      <c r="FXL2" s="97"/>
      <c r="FXM2" s="97"/>
      <c r="FXN2" s="97"/>
      <c r="FXO2" s="97"/>
      <c r="FXP2" s="97"/>
      <c r="FXQ2" s="97"/>
      <c r="FXR2" s="97"/>
      <c r="FXS2" s="97"/>
      <c r="FXT2" s="97"/>
      <c r="FXU2" s="97"/>
      <c r="FXV2" s="97"/>
      <c r="FXW2" s="97"/>
      <c r="FXX2" s="97"/>
      <c r="FXY2" s="97"/>
      <c r="FXZ2" s="97"/>
      <c r="FYA2" s="97"/>
      <c r="FYB2" s="97"/>
      <c r="FYC2" s="97"/>
      <c r="FYD2" s="97"/>
      <c r="FYE2" s="97"/>
      <c r="FYF2" s="97"/>
      <c r="FYG2" s="97"/>
      <c r="FYH2" s="97"/>
      <c r="FYI2" s="97"/>
      <c r="FYJ2" s="97"/>
      <c r="FYK2" s="97"/>
      <c r="FYL2" s="97"/>
      <c r="FYM2" s="97"/>
      <c r="FYN2" s="97"/>
      <c r="FYO2" s="97"/>
      <c r="FYP2" s="97"/>
      <c r="FYQ2" s="97"/>
      <c r="FYR2" s="97"/>
      <c r="FYS2" s="97"/>
      <c r="FYT2" s="97"/>
      <c r="FYU2" s="97"/>
      <c r="FYV2" s="97"/>
      <c r="FYW2" s="97"/>
      <c r="FYX2" s="97"/>
      <c r="FYY2" s="97"/>
      <c r="FYZ2" s="97"/>
      <c r="FZA2" s="97"/>
      <c r="FZB2" s="97"/>
      <c r="FZC2" s="97"/>
      <c r="FZD2" s="97"/>
      <c r="FZE2" s="97"/>
      <c r="FZF2" s="97"/>
      <c r="FZG2" s="97"/>
      <c r="FZH2" s="97"/>
      <c r="FZI2" s="97"/>
      <c r="FZJ2" s="97"/>
      <c r="FZK2" s="97"/>
      <c r="FZL2" s="97"/>
      <c r="FZM2" s="97"/>
      <c r="FZN2" s="97"/>
      <c r="FZO2" s="97"/>
      <c r="FZP2" s="97"/>
      <c r="FZQ2" s="97"/>
      <c r="FZR2" s="97"/>
      <c r="FZS2" s="97"/>
      <c r="FZT2" s="97"/>
      <c r="FZU2" s="97"/>
      <c r="FZV2" s="97"/>
      <c r="FZW2" s="97"/>
      <c r="FZX2" s="97"/>
      <c r="FZY2" s="97"/>
      <c r="FZZ2" s="97"/>
      <c r="GAA2" s="97"/>
      <c r="GAB2" s="97"/>
      <c r="GAC2" s="97"/>
      <c r="GAD2" s="97"/>
      <c r="GAE2" s="97"/>
      <c r="GAF2" s="97"/>
      <c r="GAG2" s="97"/>
      <c r="GAH2" s="97"/>
      <c r="GAI2" s="97"/>
      <c r="GAJ2" s="97"/>
      <c r="GAK2" s="97"/>
      <c r="GAL2" s="97"/>
      <c r="GAM2" s="97"/>
      <c r="GAN2" s="97"/>
      <c r="GAO2" s="97"/>
      <c r="GAP2" s="97"/>
      <c r="GAQ2" s="97"/>
      <c r="GAR2" s="97"/>
      <c r="GAS2" s="97"/>
      <c r="GAT2" s="97"/>
      <c r="GAU2" s="97"/>
      <c r="GAV2" s="97"/>
      <c r="GAW2" s="97"/>
      <c r="GAX2" s="97"/>
      <c r="GAY2" s="97"/>
      <c r="GAZ2" s="97"/>
      <c r="GBA2" s="97"/>
      <c r="GBB2" s="97"/>
      <c r="GBC2" s="97"/>
      <c r="GBD2" s="97"/>
      <c r="GBE2" s="97"/>
      <c r="GBF2" s="97"/>
      <c r="GBG2" s="97"/>
      <c r="GBH2" s="97"/>
      <c r="GBI2" s="97"/>
      <c r="GBJ2" s="97"/>
      <c r="GBK2" s="97"/>
      <c r="GBL2" s="97"/>
      <c r="GBM2" s="97"/>
      <c r="GBN2" s="97"/>
      <c r="GBO2" s="97"/>
      <c r="GBP2" s="97"/>
      <c r="GBQ2" s="97"/>
      <c r="GBR2" s="97"/>
      <c r="GBS2" s="97"/>
      <c r="GBT2" s="97"/>
      <c r="GBU2" s="97"/>
      <c r="GBV2" s="97"/>
      <c r="GBW2" s="97"/>
      <c r="GBX2" s="97"/>
      <c r="GBY2" s="97"/>
      <c r="GBZ2" s="97"/>
      <c r="GCA2" s="97"/>
      <c r="GCB2" s="97"/>
      <c r="GCC2" s="97"/>
      <c r="GCD2" s="97"/>
      <c r="GCE2" s="97"/>
      <c r="GCF2" s="97"/>
      <c r="GCG2" s="97"/>
      <c r="GCH2" s="97"/>
      <c r="GCI2" s="97"/>
      <c r="GCJ2" s="97"/>
      <c r="GCK2" s="97"/>
      <c r="GCL2" s="97"/>
      <c r="GCM2" s="97"/>
      <c r="GCN2" s="97"/>
      <c r="GCO2" s="97"/>
      <c r="GCP2" s="97"/>
      <c r="GCQ2" s="97"/>
      <c r="GCR2" s="97"/>
      <c r="GCS2" s="97"/>
      <c r="GCT2" s="97"/>
      <c r="GCU2" s="97"/>
      <c r="GCV2" s="97"/>
      <c r="GCW2" s="97"/>
      <c r="GCX2" s="97"/>
      <c r="GCY2" s="97"/>
      <c r="GCZ2" s="97"/>
      <c r="GDA2" s="97"/>
      <c r="GDB2" s="97"/>
      <c r="GDC2" s="97"/>
      <c r="GDD2" s="97"/>
      <c r="GDE2" s="97"/>
      <c r="GDF2" s="97"/>
      <c r="GDG2" s="97"/>
      <c r="GDH2" s="97"/>
      <c r="GDI2" s="97"/>
      <c r="GDJ2" s="97"/>
      <c r="GDK2" s="97"/>
      <c r="GDL2" s="97"/>
      <c r="GDM2" s="97"/>
      <c r="GDN2" s="97"/>
      <c r="GDO2" s="97"/>
      <c r="GDP2" s="97"/>
      <c r="GDQ2" s="97"/>
      <c r="GDR2" s="97"/>
      <c r="GDS2" s="97"/>
      <c r="GDT2" s="97"/>
      <c r="GDU2" s="97"/>
      <c r="GDV2" s="97"/>
      <c r="GDW2" s="97"/>
      <c r="GDX2" s="97"/>
      <c r="GDY2" s="97"/>
      <c r="GDZ2" s="97"/>
      <c r="GEA2" s="97"/>
      <c r="GEB2" s="97"/>
      <c r="GEC2" s="97"/>
      <c r="GED2" s="97"/>
      <c r="GEE2" s="97"/>
      <c r="GEF2" s="97"/>
      <c r="GEG2" s="97"/>
      <c r="GEH2" s="97"/>
      <c r="GEI2" s="97"/>
      <c r="GEJ2" s="97"/>
      <c r="GEK2" s="97"/>
      <c r="GEL2" s="97"/>
      <c r="GEM2" s="97"/>
      <c r="GEN2" s="97"/>
      <c r="GEO2" s="97"/>
      <c r="GEP2" s="97"/>
      <c r="GEQ2" s="97"/>
      <c r="GER2" s="97"/>
      <c r="GES2" s="97"/>
      <c r="GET2" s="97"/>
      <c r="GEU2" s="97"/>
      <c r="GEV2" s="97"/>
      <c r="GEW2" s="97"/>
      <c r="GEX2" s="97"/>
      <c r="GEY2" s="97"/>
      <c r="GEZ2" s="97"/>
      <c r="GFA2" s="97"/>
      <c r="GFB2" s="97"/>
      <c r="GFC2" s="97"/>
      <c r="GFD2" s="97"/>
      <c r="GFE2" s="97"/>
      <c r="GFF2" s="97"/>
      <c r="GFG2" s="97"/>
      <c r="GFH2" s="97"/>
      <c r="GFI2" s="97"/>
      <c r="GFJ2" s="97"/>
      <c r="GFK2" s="97"/>
      <c r="GFL2" s="97"/>
      <c r="GFM2" s="97"/>
      <c r="GFN2" s="97"/>
      <c r="GFO2" s="97"/>
      <c r="GFP2" s="97"/>
      <c r="GFQ2" s="97"/>
      <c r="GFR2" s="97"/>
      <c r="GFS2" s="97"/>
      <c r="GFT2" s="97"/>
      <c r="GFU2" s="97"/>
      <c r="GFV2" s="97"/>
      <c r="GFW2" s="97"/>
      <c r="GFX2" s="97"/>
      <c r="GFY2" s="97"/>
      <c r="GFZ2" s="97"/>
      <c r="GGA2" s="97"/>
      <c r="GGB2" s="97"/>
      <c r="GGC2" s="97"/>
      <c r="GGD2" s="97"/>
      <c r="GGE2" s="97"/>
      <c r="GGF2" s="97"/>
      <c r="GGG2" s="97"/>
      <c r="GGH2" s="97"/>
      <c r="GGI2" s="97"/>
      <c r="GGJ2" s="97"/>
      <c r="GGK2" s="97"/>
      <c r="GGL2" s="97"/>
      <c r="GGM2" s="97"/>
      <c r="GGN2" s="97"/>
      <c r="GGO2" s="97"/>
      <c r="GGP2" s="97"/>
      <c r="GGQ2" s="97"/>
      <c r="GGR2" s="97"/>
      <c r="GGS2" s="97"/>
      <c r="GGT2" s="97"/>
      <c r="GGU2" s="97"/>
      <c r="GGV2" s="97"/>
      <c r="GGW2" s="97"/>
      <c r="GGX2" s="97"/>
      <c r="GGY2" s="97"/>
      <c r="GGZ2" s="97"/>
      <c r="GHA2" s="97"/>
      <c r="GHB2" s="97"/>
      <c r="GHC2" s="97"/>
      <c r="GHD2" s="97"/>
      <c r="GHE2" s="97"/>
      <c r="GHF2" s="97"/>
      <c r="GHG2" s="97"/>
      <c r="GHH2" s="97"/>
      <c r="GHI2" s="97"/>
      <c r="GHJ2" s="97"/>
      <c r="GHK2" s="97"/>
      <c r="GHL2" s="97"/>
      <c r="GHM2" s="97"/>
      <c r="GHN2" s="97"/>
      <c r="GHO2" s="97"/>
      <c r="GHP2" s="97"/>
      <c r="GHQ2" s="97"/>
      <c r="GHR2" s="97"/>
      <c r="GHS2" s="97"/>
      <c r="GHT2" s="97"/>
      <c r="GHU2" s="97"/>
      <c r="GHV2" s="97"/>
      <c r="GHW2" s="97"/>
      <c r="GHX2" s="97"/>
      <c r="GHY2" s="97"/>
      <c r="GHZ2" s="97"/>
      <c r="GIA2" s="97"/>
      <c r="GIB2" s="97"/>
      <c r="GIC2" s="97"/>
      <c r="GID2" s="97"/>
      <c r="GIE2" s="97"/>
      <c r="GIF2" s="97"/>
      <c r="GIG2" s="97"/>
      <c r="GIH2" s="97"/>
      <c r="GII2" s="97"/>
      <c r="GIJ2" s="97"/>
      <c r="GIK2" s="97"/>
      <c r="GIL2" s="97"/>
      <c r="GIM2" s="97"/>
      <c r="GIN2" s="97"/>
      <c r="GIO2" s="97"/>
      <c r="GIP2" s="97"/>
      <c r="GIQ2" s="97"/>
      <c r="GIR2" s="97"/>
      <c r="GIS2" s="97"/>
      <c r="GIT2" s="97"/>
      <c r="GIU2" s="97"/>
      <c r="GIV2" s="97"/>
      <c r="GIW2" s="97"/>
      <c r="GIX2" s="97"/>
      <c r="GIY2" s="97"/>
      <c r="GIZ2" s="97"/>
      <c r="GJA2" s="97"/>
      <c r="GJB2" s="97"/>
      <c r="GJC2" s="97"/>
      <c r="GJD2" s="97"/>
      <c r="GJE2" s="97"/>
      <c r="GJF2" s="97"/>
      <c r="GJG2" s="97"/>
      <c r="GJH2" s="97"/>
      <c r="GJI2" s="97"/>
      <c r="GJJ2" s="97"/>
      <c r="GJK2" s="97"/>
      <c r="GJL2" s="97"/>
      <c r="GJM2" s="97"/>
      <c r="GJN2" s="97"/>
      <c r="GJO2" s="97"/>
      <c r="GJP2" s="97"/>
      <c r="GJQ2" s="97"/>
      <c r="GJR2" s="97"/>
      <c r="GJS2" s="97"/>
      <c r="GJT2" s="97"/>
      <c r="GJU2" s="97"/>
      <c r="GJV2" s="97"/>
      <c r="GJW2" s="97"/>
      <c r="GJX2" s="97"/>
      <c r="GJY2" s="97"/>
      <c r="GJZ2" s="97"/>
      <c r="GKA2" s="97"/>
      <c r="GKB2" s="97"/>
      <c r="GKC2" s="97"/>
      <c r="GKD2" s="97"/>
      <c r="GKE2" s="97"/>
      <c r="GKF2" s="97"/>
      <c r="GKG2" s="97"/>
      <c r="GKH2" s="97"/>
      <c r="GKI2" s="97"/>
      <c r="GKJ2" s="97"/>
      <c r="GKK2" s="97"/>
      <c r="GKL2" s="97"/>
      <c r="GKM2" s="97"/>
      <c r="GKN2" s="97"/>
      <c r="GKO2" s="97"/>
      <c r="GKP2" s="97"/>
      <c r="GKQ2" s="97"/>
      <c r="GKR2" s="97"/>
      <c r="GKS2" s="97"/>
      <c r="GKT2" s="97"/>
      <c r="GKU2" s="97"/>
      <c r="GKV2" s="97"/>
      <c r="GKW2" s="97"/>
      <c r="GKX2" s="97"/>
      <c r="GKY2" s="97"/>
      <c r="GKZ2" s="97"/>
      <c r="GLA2" s="97"/>
      <c r="GLB2" s="97"/>
      <c r="GLC2" s="97"/>
      <c r="GLD2" s="97"/>
      <c r="GLE2" s="97"/>
      <c r="GLF2" s="97"/>
      <c r="GLG2" s="97"/>
      <c r="GLH2" s="97"/>
      <c r="GLI2" s="97"/>
      <c r="GLJ2" s="97"/>
      <c r="GLK2" s="97"/>
      <c r="GLL2" s="97"/>
      <c r="GLM2" s="97"/>
      <c r="GLN2" s="97"/>
      <c r="GLO2" s="97"/>
      <c r="GLP2" s="97"/>
      <c r="GLQ2" s="97"/>
      <c r="GLR2" s="97"/>
      <c r="GLS2" s="97"/>
      <c r="GLT2" s="97"/>
      <c r="GLU2" s="97"/>
      <c r="GLV2" s="97"/>
      <c r="GLW2" s="97"/>
      <c r="GLX2" s="97"/>
      <c r="GLY2" s="97"/>
      <c r="GLZ2" s="97"/>
      <c r="GMA2" s="97"/>
      <c r="GMB2" s="97"/>
      <c r="GMC2" s="97"/>
      <c r="GMD2" s="97"/>
      <c r="GME2" s="97"/>
      <c r="GMF2" s="97"/>
      <c r="GMG2" s="97"/>
      <c r="GMH2" s="97"/>
      <c r="GMI2" s="97"/>
      <c r="GMJ2" s="97"/>
      <c r="GMK2" s="97"/>
      <c r="GML2" s="97"/>
      <c r="GMM2" s="97"/>
      <c r="GMN2" s="97"/>
      <c r="GMO2" s="97"/>
      <c r="GMP2" s="97"/>
      <c r="GMQ2" s="97"/>
      <c r="GMR2" s="97"/>
      <c r="GMS2" s="97"/>
      <c r="GMT2" s="97"/>
      <c r="GMU2" s="97"/>
      <c r="GMV2" s="97"/>
      <c r="GMW2" s="97"/>
      <c r="GMX2" s="97"/>
      <c r="GMY2" s="97"/>
      <c r="GMZ2" s="97"/>
      <c r="GNA2" s="97"/>
      <c r="GNB2" s="97"/>
      <c r="GNC2" s="97"/>
      <c r="GND2" s="97"/>
      <c r="GNE2" s="97"/>
      <c r="GNF2" s="97"/>
      <c r="GNG2" s="97"/>
      <c r="GNH2" s="97"/>
      <c r="GNI2" s="97"/>
      <c r="GNJ2" s="97"/>
      <c r="GNK2" s="97"/>
      <c r="GNL2" s="97"/>
      <c r="GNM2" s="97"/>
      <c r="GNN2" s="97"/>
      <c r="GNO2" s="97"/>
      <c r="GNP2" s="97"/>
      <c r="GNQ2" s="97"/>
      <c r="GNR2" s="97"/>
      <c r="GNS2" s="97"/>
      <c r="GNT2" s="97"/>
      <c r="GNU2" s="97"/>
      <c r="GNV2" s="97"/>
      <c r="GNW2" s="97"/>
      <c r="GNX2" s="97"/>
      <c r="GNY2" s="97"/>
      <c r="GNZ2" s="97"/>
      <c r="GOA2" s="97"/>
      <c r="GOB2" s="97"/>
      <c r="GOC2" s="97"/>
      <c r="GOD2" s="97"/>
      <c r="GOE2" s="97"/>
      <c r="GOF2" s="97"/>
      <c r="GOG2" s="97"/>
      <c r="GOH2" s="97"/>
      <c r="GOI2" s="97"/>
      <c r="GOJ2" s="97"/>
      <c r="GOK2" s="97"/>
      <c r="GOL2" s="97"/>
      <c r="GOM2" s="97"/>
      <c r="GON2" s="97"/>
      <c r="GOO2" s="97"/>
      <c r="GOP2" s="97"/>
      <c r="GOQ2" s="97"/>
      <c r="GOR2" s="97"/>
      <c r="GOS2" s="97"/>
      <c r="GOT2" s="97"/>
      <c r="GOU2" s="97"/>
      <c r="GOV2" s="97"/>
      <c r="GOW2" s="97"/>
      <c r="GOX2" s="97"/>
      <c r="GOY2" s="97"/>
      <c r="GOZ2" s="97"/>
      <c r="GPA2" s="97"/>
      <c r="GPB2" s="97"/>
      <c r="GPC2" s="97"/>
      <c r="GPD2" s="97"/>
      <c r="GPE2" s="97"/>
      <c r="GPF2" s="97"/>
      <c r="GPG2" s="97"/>
      <c r="GPH2" s="97"/>
      <c r="GPI2" s="97"/>
      <c r="GPJ2" s="97"/>
      <c r="GPK2" s="97"/>
      <c r="GPL2" s="97"/>
      <c r="GPM2" s="97"/>
      <c r="GPN2" s="97"/>
      <c r="GPO2" s="97"/>
      <c r="GPP2" s="97"/>
      <c r="GPQ2" s="97"/>
      <c r="GPR2" s="97"/>
      <c r="GPS2" s="97"/>
      <c r="GPT2" s="97"/>
      <c r="GPU2" s="97"/>
      <c r="GPV2" s="97"/>
      <c r="GPW2" s="97"/>
      <c r="GPX2" s="97"/>
      <c r="GPY2" s="97"/>
      <c r="GPZ2" s="97"/>
      <c r="GQA2" s="97"/>
      <c r="GQB2" s="97"/>
      <c r="GQC2" s="97"/>
      <c r="GQD2" s="97"/>
      <c r="GQE2" s="97"/>
      <c r="GQF2" s="97"/>
      <c r="GQG2" s="97"/>
      <c r="GQH2" s="97"/>
      <c r="GQI2" s="97"/>
      <c r="GQJ2" s="97"/>
      <c r="GQK2" s="97"/>
      <c r="GQL2" s="97"/>
      <c r="GQM2" s="97"/>
      <c r="GQN2" s="97"/>
      <c r="GQO2" s="97"/>
      <c r="GQP2" s="97"/>
      <c r="GQQ2" s="97"/>
      <c r="GQR2" s="97"/>
      <c r="GQS2" s="97"/>
      <c r="GQT2" s="97"/>
      <c r="GQU2" s="97"/>
      <c r="GQV2" s="97"/>
      <c r="GQW2" s="97"/>
      <c r="GQX2" s="97"/>
      <c r="GQY2" s="97"/>
      <c r="GQZ2" s="97"/>
      <c r="GRA2" s="97"/>
      <c r="GRB2" s="97"/>
      <c r="GRC2" s="97"/>
      <c r="GRD2" s="97"/>
      <c r="GRE2" s="97"/>
      <c r="GRF2" s="97"/>
      <c r="GRG2" s="97"/>
      <c r="GRH2" s="97"/>
      <c r="GRI2" s="97"/>
      <c r="GRJ2" s="97"/>
      <c r="GRK2" s="97"/>
      <c r="GRL2" s="97"/>
      <c r="GRM2" s="97"/>
      <c r="GRN2" s="97"/>
      <c r="GRO2" s="97"/>
      <c r="GRP2" s="97"/>
      <c r="GRQ2" s="97"/>
      <c r="GRR2" s="97"/>
      <c r="GRS2" s="97"/>
      <c r="GRT2" s="97"/>
      <c r="GRU2" s="97"/>
      <c r="GRV2" s="97"/>
      <c r="GRW2" s="97"/>
      <c r="GRX2" s="97"/>
      <c r="GRY2" s="97"/>
      <c r="GRZ2" s="97"/>
      <c r="GSA2" s="97"/>
      <c r="GSB2" s="97"/>
      <c r="GSC2" s="97"/>
      <c r="GSD2" s="97"/>
      <c r="GSE2" s="97"/>
      <c r="GSF2" s="97"/>
      <c r="GSG2" s="97"/>
      <c r="GSH2" s="97"/>
      <c r="GSI2" s="97"/>
      <c r="GSJ2" s="97"/>
      <c r="GSK2" s="97"/>
      <c r="GSL2" s="97"/>
      <c r="GSM2" s="97"/>
      <c r="GSN2" s="97"/>
      <c r="GSO2" s="97"/>
      <c r="GSP2" s="97"/>
      <c r="GSQ2" s="97"/>
      <c r="GSR2" s="97"/>
      <c r="GSS2" s="97"/>
      <c r="GST2" s="97"/>
      <c r="GSU2" s="97"/>
      <c r="GSV2" s="97"/>
      <c r="GSW2" s="97"/>
      <c r="GSX2" s="97"/>
      <c r="GSY2" s="97"/>
      <c r="GSZ2" s="97"/>
      <c r="GTA2" s="97"/>
      <c r="GTB2" s="97"/>
      <c r="GTC2" s="97"/>
      <c r="GTD2" s="97"/>
      <c r="GTE2" s="97"/>
      <c r="GTF2" s="97"/>
      <c r="GTG2" s="97"/>
      <c r="GTH2" s="97"/>
      <c r="GTI2" s="97"/>
      <c r="GTJ2" s="97"/>
      <c r="GTK2" s="97"/>
      <c r="GTL2" s="97"/>
      <c r="GTM2" s="97"/>
      <c r="GTN2" s="97"/>
      <c r="GTO2" s="97"/>
      <c r="GTP2" s="97"/>
      <c r="GTQ2" s="97"/>
      <c r="GTR2" s="97"/>
      <c r="GTS2" s="97"/>
      <c r="GTT2" s="97"/>
      <c r="GTU2" s="97"/>
      <c r="GTV2" s="97"/>
      <c r="GTW2" s="97"/>
      <c r="GTX2" s="97"/>
      <c r="GTY2" s="97"/>
      <c r="GTZ2" s="97"/>
      <c r="GUA2" s="97"/>
      <c r="GUB2" s="97"/>
      <c r="GUC2" s="97"/>
      <c r="GUD2" s="97"/>
      <c r="GUE2" s="97"/>
      <c r="GUF2" s="97"/>
      <c r="GUG2" s="97"/>
      <c r="GUH2" s="97"/>
      <c r="GUI2" s="97"/>
      <c r="GUJ2" s="97"/>
      <c r="GUK2" s="97"/>
      <c r="GUL2" s="97"/>
      <c r="GUM2" s="97"/>
      <c r="GUN2" s="97"/>
      <c r="GUO2" s="97"/>
      <c r="GUP2" s="97"/>
      <c r="GUQ2" s="97"/>
      <c r="GUR2" s="97"/>
      <c r="GUS2" s="97"/>
      <c r="GUT2" s="97"/>
      <c r="GUU2" s="97"/>
      <c r="GUV2" s="97"/>
      <c r="GUW2" s="97"/>
      <c r="GUX2" s="97"/>
      <c r="GUY2" s="97"/>
      <c r="GUZ2" s="97"/>
      <c r="GVA2" s="97"/>
      <c r="GVB2" s="97"/>
      <c r="GVC2" s="97"/>
      <c r="GVD2" s="97"/>
      <c r="GVE2" s="97"/>
      <c r="GVF2" s="97"/>
      <c r="GVG2" s="97"/>
      <c r="GVH2" s="97"/>
      <c r="GVI2" s="97"/>
      <c r="GVJ2" s="97"/>
      <c r="GVK2" s="97"/>
      <c r="GVL2" s="97"/>
      <c r="GVM2" s="97"/>
      <c r="GVN2" s="97"/>
      <c r="GVO2" s="97"/>
      <c r="GVP2" s="97"/>
      <c r="GVQ2" s="97"/>
      <c r="GVR2" s="97"/>
      <c r="GVS2" s="97"/>
      <c r="GVT2" s="97"/>
      <c r="GVU2" s="97"/>
      <c r="GVV2" s="97"/>
      <c r="GVW2" s="97"/>
      <c r="GVX2" s="97"/>
      <c r="GVY2" s="97"/>
      <c r="GVZ2" s="97"/>
      <c r="GWA2" s="97"/>
      <c r="GWB2" s="97"/>
      <c r="GWC2" s="97"/>
      <c r="GWD2" s="97"/>
      <c r="GWE2" s="97"/>
      <c r="GWF2" s="97"/>
      <c r="GWG2" s="97"/>
      <c r="GWH2" s="97"/>
      <c r="GWI2" s="97"/>
      <c r="GWJ2" s="97"/>
      <c r="GWK2" s="97"/>
      <c r="GWL2" s="97"/>
      <c r="GWM2" s="97"/>
      <c r="GWN2" s="97"/>
      <c r="GWO2" s="97"/>
      <c r="GWP2" s="97"/>
      <c r="GWQ2" s="97"/>
      <c r="GWR2" s="97"/>
      <c r="GWS2" s="97"/>
      <c r="GWT2" s="97"/>
      <c r="GWU2" s="97"/>
      <c r="GWV2" s="97"/>
      <c r="GWW2" s="97"/>
      <c r="GWX2" s="97"/>
      <c r="GWY2" s="97"/>
      <c r="GWZ2" s="97"/>
      <c r="GXA2" s="97"/>
      <c r="GXB2" s="97"/>
      <c r="GXC2" s="97"/>
      <c r="GXD2" s="97"/>
      <c r="GXE2" s="97"/>
      <c r="GXF2" s="97"/>
      <c r="GXG2" s="97"/>
      <c r="GXH2" s="97"/>
      <c r="GXI2" s="97"/>
      <c r="GXJ2" s="97"/>
      <c r="GXK2" s="97"/>
      <c r="GXL2" s="97"/>
      <c r="GXM2" s="97"/>
      <c r="GXN2" s="97"/>
      <c r="GXO2" s="97"/>
      <c r="GXP2" s="97"/>
      <c r="GXQ2" s="97"/>
      <c r="GXR2" s="97"/>
      <c r="GXS2" s="97"/>
      <c r="GXT2" s="97"/>
      <c r="GXU2" s="97"/>
      <c r="GXV2" s="97"/>
      <c r="GXW2" s="97"/>
      <c r="GXX2" s="97"/>
      <c r="GXY2" s="97"/>
      <c r="GXZ2" s="97"/>
      <c r="GYA2" s="97"/>
      <c r="GYB2" s="97"/>
      <c r="GYC2" s="97"/>
      <c r="GYD2" s="97"/>
      <c r="GYE2" s="97"/>
      <c r="GYF2" s="97"/>
      <c r="GYG2" s="97"/>
      <c r="GYH2" s="97"/>
      <c r="GYI2" s="97"/>
      <c r="GYJ2" s="97"/>
      <c r="GYK2" s="97"/>
      <c r="GYL2" s="97"/>
      <c r="GYM2" s="97"/>
      <c r="GYN2" s="97"/>
      <c r="GYO2" s="97"/>
      <c r="GYP2" s="97"/>
      <c r="GYQ2" s="97"/>
      <c r="GYR2" s="97"/>
      <c r="GYS2" s="97"/>
      <c r="GYT2" s="97"/>
      <c r="GYU2" s="97"/>
      <c r="GYV2" s="97"/>
      <c r="GYW2" s="97"/>
      <c r="GYX2" s="97"/>
      <c r="GYY2" s="97"/>
      <c r="GYZ2" s="97"/>
      <c r="GZA2" s="97"/>
      <c r="GZB2" s="97"/>
      <c r="GZC2" s="97"/>
      <c r="GZD2" s="97"/>
      <c r="GZE2" s="97"/>
      <c r="GZF2" s="97"/>
      <c r="GZG2" s="97"/>
      <c r="GZH2" s="97"/>
      <c r="GZI2" s="97"/>
      <c r="GZJ2" s="97"/>
      <c r="GZK2" s="97"/>
      <c r="GZL2" s="97"/>
      <c r="GZM2" s="97"/>
      <c r="GZN2" s="97"/>
      <c r="GZO2" s="97"/>
      <c r="GZP2" s="97"/>
      <c r="GZQ2" s="97"/>
      <c r="GZR2" s="97"/>
      <c r="GZS2" s="97"/>
      <c r="GZT2" s="97"/>
      <c r="GZU2" s="97"/>
      <c r="GZV2" s="97"/>
      <c r="GZW2" s="97"/>
      <c r="GZX2" s="97"/>
      <c r="GZY2" s="97"/>
      <c r="GZZ2" s="97"/>
      <c r="HAA2" s="97"/>
      <c r="HAB2" s="97"/>
      <c r="HAC2" s="97"/>
      <c r="HAD2" s="97"/>
      <c r="HAE2" s="97"/>
      <c r="HAF2" s="97"/>
      <c r="HAG2" s="97"/>
      <c r="HAH2" s="97"/>
      <c r="HAI2" s="97"/>
      <c r="HAJ2" s="97"/>
      <c r="HAK2" s="97"/>
      <c r="HAL2" s="97"/>
      <c r="HAM2" s="97"/>
      <c r="HAN2" s="97"/>
      <c r="HAO2" s="97"/>
      <c r="HAP2" s="97"/>
      <c r="HAQ2" s="97"/>
      <c r="HAR2" s="97"/>
      <c r="HAS2" s="97"/>
      <c r="HAT2" s="97"/>
      <c r="HAU2" s="97"/>
      <c r="HAV2" s="97"/>
      <c r="HAW2" s="97"/>
      <c r="HAX2" s="97"/>
      <c r="HAY2" s="97"/>
      <c r="HAZ2" s="97"/>
      <c r="HBA2" s="97"/>
      <c r="HBB2" s="97"/>
      <c r="HBC2" s="97"/>
      <c r="HBD2" s="97"/>
      <c r="HBE2" s="97"/>
      <c r="HBF2" s="97"/>
      <c r="HBG2" s="97"/>
      <c r="HBH2" s="97"/>
      <c r="HBI2" s="97"/>
      <c r="HBJ2" s="97"/>
      <c r="HBK2" s="97"/>
      <c r="HBL2" s="97"/>
      <c r="HBM2" s="97"/>
      <c r="HBN2" s="97"/>
      <c r="HBO2" s="97"/>
      <c r="HBP2" s="97"/>
      <c r="HBQ2" s="97"/>
      <c r="HBR2" s="97"/>
      <c r="HBS2" s="97"/>
      <c r="HBT2" s="97"/>
      <c r="HBU2" s="97"/>
      <c r="HBV2" s="97"/>
      <c r="HBW2" s="97"/>
      <c r="HBX2" s="97"/>
      <c r="HBY2" s="97"/>
      <c r="HBZ2" s="97"/>
      <c r="HCA2" s="97"/>
      <c r="HCB2" s="97"/>
      <c r="HCC2" s="97"/>
      <c r="HCD2" s="97"/>
      <c r="HCE2" s="97"/>
      <c r="HCF2" s="97"/>
      <c r="HCG2" s="97"/>
      <c r="HCH2" s="97"/>
      <c r="HCI2" s="97"/>
      <c r="HCJ2" s="97"/>
      <c r="HCK2" s="97"/>
      <c r="HCL2" s="97"/>
      <c r="HCM2" s="97"/>
      <c r="HCN2" s="97"/>
      <c r="HCO2" s="97"/>
      <c r="HCP2" s="97"/>
      <c r="HCQ2" s="97"/>
      <c r="HCR2" s="97"/>
      <c r="HCS2" s="97"/>
      <c r="HCT2" s="97"/>
      <c r="HCU2" s="97"/>
      <c r="HCV2" s="97"/>
      <c r="HCW2" s="97"/>
      <c r="HCX2" s="97"/>
      <c r="HCY2" s="97"/>
      <c r="HCZ2" s="97"/>
      <c r="HDA2" s="97"/>
      <c r="HDB2" s="97"/>
      <c r="HDC2" s="97"/>
      <c r="HDD2" s="97"/>
      <c r="HDE2" s="97"/>
      <c r="HDF2" s="97"/>
      <c r="HDG2" s="97"/>
      <c r="HDH2" s="97"/>
      <c r="HDI2" s="97"/>
      <c r="HDJ2" s="97"/>
      <c r="HDK2" s="97"/>
      <c r="HDL2" s="97"/>
      <c r="HDM2" s="97"/>
      <c r="HDN2" s="97"/>
      <c r="HDO2" s="97"/>
      <c r="HDP2" s="97"/>
      <c r="HDQ2" s="97"/>
      <c r="HDR2" s="97"/>
      <c r="HDS2" s="97"/>
      <c r="HDT2" s="97"/>
      <c r="HDU2" s="97"/>
      <c r="HDV2" s="97"/>
      <c r="HDW2" s="97"/>
      <c r="HDX2" s="97"/>
      <c r="HDY2" s="97"/>
      <c r="HDZ2" s="97"/>
      <c r="HEA2" s="97"/>
      <c r="HEB2" s="97"/>
      <c r="HEC2" s="97"/>
      <c r="HED2" s="97"/>
      <c r="HEE2" s="97"/>
      <c r="HEF2" s="97"/>
      <c r="HEG2" s="97"/>
      <c r="HEH2" s="97"/>
      <c r="HEI2" s="97"/>
      <c r="HEJ2" s="97"/>
      <c r="HEK2" s="97"/>
      <c r="HEL2" s="97"/>
      <c r="HEM2" s="97"/>
      <c r="HEN2" s="97"/>
      <c r="HEO2" s="97"/>
      <c r="HEP2" s="97"/>
      <c r="HEQ2" s="97"/>
      <c r="HER2" s="97"/>
      <c r="HES2" s="97"/>
      <c r="HET2" s="97"/>
      <c r="HEU2" s="97"/>
      <c r="HEV2" s="97"/>
      <c r="HEW2" s="97"/>
      <c r="HEX2" s="97"/>
      <c r="HEY2" s="97"/>
      <c r="HEZ2" s="97"/>
      <c r="HFA2" s="97"/>
      <c r="HFB2" s="97"/>
      <c r="HFC2" s="97"/>
      <c r="HFD2" s="97"/>
      <c r="HFE2" s="97"/>
      <c r="HFF2" s="97"/>
      <c r="HFG2" s="97"/>
      <c r="HFH2" s="97"/>
      <c r="HFI2" s="97"/>
      <c r="HFJ2" s="97"/>
      <c r="HFK2" s="97"/>
      <c r="HFL2" s="97"/>
      <c r="HFM2" s="97"/>
      <c r="HFN2" s="97"/>
      <c r="HFO2" s="97"/>
      <c r="HFP2" s="97"/>
      <c r="HFQ2" s="97"/>
      <c r="HFR2" s="97"/>
      <c r="HFS2" s="97"/>
      <c r="HFT2" s="97"/>
      <c r="HFU2" s="97"/>
      <c r="HFV2" s="97"/>
      <c r="HFW2" s="97"/>
      <c r="HFX2" s="97"/>
      <c r="HFY2" s="97"/>
      <c r="HFZ2" s="97"/>
      <c r="HGA2" s="97"/>
      <c r="HGB2" s="97"/>
      <c r="HGC2" s="97"/>
      <c r="HGD2" s="97"/>
      <c r="HGE2" s="97"/>
      <c r="HGF2" s="97"/>
      <c r="HGG2" s="97"/>
      <c r="HGH2" s="97"/>
      <c r="HGI2" s="97"/>
      <c r="HGJ2" s="97"/>
      <c r="HGK2" s="97"/>
      <c r="HGL2" s="97"/>
      <c r="HGM2" s="97"/>
      <c r="HGN2" s="97"/>
      <c r="HGO2" s="97"/>
      <c r="HGP2" s="97"/>
      <c r="HGQ2" s="97"/>
      <c r="HGR2" s="97"/>
      <c r="HGS2" s="97"/>
      <c r="HGT2" s="97"/>
      <c r="HGU2" s="97"/>
      <c r="HGV2" s="97"/>
      <c r="HGW2" s="97"/>
      <c r="HGX2" s="97"/>
      <c r="HGY2" s="97"/>
      <c r="HGZ2" s="97"/>
      <c r="HHA2" s="97"/>
      <c r="HHB2" s="97"/>
      <c r="HHC2" s="97"/>
      <c r="HHD2" s="97"/>
      <c r="HHE2" s="97"/>
      <c r="HHF2" s="97"/>
      <c r="HHG2" s="97"/>
      <c r="HHH2" s="97"/>
      <c r="HHI2" s="97"/>
      <c r="HHJ2" s="97"/>
      <c r="HHK2" s="97"/>
      <c r="HHL2" s="97"/>
      <c r="HHM2" s="97"/>
      <c r="HHN2" s="97"/>
      <c r="HHO2" s="97"/>
      <c r="HHP2" s="97"/>
      <c r="HHQ2" s="97"/>
      <c r="HHR2" s="97"/>
      <c r="HHS2" s="97"/>
      <c r="HHT2" s="97"/>
      <c r="HHU2" s="97"/>
      <c r="HHV2" s="97"/>
      <c r="HHW2" s="97"/>
      <c r="HHX2" s="97"/>
      <c r="HHY2" s="97"/>
      <c r="HHZ2" s="97"/>
      <c r="HIA2" s="97"/>
      <c r="HIB2" s="97"/>
      <c r="HIC2" s="97"/>
      <c r="HID2" s="97"/>
      <c r="HIE2" s="97"/>
      <c r="HIF2" s="97"/>
      <c r="HIG2" s="97"/>
      <c r="HIH2" s="97"/>
      <c r="HII2" s="97"/>
      <c r="HIJ2" s="97"/>
      <c r="HIK2" s="97"/>
      <c r="HIL2" s="97"/>
      <c r="HIM2" s="97"/>
      <c r="HIN2" s="97"/>
      <c r="HIO2" s="97"/>
      <c r="HIP2" s="97"/>
      <c r="HIQ2" s="97"/>
      <c r="HIR2" s="97"/>
      <c r="HIS2" s="97"/>
      <c r="HIT2" s="97"/>
      <c r="HIU2" s="97"/>
      <c r="HIV2" s="97"/>
      <c r="HIW2" s="97"/>
      <c r="HIX2" s="97"/>
      <c r="HIY2" s="97"/>
      <c r="HIZ2" s="97"/>
      <c r="HJA2" s="97"/>
      <c r="HJB2" s="97"/>
      <c r="HJC2" s="97"/>
      <c r="HJD2" s="97"/>
      <c r="HJE2" s="97"/>
      <c r="HJF2" s="97"/>
      <c r="HJG2" s="97"/>
      <c r="HJH2" s="97"/>
      <c r="HJI2" s="97"/>
      <c r="HJJ2" s="97"/>
      <c r="HJK2" s="97"/>
      <c r="HJL2" s="97"/>
      <c r="HJM2" s="97"/>
      <c r="HJN2" s="97"/>
      <c r="HJO2" s="97"/>
      <c r="HJP2" s="97"/>
      <c r="HJQ2" s="97"/>
      <c r="HJR2" s="97"/>
      <c r="HJS2" s="97"/>
      <c r="HJT2" s="97"/>
      <c r="HJU2" s="97"/>
      <c r="HJV2" s="97"/>
      <c r="HJW2" s="97"/>
      <c r="HJX2" s="97"/>
      <c r="HJY2" s="97"/>
      <c r="HJZ2" s="97"/>
      <c r="HKA2" s="97"/>
      <c r="HKB2" s="97"/>
      <c r="HKC2" s="97"/>
      <c r="HKD2" s="97"/>
      <c r="HKE2" s="97"/>
      <c r="HKF2" s="97"/>
      <c r="HKG2" s="97"/>
      <c r="HKH2" s="97"/>
      <c r="HKI2" s="97"/>
      <c r="HKJ2" s="97"/>
      <c r="HKK2" s="97"/>
      <c r="HKL2" s="97"/>
      <c r="HKM2" s="97"/>
      <c r="HKN2" s="97"/>
      <c r="HKO2" s="97"/>
      <c r="HKP2" s="97"/>
      <c r="HKQ2" s="97"/>
      <c r="HKR2" s="97"/>
      <c r="HKS2" s="97"/>
      <c r="HKT2" s="97"/>
      <c r="HKU2" s="97"/>
      <c r="HKV2" s="97"/>
      <c r="HKW2" s="97"/>
      <c r="HKX2" s="97"/>
      <c r="HKY2" s="97"/>
      <c r="HKZ2" s="97"/>
      <c r="HLA2" s="97"/>
      <c r="HLB2" s="97"/>
      <c r="HLC2" s="97"/>
      <c r="HLD2" s="97"/>
      <c r="HLE2" s="97"/>
      <c r="HLF2" s="97"/>
      <c r="HLG2" s="97"/>
      <c r="HLH2" s="97"/>
      <c r="HLI2" s="97"/>
      <c r="HLJ2" s="97"/>
      <c r="HLK2" s="97"/>
      <c r="HLL2" s="97"/>
      <c r="HLM2" s="97"/>
      <c r="HLN2" s="97"/>
      <c r="HLO2" s="97"/>
      <c r="HLP2" s="97"/>
      <c r="HLQ2" s="97"/>
      <c r="HLR2" s="97"/>
      <c r="HLS2" s="97"/>
      <c r="HLT2" s="97"/>
      <c r="HLU2" s="97"/>
      <c r="HLV2" s="97"/>
      <c r="HLW2" s="97"/>
      <c r="HLX2" s="97"/>
      <c r="HLY2" s="97"/>
      <c r="HLZ2" s="97"/>
      <c r="HMA2" s="97"/>
      <c r="HMB2" s="97"/>
      <c r="HMC2" s="97"/>
      <c r="HMD2" s="97"/>
      <c r="HME2" s="97"/>
      <c r="HMF2" s="97"/>
      <c r="HMG2" s="97"/>
      <c r="HMH2" s="97"/>
      <c r="HMI2" s="97"/>
      <c r="HMJ2" s="97"/>
      <c r="HMK2" s="97"/>
      <c r="HML2" s="97"/>
      <c r="HMM2" s="97"/>
      <c r="HMN2" s="97"/>
      <c r="HMO2" s="97"/>
      <c r="HMP2" s="97"/>
      <c r="HMQ2" s="97"/>
      <c r="HMR2" s="97"/>
      <c r="HMS2" s="97"/>
      <c r="HMT2" s="97"/>
      <c r="HMU2" s="97"/>
      <c r="HMV2" s="97"/>
      <c r="HMW2" s="97"/>
      <c r="HMX2" s="97"/>
      <c r="HMY2" s="97"/>
      <c r="HMZ2" s="97"/>
      <c r="HNA2" s="97"/>
      <c r="HNB2" s="97"/>
      <c r="HNC2" s="97"/>
      <c r="HND2" s="97"/>
      <c r="HNE2" s="97"/>
      <c r="HNF2" s="97"/>
      <c r="HNG2" s="97"/>
      <c r="HNH2" s="97"/>
      <c r="HNI2" s="97"/>
      <c r="HNJ2" s="97"/>
      <c r="HNK2" s="97"/>
      <c r="HNL2" s="97"/>
      <c r="HNM2" s="97"/>
      <c r="HNN2" s="97"/>
      <c r="HNO2" s="97"/>
      <c r="HNP2" s="97"/>
      <c r="HNQ2" s="97"/>
      <c r="HNR2" s="97"/>
      <c r="HNS2" s="97"/>
      <c r="HNT2" s="97"/>
      <c r="HNU2" s="97"/>
      <c r="HNV2" s="97"/>
      <c r="HNW2" s="97"/>
      <c r="HNX2" s="97"/>
      <c r="HNY2" s="97"/>
      <c r="HNZ2" s="97"/>
      <c r="HOA2" s="97"/>
      <c r="HOB2" s="97"/>
      <c r="HOC2" s="97"/>
      <c r="HOD2" s="97"/>
      <c r="HOE2" s="97"/>
      <c r="HOF2" s="97"/>
      <c r="HOG2" s="97"/>
      <c r="HOH2" s="97"/>
      <c r="HOI2" s="97"/>
      <c r="HOJ2" s="97"/>
      <c r="HOK2" s="97"/>
      <c r="HOL2" s="97"/>
      <c r="HOM2" s="97"/>
      <c r="HON2" s="97"/>
      <c r="HOO2" s="97"/>
      <c r="HOP2" s="97"/>
      <c r="HOQ2" s="97"/>
      <c r="HOR2" s="97"/>
      <c r="HOS2" s="97"/>
      <c r="HOT2" s="97"/>
      <c r="HOU2" s="97"/>
      <c r="HOV2" s="97"/>
      <c r="HOW2" s="97"/>
      <c r="HOX2" s="97"/>
      <c r="HOY2" s="97"/>
      <c r="HOZ2" s="97"/>
      <c r="HPA2" s="97"/>
      <c r="HPB2" s="97"/>
      <c r="HPC2" s="97"/>
      <c r="HPD2" s="97"/>
      <c r="HPE2" s="97"/>
      <c r="HPF2" s="97"/>
      <c r="HPG2" s="97"/>
      <c r="HPH2" s="97"/>
      <c r="HPI2" s="97"/>
      <c r="HPJ2" s="97"/>
      <c r="HPK2" s="97"/>
      <c r="HPL2" s="97"/>
      <c r="HPM2" s="97"/>
      <c r="HPN2" s="97"/>
      <c r="HPO2" s="97"/>
      <c r="HPP2" s="97"/>
      <c r="HPQ2" s="97"/>
      <c r="HPR2" s="97"/>
      <c r="HPS2" s="97"/>
      <c r="HPT2" s="97"/>
      <c r="HPU2" s="97"/>
      <c r="HPV2" s="97"/>
      <c r="HPW2" s="97"/>
      <c r="HPX2" s="97"/>
      <c r="HPY2" s="97"/>
      <c r="HPZ2" s="97"/>
      <c r="HQA2" s="97"/>
      <c r="HQB2" s="97"/>
      <c r="HQC2" s="97"/>
      <c r="HQD2" s="97"/>
      <c r="HQE2" s="97"/>
      <c r="HQF2" s="97"/>
      <c r="HQG2" s="97"/>
      <c r="HQH2" s="97"/>
      <c r="HQI2" s="97"/>
      <c r="HQJ2" s="97"/>
      <c r="HQK2" s="97"/>
      <c r="HQL2" s="97"/>
      <c r="HQM2" s="97"/>
      <c r="HQN2" s="97"/>
      <c r="HQO2" s="97"/>
      <c r="HQP2" s="97"/>
      <c r="HQQ2" s="97"/>
      <c r="HQR2" s="97"/>
      <c r="HQS2" s="97"/>
      <c r="HQT2" s="97"/>
      <c r="HQU2" s="97"/>
      <c r="HQV2" s="97"/>
      <c r="HQW2" s="97"/>
      <c r="HQX2" s="97"/>
      <c r="HQY2" s="97"/>
      <c r="HQZ2" s="97"/>
      <c r="HRA2" s="97"/>
      <c r="HRB2" s="97"/>
      <c r="HRC2" s="97"/>
      <c r="HRD2" s="97"/>
      <c r="HRE2" s="97"/>
      <c r="HRF2" s="97"/>
      <c r="HRG2" s="97"/>
      <c r="HRH2" s="97"/>
      <c r="HRI2" s="97"/>
      <c r="HRJ2" s="97"/>
      <c r="HRK2" s="97"/>
      <c r="HRL2" s="97"/>
      <c r="HRM2" s="97"/>
      <c r="HRN2" s="97"/>
      <c r="HRO2" s="97"/>
      <c r="HRP2" s="97"/>
      <c r="HRQ2" s="97"/>
      <c r="HRR2" s="97"/>
      <c r="HRS2" s="97"/>
      <c r="HRT2" s="97"/>
      <c r="HRU2" s="97"/>
      <c r="HRV2" s="97"/>
      <c r="HRW2" s="97"/>
      <c r="HRX2" s="97"/>
      <c r="HRY2" s="97"/>
      <c r="HRZ2" s="97"/>
      <c r="HSA2" s="97"/>
      <c r="HSB2" s="97"/>
      <c r="HSC2" s="97"/>
      <c r="HSD2" s="97"/>
      <c r="HSE2" s="97"/>
      <c r="HSF2" s="97"/>
      <c r="HSG2" s="97"/>
      <c r="HSH2" s="97"/>
      <c r="HSI2" s="97"/>
      <c r="HSJ2" s="97"/>
      <c r="HSK2" s="97"/>
      <c r="HSL2" s="97"/>
      <c r="HSM2" s="97"/>
      <c r="HSN2" s="97"/>
      <c r="HSO2" s="97"/>
      <c r="HSP2" s="97"/>
      <c r="HSQ2" s="97"/>
      <c r="HSR2" s="97"/>
      <c r="HSS2" s="97"/>
      <c r="HST2" s="97"/>
      <c r="HSU2" s="97"/>
      <c r="HSV2" s="97"/>
      <c r="HSW2" s="97"/>
      <c r="HSX2" s="97"/>
      <c r="HSY2" s="97"/>
      <c r="HSZ2" s="97"/>
      <c r="HTA2" s="97"/>
      <c r="HTB2" s="97"/>
      <c r="HTC2" s="97"/>
      <c r="HTD2" s="97"/>
      <c r="HTE2" s="97"/>
      <c r="HTF2" s="97"/>
      <c r="HTG2" s="97"/>
      <c r="HTH2" s="97"/>
      <c r="HTI2" s="97"/>
      <c r="HTJ2" s="97"/>
      <c r="HTK2" s="97"/>
      <c r="HTL2" s="97"/>
      <c r="HTM2" s="97"/>
      <c r="HTN2" s="97"/>
      <c r="HTO2" s="97"/>
      <c r="HTP2" s="97"/>
      <c r="HTQ2" s="97"/>
      <c r="HTR2" s="97"/>
      <c r="HTS2" s="97"/>
      <c r="HTT2" s="97"/>
      <c r="HTU2" s="97"/>
      <c r="HTV2" s="97"/>
      <c r="HTW2" s="97"/>
      <c r="HTX2" s="97"/>
      <c r="HTY2" s="97"/>
      <c r="HTZ2" s="97"/>
      <c r="HUA2" s="97"/>
      <c r="HUB2" s="97"/>
      <c r="HUC2" s="97"/>
      <c r="HUD2" s="97"/>
      <c r="HUE2" s="97"/>
      <c r="HUF2" s="97"/>
      <c r="HUG2" s="97"/>
      <c r="HUH2" s="97"/>
      <c r="HUI2" s="97"/>
      <c r="HUJ2" s="97"/>
      <c r="HUK2" s="97"/>
      <c r="HUL2" s="97"/>
      <c r="HUM2" s="97"/>
      <c r="HUN2" s="97"/>
      <c r="HUO2" s="97"/>
      <c r="HUP2" s="97"/>
      <c r="HUQ2" s="97"/>
      <c r="HUR2" s="97"/>
      <c r="HUS2" s="97"/>
      <c r="HUT2" s="97"/>
      <c r="HUU2" s="97"/>
      <c r="HUV2" s="97"/>
      <c r="HUW2" s="97"/>
      <c r="HUX2" s="97"/>
      <c r="HUY2" s="97"/>
      <c r="HUZ2" s="97"/>
      <c r="HVA2" s="97"/>
      <c r="HVB2" s="97"/>
      <c r="HVC2" s="97"/>
      <c r="HVD2" s="97"/>
      <c r="HVE2" s="97"/>
      <c r="HVF2" s="97"/>
      <c r="HVG2" s="97"/>
      <c r="HVH2" s="97"/>
      <c r="HVI2" s="97"/>
      <c r="HVJ2" s="97"/>
      <c r="HVK2" s="97"/>
      <c r="HVL2" s="97"/>
      <c r="HVM2" s="97"/>
      <c r="HVN2" s="97"/>
      <c r="HVO2" s="97"/>
      <c r="HVP2" s="97"/>
      <c r="HVQ2" s="97"/>
      <c r="HVR2" s="97"/>
      <c r="HVS2" s="97"/>
      <c r="HVT2" s="97"/>
      <c r="HVU2" s="97"/>
      <c r="HVV2" s="97"/>
      <c r="HVW2" s="97"/>
      <c r="HVX2" s="97"/>
      <c r="HVY2" s="97"/>
      <c r="HVZ2" s="97"/>
      <c r="HWA2" s="97"/>
      <c r="HWB2" s="97"/>
      <c r="HWC2" s="97"/>
      <c r="HWD2" s="97"/>
      <c r="HWE2" s="97"/>
      <c r="HWF2" s="97"/>
      <c r="HWG2" s="97"/>
      <c r="HWH2" s="97"/>
      <c r="HWI2" s="97"/>
      <c r="HWJ2" s="97"/>
      <c r="HWK2" s="97"/>
      <c r="HWL2" s="97"/>
      <c r="HWM2" s="97"/>
      <c r="HWN2" s="97"/>
      <c r="HWO2" s="97"/>
      <c r="HWP2" s="97"/>
      <c r="HWQ2" s="97"/>
      <c r="HWR2" s="97"/>
      <c r="HWS2" s="97"/>
      <c r="HWT2" s="97"/>
      <c r="HWU2" s="97"/>
      <c r="HWV2" s="97"/>
      <c r="HWW2" s="97"/>
      <c r="HWX2" s="97"/>
      <c r="HWY2" s="97"/>
      <c r="HWZ2" s="97"/>
      <c r="HXA2" s="97"/>
      <c r="HXB2" s="97"/>
      <c r="HXC2" s="97"/>
      <c r="HXD2" s="97"/>
      <c r="HXE2" s="97"/>
      <c r="HXF2" s="97"/>
      <c r="HXG2" s="97"/>
      <c r="HXH2" s="97"/>
      <c r="HXI2" s="97"/>
      <c r="HXJ2" s="97"/>
      <c r="HXK2" s="97"/>
      <c r="HXL2" s="97"/>
      <c r="HXM2" s="97"/>
      <c r="HXN2" s="97"/>
      <c r="HXO2" s="97"/>
      <c r="HXP2" s="97"/>
      <c r="HXQ2" s="97"/>
      <c r="HXR2" s="97"/>
      <c r="HXS2" s="97"/>
      <c r="HXT2" s="97"/>
      <c r="HXU2" s="97"/>
      <c r="HXV2" s="97"/>
      <c r="HXW2" s="97"/>
      <c r="HXX2" s="97"/>
      <c r="HXY2" s="97"/>
      <c r="HXZ2" s="97"/>
      <c r="HYA2" s="97"/>
      <c r="HYB2" s="97"/>
      <c r="HYC2" s="97"/>
      <c r="HYD2" s="97"/>
      <c r="HYE2" s="97"/>
      <c r="HYF2" s="97"/>
      <c r="HYG2" s="97"/>
      <c r="HYH2" s="97"/>
      <c r="HYI2" s="97"/>
      <c r="HYJ2" s="97"/>
      <c r="HYK2" s="97"/>
      <c r="HYL2" s="97"/>
      <c r="HYM2" s="97"/>
      <c r="HYN2" s="97"/>
      <c r="HYO2" s="97"/>
      <c r="HYP2" s="97"/>
      <c r="HYQ2" s="97"/>
      <c r="HYR2" s="97"/>
      <c r="HYS2" s="97"/>
      <c r="HYT2" s="97"/>
      <c r="HYU2" s="97"/>
      <c r="HYV2" s="97"/>
      <c r="HYW2" s="97"/>
      <c r="HYX2" s="97"/>
      <c r="HYY2" s="97"/>
      <c r="HYZ2" s="97"/>
      <c r="HZA2" s="97"/>
      <c r="HZB2" s="97"/>
      <c r="HZC2" s="97"/>
      <c r="HZD2" s="97"/>
      <c r="HZE2" s="97"/>
      <c r="HZF2" s="97"/>
      <c r="HZG2" s="97"/>
      <c r="HZH2" s="97"/>
      <c r="HZI2" s="97"/>
      <c r="HZJ2" s="97"/>
      <c r="HZK2" s="97"/>
      <c r="HZL2" s="97"/>
      <c r="HZM2" s="97"/>
      <c r="HZN2" s="97"/>
      <c r="HZO2" s="97"/>
      <c r="HZP2" s="97"/>
      <c r="HZQ2" s="97"/>
      <c r="HZR2" s="97"/>
      <c r="HZS2" s="97"/>
      <c r="HZT2" s="97"/>
      <c r="HZU2" s="97"/>
      <c r="HZV2" s="97"/>
      <c r="HZW2" s="97"/>
      <c r="HZX2" s="97"/>
      <c r="HZY2" s="97"/>
      <c r="HZZ2" s="97"/>
      <c r="IAA2" s="97"/>
      <c r="IAB2" s="97"/>
      <c r="IAC2" s="97"/>
      <c r="IAD2" s="97"/>
      <c r="IAE2" s="97"/>
      <c r="IAF2" s="97"/>
      <c r="IAG2" s="97"/>
      <c r="IAH2" s="97"/>
      <c r="IAI2" s="97"/>
      <c r="IAJ2" s="97"/>
      <c r="IAK2" s="97"/>
      <c r="IAL2" s="97"/>
      <c r="IAM2" s="97"/>
      <c r="IAN2" s="97"/>
      <c r="IAO2" s="97"/>
      <c r="IAP2" s="97"/>
      <c r="IAQ2" s="97"/>
      <c r="IAR2" s="97"/>
      <c r="IAS2" s="97"/>
      <c r="IAT2" s="97"/>
      <c r="IAU2" s="97"/>
      <c r="IAV2" s="97"/>
      <c r="IAW2" s="97"/>
      <c r="IAX2" s="97"/>
      <c r="IAY2" s="97"/>
      <c r="IAZ2" s="97"/>
      <c r="IBA2" s="97"/>
      <c r="IBB2" s="97"/>
      <c r="IBC2" s="97"/>
      <c r="IBD2" s="97"/>
      <c r="IBE2" s="97"/>
      <c r="IBF2" s="97"/>
      <c r="IBG2" s="97"/>
      <c r="IBH2" s="97"/>
      <c r="IBI2" s="97"/>
      <c r="IBJ2" s="97"/>
      <c r="IBK2" s="97"/>
      <c r="IBL2" s="97"/>
      <c r="IBM2" s="97"/>
      <c r="IBN2" s="97"/>
      <c r="IBO2" s="97"/>
      <c r="IBP2" s="97"/>
      <c r="IBQ2" s="97"/>
      <c r="IBR2" s="97"/>
      <c r="IBS2" s="97"/>
      <c r="IBT2" s="97"/>
      <c r="IBU2" s="97"/>
      <c r="IBV2" s="97"/>
      <c r="IBW2" s="97"/>
      <c r="IBX2" s="97"/>
      <c r="IBY2" s="97"/>
      <c r="IBZ2" s="97"/>
      <c r="ICA2" s="97"/>
      <c r="ICB2" s="97"/>
      <c r="ICC2" s="97"/>
      <c r="ICD2" s="97"/>
      <c r="ICE2" s="97"/>
      <c r="ICF2" s="97"/>
      <c r="ICG2" s="97"/>
      <c r="ICH2" s="97"/>
      <c r="ICI2" s="97"/>
      <c r="ICJ2" s="97"/>
      <c r="ICK2" s="97"/>
      <c r="ICL2" s="97"/>
      <c r="ICM2" s="97"/>
      <c r="ICN2" s="97"/>
      <c r="ICO2" s="97"/>
      <c r="ICP2" s="97"/>
      <c r="ICQ2" s="97"/>
      <c r="ICR2" s="97"/>
      <c r="ICS2" s="97"/>
      <c r="ICT2" s="97"/>
      <c r="ICU2" s="97"/>
      <c r="ICV2" s="97"/>
      <c r="ICW2" s="97"/>
      <c r="ICX2" s="97"/>
      <c r="ICY2" s="97"/>
      <c r="ICZ2" s="97"/>
      <c r="IDA2" s="97"/>
      <c r="IDB2" s="97"/>
      <c r="IDC2" s="97"/>
      <c r="IDD2" s="97"/>
      <c r="IDE2" s="97"/>
      <c r="IDF2" s="97"/>
      <c r="IDG2" s="97"/>
      <c r="IDH2" s="97"/>
      <c r="IDI2" s="97"/>
      <c r="IDJ2" s="97"/>
      <c r="IDK2" s="97"/>
      <c r="IDL2" s="97"/>
      <c r="IDM2" s="97"/>
      <c r="IDN2" s="97"/>
      <c r="IDO2" s="97"/>
      <c r="IDP2" s="97"/>
      <c r="IDQ2" s="97"/>
      <c r="IDR2" s="97"/>
      <c r="IDS2" s="97"/>
      <c r="IDT2" s="97"/>
      <c r="IDU2" s="97"/>
      <c r="IDV2" s="97"/>
      <c r="IDW2" s="97"/>
      <c r="IDX2" s="97"/>
      <c r="IDY2" s="97"/>
      <c r="IDZ2" s="97"/>
      <c r="IEA2" s="97"/>
      <c r="IEB2" s="97"/>
      <c r="IEC2" s="97"/>
      <c r="IED2" s="97"/>
      <c r="IEE2" s="97"/>
      <c r="IEF2" s="97"/>
      <c r="IEG2" s="97"/>
      <c r="IEH2" s="97"/>
      <c r="IEI2" s="97"/>
      <c r="IEJ2" s="97"/>
      <c r="IEK2" s="97"/>
      <c r="IEL2" s="97"/>
      <c r="IEM2" s="97"/>
      <c r="IEN2" s="97"/>
      <c r="IEO2" s="97"/>
      <c r="IEP2" s="97"/>
      <c r="IEQ2" s="97"/>
      <c r="IER2" s="97"/>
      <c r="IES2" s="97"/>
      <c r="IET2" s="97"/>
      <c r="IEU2" s="97"/>
      <c r="IEV2" s="97"/>
      <c r="IEW2" s="97"/>
      <c r="IEX2" s="97"/>
      <c r="IEY2" s="97"/>
      <c r="IEZ2" s="97"/>
      <c r="IFA2" s="97"/>
      <c r="IFB2" s="97"/>
      <c r="IFC2" s="97"/>
      <c r="IFD2" s="97"/>
      <c r="IFE2" s="97"/>
      <c r="IFF2" s="97"/>
      <c r="IFG2" s="97"/>
      <c r="IFH2" s="97"/>
      <c r="IFI2" s="97"/>
      <c r="IFJ2" s="97"/>
      <c r="IFK2" s="97"/>
      <c r="IFL2" s="97"/>
      <c r="IFM2" s="97"/>
      <c r="IFN2" s="97"/>
      <c r="IFO2" s="97"/>
      <c r="IFP2" s="97"/>
      <c r="IFQ2" s="97"/>
      <c r="IFR2" s="97"/>
      <c r="IFS2" s="97"/>
      <c r="IFT2" s="97"/>
      <c r="IFU2" s="97"/>
      <c r="IFV2" s="97"/>
      <c r="IFW2" s="97"/>
      <c r="IFX2" s="97"/>
      <c r="IFY2" s="97"/>
      <c r="IFZ2" s="97"/>
      <c r="IGA2" s="97"/>
      <c r="IGB2" s="97"/>
      <c r="IGC2" s="97"/>
      <c r="IGD2" s="97"/>
      <c r="IGE2" s="97"/>
      <c r="IGF2" s="97"/>
      <c r="IGG2" s="97"/>
      <c r="IGH2" s="97"/>
      <c r="IGI2" s="97"/>
      <c r="IGJ2" s="97"/>
      <c r="IGK2" s="97"/>
      <c r="IGL2" s="97"/>
      <c r="IGM2" s="97"/>
      <c r="IGN2" s="97"/>
      <c r="IGO2" s="97"/>
      <c r="IGP2" s="97"/>
      <c r="IGQ2" s="97"/>
      <c r="IGR2" s="97"/>
      <c r="IGS2" s="97"/>
      <c r="IGT2" s="97"/>
      <c r="IGU2" s="97"/>
      <c r="IGV2" s="97"/>
      <c r="IGW2" s="97"/>
      <c r="IGX2" s="97"/>
      <c r="IGY2" s="97"/>
      <c r="IGZ2" s="97"/>
      <c r="IHA2" s="97"/>
      <c r="IHB2" s="97"/>
      <c r="IHC2" s="97"/>
      <c r="IHD2" s="97"/>
      <c r="IHE2" s="97"/>
      <c r="IHF2" s="97"/>
      <c r="IHG2" s="97"/>
      <c r="IHH2" s="97"/>
      <c r="IHI2" s="97"/>
      <c r="IHJ2" s="97"/>
      <c r="IHK2" s="97"/>
      <c r="IHL2" s="97"/>
      <c r="IHM2" s="97"/>
      <c r="IHN2" s="97"/>
      <c r="IHO2" s="97"/>
      <c r="IHP2" s="97"/>
      <c r="IHQ2" s="97"/>
      <c r="IHR2" s="97"/>
      <c r="IHS2" s="97"/>
      <c r="IHT2" s="97"/>
      <c r="IHU2" s="97"/>
      <c r="IHV2" s="97"/>
      <c r="IHW2" s="97"/>
      <c r="IHX2" s="97"/>
      <c r="IHY2" s="97"/>
      <c r="IHZ2" s="97"/>
      <c r="IIA2" s="97"/>
      <c r="IIB2" s="97"/>
      <c r="IIC2" s="97"/>
      <c r="IID2" s="97"/>
      <c r="IIE2" s="97"/>
      <c r="IIF2" s="97"/>
      <c r="IIG2" s="97"/>
      <c r="IIH2" s="97"/>
      <c r="III2" s="97"/>
      <c r="IIJ2" s="97"/>
      <c r="IIK2" s="97"/>
      <c r="IIL2" s="97"/>
      <c r="IIM2" s="97"/>
      <c r="IIN2" s="97"/>
      <c r="IIO2" s="97"/>
      <c r="IIP2" s="97"/>
      <c r="IIQ2" s="97"/>
      <c r="IIR2" s="97"/>
      <c r="IIS2" s="97"/>
      <c r="IIT2" s="97"/>
      <c r="IIU2" s="97"/>
      <c r="IIV2" s="97"/>
      <c r="IIW2" s="97"/>
      <c r="IIX2" s="97"/>
      <c r="IIY2" s="97"/>
      <c r="IIZ2" s="97"/>
      <c r="IJA2" s="97"/>
      <c r="IJB2" s="97"/>
      <c r="IJC2" s="97"/>
      <c r="IJD2" s="97"/>
      <c r="IJE2" s="97"/>
      <c r="IJF2" s="97"/>
      <c r="IJG2" s="97"/>
      <c r="IJH2" s="97"/>
      <c r="IJI2" s="97"/>
      <c r="IJJ2" s="97"/>
      <c r="IJK2" s="97"/>
      <c r="IJL2" s="97"/>
      <c r="IJM2" s="97"/>
      <c r="IJN2" s="97"/>
      <c r="IJO2" s="97"/>
      <c r="IJP2" s="97"/>
      <c r="IJQ2" s="97"/>
      <c r="IJR2" s="97"/>
      <c r="IJS2" s="97"/>
      <c r="IJT2" s="97"/>
      <c r="IJU2" s="97"/>
      <c r="IJV2" s="97"/>
      <c r="IJW2" s="97"/>
      <c r="IJX2" s="97"/>
      <c r="IJY2" s="97"/>
      <c r="IJZ2" s="97"/>
      <c r="IKA2" s="97"/>
      <c r="IKB2" s="97"/>
      <c r="IKC2" s="97"/>
      <c r="IKD2" s="97"/>
      <c r="IKE2" s="97"/>
      <c r="IKF2" s="97"/>
      <c r="IKG2" s="97"/>
      <c r="IKH2" s="97"/>
      <c r="IKI2" s="97"/>
      <c r="IKJ2" s="97"/>
      <c r="IKK2" s="97"/>
      <c r="IKL2" s="97"/>
      <c r="IKM2" s="97"/>
      <c r="IKN2" s="97"/>
      <c r="IKO2" s="97"/>
      <c r="IKP2" s="97"/>
      <c r="IKQ2" s="97"/>
      <c r="IKR2" s="97"/>
      <c r="IKS2" s="97"/>
      <c r="IKT2" s="97"/>
      <c r="IKU2" s="97"/>
      <c r="IKV2" s="97"/>
      <c r="IKW2" s="97"/>
      <c r="IKX2" s="97"/>
      <c r="IKY2" s="97"/>
      <c r="IKZ2" s="97"/>
      <c r="ILA2" s="97"/>
      <c r="ILB2" s="97"/>
      <c r="ILC2" s="97"/>
      <c r="ILD2" s="97"/>
      <c r="ILE2" s="97"/>
      <c r="ILF2" s="97"/>
      <c r="ILG2" s="97"/>
      <c r="ILH2" s="97"/>
      <c r="ILI2" s="97"/>
      <c r="ILJ2" s="97"/>
      <c r="ILK2" s="97"/>
      <c r="ILL2" s="97"/>
      <c r="ILM2" s="97"/>
      <c r="ILN2" s="97"/>
      <c r="ILO2" s="97"/>
      <c r="ILP2" s="97"/>
      <c r="ILQ2" s="97"/>
      <c r="ILR2" s="97"/>
      <c r="ILS2" s="97"/>
      <c r="ILT2" s="97"/>
      <c r="ILU2" s="97"/>
      <c r="ILV2" s="97"/>
      <c r="ILW2" s="97"/>
      <c r="ILX2" s="97"/>
      <c r="ILY2" s="97"/>
      <c r="ILZ2" s="97"/>
      <c r="IMA2" s="97"/>
      <c r="IMB2" s="97"/>
      <c r="IMC2" s="97"/>
      <c r="IMD2" s="97"/>
      <c r="IME2" s="97"/>
      <c r="IMF2" s="97"/>
      <c r="IMG2" s="97"/>
      <c r="IMH2" s="97"/>
      <c r="IMI2" s="97"/>
      <c r="IMJ2" s="97"/>
      <c r="IMK2" s="97"/>
      <c r="IML2" s="97"/>
      <c r="IMM2" s="97"/>
      <c r="IMN2" s="97"/>
      <c r="IMO2" s="97"/>
      <c r="IMP2" s="97"/>
      <c r="IMQ2" s="97"/>
      <c r="IMR2" s="97"/>
      <c r="IMS2" s="97"/>
      <c r="IMT2" s="97"/>
      <c r="IMU2" s="97"/>
      <c r="IMV2" s="97"/>
      <c r="IMW2" s="97"/>
      <c r="IMX2" s="97"/>
      <c r="IMY2" s="97"/>
      <c r="IMZ2" s="97"/>
      <c r="INA2" s="97"/>
      <c r="INB2" s="97"/>
      <c r="INC2" s="97"/>
      <c r="IND2" s="97"/>
      <c r="INE2" s="97"/>
      <c r="INF2" s="97"/>
      <c r="ING2" s="97"/>
      <c r="INH2" s="97"/>
      <c r="INI2" s="97"/>
      <c r="INJ2" s="97"/>
      <c r="INK2" s="97"/>
      <c r="INL2" s="97"/>
      <c r="INM2" s="97"/>
      <c r="INN2" s="97"/>
      <c r="INO2" s="97"/>
      <c r="INP2" s="97"/>
      <c r="INQ2" s="97"/>
      <c r="INR2" s="97"/>
      <c r="INS2" s="97"/>
      <c r="INT2" s="97"/>
      <c r="INU2" s="97"/>
      <c r="INV2" s="97"/>
      <c r="INW2" s="97"/>
      <c r="INX2" s="97"/>
      <c r="INY2" s="97"/>
      <c r="INZ2" s="97"/>
      <c r="IOA2" s="97"/>
      <c r="IOB2" s="97"/>
      <c r="IOC2" s="97"/>
      <c r="IOD2" s="97"/>
      <c r="IOE2" s="97"/>
      <c r="IOF2" s="97"/>
      <c r="IOG2" s="97"/>
      <c r="IOH2" s="97"/>
      <c r="IOI2" s="97"/>
      <c r="IOJ2" s="97"/>
      <c r="IOK2" s="97"/>
      <c r="IOL2" s="97"/>
      <c r="IOM2" s="97"/>
      <c r="ION2" s="97"/>
      <c r="IOO2" s="97"/>
      <c r="IOP2" s="97"/>
      <c r="IOQ2" s="97"/>
      <c r="IOR2" s="97"/>
      <c r="IOS2" s="97"/>
      <c r="IOT2" s="97"/>
      <c r="IOU2" s="97"/>
      <c r="IOV2" s="97"/>
      <c r="IOW2" s="97"/>
      <c r="IOX2" s="97"/>
      <c r="IOY2" s="97"/>
      <c r="IOZ2" s="97"/>
      <c r="IPA2" s="97"/>
      <c r="IPB2" s="97"/>
      <c r="IPC2" s="97"/>
      <c r="IPD2" s="97"/>
      <c r="IPE2" s="97"/>
      <c r="IPF2" s="97"/>
      <c r="IPG2" s="97"/>
      <c r="IPH2" s="97"/>
      <c r="IPI2" s="97"/>
      <c r="IPJ2" s="97"/>
      <c r="IPK2" s="97"/>
      <c r="IPL2" s="97"/>
      <c r="IPM2" s="97"/>
      <c r="IPN2" s="97"/>
      <c r="IPO2" s="97"/>
      <c r="IPP2" s="97"/>
      <c r="IPQ2" s="97"/>
      <c r="IPR2" s="97"/>
      <c r="IPS2" s="97"/>
      <c r="IPT2" s="97"/>
      <c r="IPU2" s="97"/>
      <c r="IPV2" s="97"/>
      <c r="IPW2" s="97"/>
      <c r="IPX2" s="97"/>
      <c r="IPY2" s="97"/>
      <c r="IPZ2" s="97"/>
      <c r="IQA2" s="97"/>
      <c r="IQB2" s="97"/>
      <c r="IQC2" s="97"/>
      <c r="IQD2" s="97"/>
      <c r="IQE2" s="97"/>
      <c r="IQF2" s="97"/>
      <c r="IQG2" s="97"/>
      <c r="IQH2" s="97"/>
      <c r="IQI2" s="97"/>
      <c r="IQJ2" s="97"/>
      <c r="IQK2" s="97"/>
      <c r="IQL2" s="97"/>
      <c r="IQM2" s="97"/>
      <c r="IQN2" s="97"/>
      <c r="IQO2" s="97"/>
      <c r="IQP2" s="97"/>
      <c r="IQQ2" s="97"/>
      <c r="IQR2" s="97"/>
      <c r="IQS2" s="97"/>
      <c r="IQT2" s="97"/>
      <c r="IQU2" s="97"/>
      <c r="IQV2" s="97"/>
      <c r="IQW2" s="97"/>
      <c r="IQX2" s="97"/>
      <c r="IQY2" s="97"/>
      <c r="IQZ2" s="97"/>
      <c r="IRA2" s="97"/>
      <c r="IRB2" s="97"/>
      <c r="IRC2" s="97"/>
      <c r="IRD2" s="97"/>
      <c r="IRE2" s="97"/>
      <c r="IRF2" s="97"/>
      <c r="IRG2" s="97"/>
      <c r="IRH2" s="97"/>
      <c r="IRI2" s="97"/>
      <c r="IRJ2" s="97"/>
      <c r="IRK2" s="97"/>
      <c r="IRL2" s="97"/>
      <c r="IRM2" s="97"/>
      <c r="IRN2" s="97"/>
      <c r="IRO2" s="97"/>
      <c r="IRP2" s="97"/>
      <c r="IRQ2" s="97"/>
      <c r="IRR2" s="97"/>
      <c r="IRS2" s="97"/>
      <c r="IRT2" s="97"/>
      <c r="IRU2" s="97"/>
      <c r="IRV2" s="97"/>
      <c r="IRW2" s="97"/>
      <c r="IRX2" s="97"/>
      <c r="IRY2" s="97"/>
      <c r="IRZ2" s="97"/>
      <c r="ISA2" s="97"/>
      <c r="ISB2" s="97"/>
      <c r="ISC2" s="97"/>
      <c r="ISD2" s="97"/>
      <c r="ISE2" s="97"/>
      <c r="ISF2" s="97"/>
      <c r="ISG2" s="97"/>
      <c r="ISH2" s="97"/>
      <c r="ISI2" s="97"/>
      <c r="ISJ2" s="97"/>
      <c r="ISK2" s="97"/>
      <c r="ISL2" s="97"/>
      <c r="ISM2" s="97"/>
      <c r="ISN2" s="97"/>
      <c r="ISO2" s="97"/>
      <c r="ISP2" s="97"/>
      <c r="ISQ2" s="97"/>
      <c r="ISR2" s="97"/>
      <c r="ISS2" s="97"/>
      <c r="IST2" s="97"/>
      <c r="ISU2" s="97"/>
      <c r="ISV2" s="97"/>
      <c r="ISW2" s="97"/>
      <c r="ISX2" s="97"/>
      <c r="ISY2" s="97"/>
      <c r="ISZ2" s="97"/>
      <c r="ITA2" s="97"/>
      <c r="ITB2" s="97"/>
      <c r="ITC2" s="97"/>
      <c r="ITD2" s="97"/>
      <c r="ITE2" s="97"/>
      <c r="ITF2" s="97"/>
      <c r="ITG2" s="97"/>
      <c r="ITH2" s="97"/>
      <c r="ITI2" s="97"/>
      <c r="ITJ2" s="97"/>
      <c r="ITK2" s="97"/>
      <c r="ITL2" s="97"/>
      <c r="ITM2" s="97"/>
      <c r="ITN2" s="97"/>
      <c r="ITO2" s="97"/>
      <c r="ITP2" s="97"/>
      <c r="ITQ2" s="97"/>
      <c r="ITR2" s="97"/>
      <c r="ITS2" s="97"/>
      <c r="ITT2" s="97"/>
      <c r="ITU2" s="97"/>
      <c r="ITV2" s="97"/>
      <c r="ITW2" s="97"/>
      <c r="ITX2" s="97"/>
      <c r="ITY2" s="97"/>
      <c r="ITZ2" s="97"/>
      <c r="IUA2" s="97"/>
      <c r="IUB2" s="97"/>
      <c r="IUC2" s="97"/>
      <c r="IUD2" s="97"/>
      <c r="IUE2" s="97"/>
      <c r="IUF2" s="97"/>
      <c r="IUG2" s="97"/>
      <c r="IUH2" s="97"/>
      <c r="IUI2" s="97"/>
      <c r="IUJ2" s="97"/>
      <c r="IUK2" s="97"/>
      <c r="IUL2" s="97"/>
      <c r="IUM2" s="97"/>
      <c r="IUN2" s="97"/>
      <c r="IUO2" s="97"/>
      <c r="IUP2" s="97"/>
      <c r="IUQ2" s="97"/>
      <c r="IUR2" s="97"/>
      <c r="IUS2" s="97"/>
      <c r="IUT2" s="97"/>
      <c r="IUU2" s="97"/>
      <c r="IUV2" s="97"/>
      <c r="IUW2" s="97"/>
      <c r="IUX2" s="97"/>
      <c r="IUY2" s="97"/>
      <c r="IUZ2" s="97"/>
      <c r="IVA2" s="97"/>
      <c r="IVB2" s="97"/>
      <c r="IVC2" s="97"/>
      <c r="IVD2" s="97"/>
      <c r="IVE2" s="97"/>
      <c r="IVF2" s="97"/>
      <c r="IVG2" s="97"/>
      <c r="IVH2" s="97"/>
      <c r="IVI2" s="97"/>
      <c r="IVJ2" s="97"/>
      <c r="IVK2" s="97"/>
      <c r="IVL2" s="97"/>
      <c r="IVM2" s="97"/>
      <c r="IVN2" s="97"/>
      <c r="IVO2" s="97"/>
      <c r="IVP2" s="97"/>
      <c r="IVQ2" s="97"/>
      <c r="IVR2" s="97"/>
      <c r="IVS2" s="97"/>
      <c r="IVT2" s="97"/>
      <c r="IVU2" s="97"/>
      <c r="IVV2" s="97"/>
      <c r="IVW2" s="97"/>
      <c r="IVX2" s="97"/>
      <c r="IVY2" s="97"/>
      <c r="IVZ2" s="97"/>
      <c r="IWA2" s="97"/>
      <c r="IWB2" s="97"/>
      <c r="IWC2" s="97"/>
      <c r="IWD2" s="97"/>
      <c r="IWE2" s="97"/>
      <c r="IWF2" s="97"/>
      <c r="IWG2" s="97"/>
      <c r="IWH2" s="97"/>
      <c r="IWI2" s="97"/>
      <c r="IWJ2" s="97"/>
      <c r="IWK2" s="97"/>
      <c r="IWL2" s="97"/>
      <c r="IWM2" s="97"/>
      <c r="IWN2" s="97"/>
      <c r="IWO2" s="97"/>
      <c r="IWP2" s="97"/>
      <c r="IWQ2" s="97"/>
      <c r="IWR2" s="97"/>
      <c r="IWS2" s="97"/>
      <c r="IWT2" s="97"/>
      <c r="IWU2" s="97"/>
      <c r="IWV2" s="97"/>
      <c r="IWW2" s="97"/>
      <c r="IWX2" s="97"/>
      <c r="IWY2" s="97"/>
      <c r="IWZ2" s="97"/>
      <c r="IXA2" s="97"/>
      <c r="IXB2" s="97"/>
      <c r="IXC2" s="97"/>
      <c r="IXD2" s="97"/>
      <c r="IXE2" s="97"/>
      <c r="IXF2" s="97"/>
      <c r="IXG2" s="97"/>
      <c r="IXH2" s="97"/>
      <c r="IXI2" s="97"/>
      <c r="IXJ2" s="97"/>
      <c r="IXK2" s="97"/>
      <c r="IXL2" s="97"/>
      <c r="IXM2" s="97"/>
      <c r="IXN2" s="97"/>
      <c r="IXO2" s="97"/>
      <c r="IXP2" s="97"/>
      <c r="IXQ2" s="97"/>
      <c r="IXR2" s="97"/>
      <c r="IXS2" s="97"/>
      <c r="IXT2" s="97"/>
      <c r="IXU2" s="97"/>
      <c r="IXV2" s="97"/>
      <c r="IXW2" s="97"/>
      <c r="IXX2" s="97"/>
      <c r="IXY2" s="97"/>
      <c r="IXZ2" s="97"/>
      <c r="IYA2" s="97"/>
      <c r="IYB2" s="97"/>
      <c r="IYC2" s="97"/>
      <c r="IYD2" s="97"/>
      <c r="IYE2" s="97"/>
      <c r="IYF2" s="97"/>
      <c r="IYG2" s="97"/>
      <c r="IYH2" s="97"/>
      <c r="IYI2" s="97"/>
      <c r="IYJ2" s="97"/>
      <c r="IYK2" s="97"/>
      <c r="IYL2" s="97"/>
      <c r="IYM2" s="97"/>
      <c r="IYN2" s="97"/>
      <c r="IYO2" s="97"/>
      <c r="IYP2" s="97"/>
      <c r="IYQ2" s="97"/>
      <c r="IYR2" s="97"/>
      <c r="IYS2" s="97"/>
      <c r="IYT2" s="97"/>
      <c r="IYU2" s="97"/>
      <c r="IYV2" s="97"/>
      <c r="IYW2" s="97"/>
      <c r="IYX2" s="97"/>
      <c r="IYY2" s="97"/>
      <c r="IYZ2" s="97"/>
      <c r="IZA2" s="97"/>
      <c r="IZB2" s="97"/>
      <c r="IZC2" s="97"/>
      <c r="IZD2" s="97"/>
      <c r="IZE2" s="97"/>
      <c r="IZF2" s="97"/>
      <c r="IZG2" s="97"/>
      <c r="IZH2" s="97"/>
      <c r="IZI2" s="97"/>
      <c r="IZJ2" s="97"/>
      <c r="IZK2" s="97"/>
      <c r="IZL2" s="97"/>
      <c r="IZM2" s="97"/>
      <c r="IZN2" s="97"/>
      <c r="IZO2" s="97"/>
      <c r="IZP2" s="97"/>
      <c r="IZQ2" s="97"/>
      <c r="IZR2" s="97"/>
      <c r="IZS2" s="97"/>
      <c r="IZT2" s="97"/>
      <c r="IZU2" s="97"/>
      <c r="IZV2" s="97"/>
      <c r="IZW2" s="97"/>
      <c r="IZX2" s="97"/>
      <c r="IZY2" s="97"/>
      <c r="IZZ2" s="97"/>
      <c r="JAA2" s="97"/>
      <c r="JAB2" s="97"/>
      <c r="JAC2" s="97"/>
      <c r="JAD2" s="97"/>
      <c r="JAE2" s="97"/>
      <c r="JAF2" s="97"/>
      <c r="JAG2" s="97"/>
      <c r="JAH2" s="97"/>
      <c r="JAI2" s="97"/>
      <c r="JAJ2" s="97"/>
      <c r="JAK2" s="97"/>
      <c r="JAL2" s="97"/>
      <c r="JAM2" s="97"/>
      <c r="JAN2" s="97"/>
      <c r="JAO2" s="97"/>
      <c r="JAP2" s="97"/>
      <c r="JAQ2" s="97"/>
      <c r="JAR2" s="97"/>
      <c r="JAS2" s="97"/>
      <c r="JAT2" s="97"/>
      <c r="JAU2" s="97"/>
      <c r="JAV2" s="97"/>
      <c r="JAW2" s="97"/>
      <c r="JAX2" s="97"/>
      <c r="JAY2" s="97"/>
      <c r="JAZ2" s="97"/>
      <c r="JBA2" s="97"/>
      <c r="JBB2" s="97"/>
      <c r="JBC2" s="97"/>
      <c r="JBD2" s="97"/>
      <c r="JBE2" s="97"/>
      <c r="JBF2" s="97"/>
      <c r="JBG2" s="97"/>
      <c r="JBH2" s="97"/>
      <c r="JBI2" s="97"/>
      <c r="JBJ2" s="97"/>
      <c r="JBK2" s="97"/>
      <c r="JBL2" s="97"/>
      <c r="JBM2" s="97"/>
      <c r="JBN2" s="97"/>
      <c r="JBO2" s="97"/>
      <c r="JBP2" s="97"/>
      <c r="JBQ2" s="97"/>
      <c r="JBR2" s="97"/>
      <c r="JBS2" s="97"/>
      <c r="JBT2" s="97"/>
      <c r="JBU2" s="97"/>
      <c r="JBV2" s="97"/>
      <c r="JBW2" s="97"/>
      <c r="JBX2" s="97"/>
      <c r="JBY2" s="97"/>
      <c r="JBZ2" s="97"/>
      <c r="JCA2" s="97"/>
      <c r="JCB2" s="97"/>
      <c r="JCC2" s="97"/>
      <c r="JCD2" s="97"/>
      <c r="JCE2" s="97"/>
      <c r="JCF2" s="97"/>
      <c r="JCG2" s="97"/>
      <c r="JCH2" s="97"/>
      <c r="JCI2" s="97"/>
      <c r="JCJ2" s="97"/>
      <c r="JCK2" s="97"/>
      <c r="JCL2" s="97"/>
      <c r="JCM2" s="97"/>
      <c r="JCN2" s="97"/>
      <c r="JCO2" s="97"/>
      <c r="JCP2" s="97"/>
      <c r="JCQ2" s="97"/>
      <c r="JCR2" s="97"/>
      <c r="JCS2" s="97"/>
      <c r="JCT2" s="97"/>
      <c r="JCU2" s="97"/>
      <c r="JCV2" s="97"/>
      <c r="JCW2" s="97"/>
      <c r="JCX2" s="97"/>
      <c r="JCY2" s="97"/>
      <c r="JCZ2" s="97"/>
      <c r="JDA2" s="97"/>
      <c r="JDB2" s="97"/>
      <c r="JDC2" s="97"/>
      <c r="JDD2" s="97"/>
      <c r="JDE2" s="97"/>
      <c r="JDF2" s="97"/>
      <c r="JDG2" s="97"/>
      <c r="JDH2" s="97"/>
      <c r="JDI2" s="97"/>
      <c r="JDJ2" s="97"/>
      <c r="JDK2" s="97"/>
      <c r="JDL2" s="97"/>
      <c r="JDM2" s="97"/>
      <c r="JDN2" s="97"/>
      <c r="JDO2" s="97"/>
      <c r="JDP2" s="97"/>
      <c r="JDQ2" s="97"/>
      <c r="JDR2" s="97"/>
      <c r="JDS2" s="97"/>
      <c r="JDT2" s="97"/>
      <c r="JDU2" s="97"/>
      <c r="JDV2" s="97"/>
      <c r="JDW2" s="97"/>
      <c r="JDX2" s="97"/>
      <c r="JDY2" s="97"/>
      <c r="JDZ2" s="97"/>
      <c r="JEA2" s="97"/>
      <c r="JEB2" s="97"/>
      <c r="JEC2" s="97"/>
      <c r="JED2" s="97"/>
      <c r="JEE2" s="97"/>
      <c r="JEF2" s="97"/>
      <c r="JEG2" s="97"/>
      <c r="JEH2" s="97"/>
      <c r="JEI2" s="97"/>
      <c r="JEJ2" s="97"/>
      <c r="JEK2" s="97"/>
      <c r="JEL2" s="97"/>
      <c r="JEM2" s="97"/>
      <c r="JEN2" s="97"/>
      <c r="JEO2" s="97"/>
      <c r="JEP2" s="97"/>
      <c r="JEQ2" s="97"/>
      <c r="JER2" s="97"/>
      <c r="JES2" s="97"/>
      <c r="JET2" s="97"/>
      <c r="JEU2" s="97"/>
      <c r="JEV2" s="97"/>
      <c r="JEW2" s="97"/>
      <c r="JEX2" s="97"/>
      <c r="JEY2" s="97"/>
      <c r="JEZ2" s="97"/>
      <c r="JFA2" s="97"/>
      <c r="JFB2" s="97"/>
      <c r="JFC2" s="97"/>
      <c r="JFD2" s="97"/>
      <c r="JFE2" s="97"/>
      <c r="JFF2" s="97"/>
      <c r="JFG2" s="97"/>
      <c r="JFH2" s="97"/>
      <c r="JFI2" s="97"/>
      <c r="JFJ2" s="97"/>
      <c r="JFK2" s="97"/>
      <c r="JFL2" s="97"/>
      <c r="JFM2" s="97"/>
      <c r="JFN2" s="97"/>
      <c r="JFO2" s="97"/>
      <c r="JFP2" s="97"/>
      <c r="JFQ2" s="97"/>
      <c r="JFR2" s="97"/>
      <c r="JFS2" s="97"/>
      <c r="JFT2" s="97"/>
      <c r="JFU2" s="97"/>
      <c r="JFV2" s="97"/>
      <c r="JFW2" s="97"/>
      <c r="JFX2" s="97"/>
      <c r="JFY2" s="97"/>
      <c r="JFZ2" s="97"/>
      <c r="JGA2" s="97"/>
      <c r="JGB2" s="97"/>
      <c r="JGC2" s="97"/>
      <c r="JGD2" s="97"/>
      <c r="JGE2" s="97"/>
      <c r="JGF2" s="97"/>
      <c r="JGG2" s="97"/>
      <c r="JGH2" s="97"/>
      <c r="JGI2" s="97"/>
      <c r="JGJ2" s="97"/>
      <c r="JGK2" s="97"/>
      <c r="JGL2" s="97"/>
      <c r="JGM2" s="97"/>
      <c r="JGN2" s="97"/>
      <c r="JGO2" s="97"/>
      <c r="JGP2" s="97"/>
      <c r="JGQ2" s="97"/>
      <c r="JGR2" s="97"/>
      <c r="JGS2" s="97"/>
      <c r="JGT2" s="97"/>
      <c r="JGU2" s="97"/>
      <c r="JGV2" s="97"/>
      <c r="JGW2" s="97"/>
      <c r="JGX2" s="97"/>
      <c r="JGY2" s="97"/>
      <c r="JGZ2" s="97"/>
      <c r="JHA2" s="97"/>
      <c r="JHB2" s="97"/>
      <c r="JHC2" s="97"/>
      <c r="JHD2" s="97"/>
      <c r="JHE2" s="97"/>
      <c r="JHF2" s="97"/>
      <c r="JHG2" s="97"/>
      <c r="JHH2" s="97"/>
      <c r="JHI2" s="97"/>
      <c r="JHJ2" s="97"/>
      <c r="JHK2" s="97"/>
      <c r="JHL2" s="97"/>
      <c r="JHM2" s="97"/>
      <c r="JHN2" s="97"/>
      <c r="JHO2" s="97"/>
      <c r="JHP2" s="97"/>
      <c r="JHQ2" s="97"/>
      <c r="JHR2" s="97"/>
      <c r="JHS2" s="97"/>
      <c r="JHT2" s="97"/>
      <c r="JHU2" s="97"/>
      <c r="JHV2" s="97"/>
      <c r="JHW2" s="97"/>
      <c r="JHX2" s="97"/>
      <c r="JHY2" s="97"/>
      <c r="JHZ2" s="97"/>
      <c r="JIA2" s="97"/>
      <c r="JIB2" s="97"/>
      <c r="JIC2" s="97"/>
      <c r="JID2" s="97"/>
      <c r="JIE2" s="97"/>
      <c r="JIF2" s="97"/>
      <c r="JIG2" s="97"/>
      <c r="JIH2" s="97"/>
      <c r="JII2" s="97"/>
      <c r="JIJ2" s="97"/>
      <c r="JIK2" s="97"/>
      <c r="JIL2" s="97"/>
      <c r="JIM2" s="97"/>
      <c r="JIN2" s="97"/>
      <c r="JIO2" s="97"/>
      <c r="JIP2" s="97"/>
      <c r="JIQ2" s="97"/>
      <c r="JIR2" s="97"/>
      <c r="JIS2" s="97"/>
      <c r="JIT2" s="97"/>
      <c r="JIU2" s="97"/>
      <c r="JIV2" s="97"/>
      <c r="JIW2" s="97"/>
      <c r="JIX2" s="97"/>
      <c r="JIY2" s="97"/>
      <c r="JIZ2" s="97"/>
      <c r="JJA2" s="97"/>
      <c r="JJB2" s="97"/>
      <c r="JJC2" s="97"/>
      <c r="JJD2" s="97"/>
      <c r="JJE2" s="97"/>
      <c r="JJF2" s="97"/>
      <c r="JJG2" s="97"/>
      <c r="JJH2" s="97"/>
      <c r="JJI2" s="97"/>
      <c r="JJJ2" s="97"/>
      <c r="JJK2" s="97"/>
      <c r="JJL2" s="97"/>
      <c r="JJM2" s="97"/>
      <c r="JJN2" s="97"/>
      <c r="JJO2" s="97"/>
      <c r="JJP2" s="97"/>
      <c r="JJQ2" s="97"/>
      <c r="JJR2" s="97"/>
      <c r="JJS2" s="97"/>
      <c r="JJT2" s="97"/>
      <c r="JJU2" s="97"/>
      <c r="JJV2" s="97"/>
      <c r="JJW2" s="97"/>
      <c r="JJX2" s="97"/>
      <c r="JJY2" s="97"/>
      <c r="JJZ2" s="97"/>
      <c r="JKA2" s="97"/>
      <c r="JKB2" s="97"/>
      <c r="JKC2" s="97"/>
      <c r="JKD2" s="97"/>
      <c r="JKE2" s="97"/>
      <c r="JKF2" s="97"/>
      <c r="JKG2" s="97"/>
      <c r="JKH2" s="97"/>
      <c r="JKI2" s="97"/>
      <c r="JKJ2" s="97"/>
      <c r="JKK2" s="97"/>
      <c r="JKL2" s="97"/>
      <c r="JKM2" s="97"/>
      <c r="JKN2" s="97"/>
      <c r="JKO2" s="97"/>
      <c r="JKP2" s="97"/>
      <c r="JKQ2" s="97"/>
      <c r="JKR2" s="97"/>
      <c r="JKS2" s="97"/>
      <c r="JKT2" s="97"/>
      <c r="JKU2" s="97"/>
      <c r="JKV2" s="97"/>
      <c r="JKW2" s="97"/>
      <c r="JKX2" s="97"/>
      <c r="JKY2" s="97"/>
      <c r="JKZ2" s="97"/>
      <c r="JLA2" s="97"/>
      <c r="JLB2" s="97"/>
      <c r="JLC2" s="97"/>
      <c r="JLD2" s="97"/>
      <c r="JLE2" s="97"/>
      <c r="JLF2" s="97"/>
      <c r="JLG2" s="97"/>
      <c r="JLH2" s="97"/>
      <c r="JLI2" s="97"/>
      <c r="JLJ2" s="97"/>
      <c r="JLK2" s="97"/>
      <c r="JLL2" s="97"/>
      <c r="JLM2" s="97"/>
      <c r="JLN2" s="97"/>
      <c r="JLO2" s="97"/>
      <c r="JLP2" s="97"/>
      <c r="JLQ2" s="97"/>
      <c r="JLR2" s="97"/>
      <c r="JLS2" s="97"/>
      <c r="JLT2" s="97"/>
      <c r="JLU2" s="97"/>
      <c r="JLV2" s="97"/>
      <c r="JLW2" s="97"/>
      <c r="JLX2" s="97"/>
      <c r="JLY2" s="97"/>
      <c r="JLZ2" s="97"/>
      <c r="JMA2" s="97"/>
      <c r="JMB2" s="97"/>
      <c r="JMC2" s="97"/>
      <c r="JMD2" s="97"/>
      <c r="JME2" s="97"/>
      <c r="JMF2" s="97"/>
      <c r="JMG2" s="97"/>
      <c r="JMH2" s="97"/>
      <c r="JMI2" s="97"/>
      <c r="JMJ2" s="97"/>
      <c r="JMK2" s="97"/>
      <c r="JML2" s="97"/>
      <c r="JMM2" s="97"/>
      <c r="JMN2" s="97"/>
      <c r="JMO2" s="97"/>
      <c r="JMP2" s="97"/>
      <c r="JMQ2" s="97"/>
      <c r="JMR2" s="97"/>
      <c r="JMS2" s="97"/>
      <c r="JMT2" s="97"/>
      <c r="JMU2" s="97"/>
      <c r="JMV2" s="97"/>
      <c r="JMW2" s="97"/>
      <c r="JMX2" s="97"/>
      <c r="JMY2" s="97"/>
      <c r="JMZ2" s="97"/>
      <c r="JNA2" s="97"/>
      <c r="JNB2" s="97"/>
      <c r="JNC2" s="97"/>
      <c r="JND2" s="97"/>
      <c r="JNE2" s="97"/>
      <c r="JNF2" s="97"/>
      <c r="JNG2" s="97"/>
      <c r="JNH2" s="97"/>
      <c r="JNI2" s="97"/>
      <c r="JNJ2" s="97"/>
      <c r="JNK2" s="97"/>
      <c r="JNL2" s="97"/>
      <c r="JNM2" s="97"/>
      <c r="JNN2" s="97"/>
      <c r="JNO2" s="97"/>
      <c r="JNP2" s="97"/>
      <c r="JNQ2" s="97"/>
      <c r="JNR2" s="97"/>
      <c r="JNS2" s="97"/>
      <c r="JNT2" s="97"/>
      <c r="JNU2" s="97"/>
      <c r="JNV2" s="97"/>
      <c r="JNW2" s="97"/>
      <c r="JNX2" s="97"/>
      <c r="JNY2" s="97"/>
      <c r="JNZ2" s="97"/>
      <c r="JOA2" s="97"/>
      <c r="JOB2" s="97"/>
      <c r="JOC2" s="97"/>
      <c r="JOD2" s="97"/>
      <c r="JOE2" s="97"/>
      <c r="JOF2" s="97"/>
      <c r="JOG2" s="97"/>
      <c r="JOH2" s="97"/>
      <c r="JOI2" s="97"/>
      <c r="JOJ2" s="97"/>
      <c r="JOK2" s="97"/>
      <c r="JOL2" s="97"/>
      <c r="JOM2" s="97"/>
      <c r="JON2" s="97"/>
      <c r="JOO2" s="97"/>
      <c r="JOP2" s="97"/>
      <c r="JOQ2" s="97"/>
      <c r="JOR2" s="97"/>
      <c r="JOS2" s="97"/>
      <c r="JOT2" s="97"/>
      <c r="JOU2" s="97"/>
      <c r="JOV2" s="97"/>
      <c r="JOW2" s="97"/>
      <c r="JOX2" s="97"/>
      <c r="JOY2" s="97"/>
      <c r="JOZ2" s="97"/>
      <c r="JPA2" s="97"/>
      <c r="JPB2" s="97"/>
      <c r="JPC2" s="97"/>
      <c r="JPD2" s="97"/>
      <c r="JPE2" s="97"/>
      <c r="JPF2" s="97"/>
      <c r="JPG2" s="97"/>
      <c r="JPH2" s="97"/>
      <c r="JPI2" s="97"/>
      <c r="JPJ2" s="97"/>
      <c r="JPK2" s="97"/>
      <c r="JPL2" s="97"/>
      <c r="JPM2" s="97"/>
      <c r="JPN2" s="97"/>
      <c r="JPO2" s="97"/>
      <c r="JPP2" s="97"/>
      <c r="JPQ2" s="97"/>
      <c r="JPR2" s="97"/>
      <c r="JPS2" s="97"/>
      <c r="JPT2" s="97"/>
      <c r="JPU2" s="97"/>
      <c r="JPV2" s="97"/>
      <c r="JPW2" s="97"/>
      <c r="JPX2" s="97"/>
      <c r="JPY2" s="97"/>
      <c r="JPZ2" s="97"/>
      <c r="JQA2" s="97"/>
      <c r="JQB2" s="97"/>
      <c r="JQC2" s="97"/>
      <c r="JQD2" s="97"/>
      <c r="JQE2" s="97"/>
      <c r="JQF2" s="97"/>
      <c r="JQG2" s="97"/>
      <c r="JQH2" s="97"/>
      <c r="JQI2" s="97"/>
      <c r="JQJ2" s="97"/>
      <c r="JQK2" s="97"/>
      <c r="JQL2" s="97"/>
      <c r="JQM2" s="97"/>
      <c r="JQN2" s="97"/>
      <c r="JQO2" s="97"/>
      <c r="JQP2" s="97"/>
      <c r="JQQ2" s="97"/>
      <c r="JQR2" s="97"/>
      <c r="JQS2" s="97"/>
      <c r="JQT2" s="97"/>
      <c r="JQU2" s="97"/>
      <c r="JQV2" s="97"/>
      <c r="JQW2" s="97"/>
      <c r="JQX2" s="97"/>
      <c r="JQY2" s="97"/>
      <c r="JQZ2" s="97"/>
      <c r="JRA2" s="97"/>
      <c r="JRB2" s="97"/>
      <c r="JRC2" s="97"/>
      <c r="JRD2" s="97"/>
      <c r="JRE2" s="97"/>
      <c r="JRF2" s="97"/>
      <c r="JRG2" s="97"/>
      <c r="JRH2" s="97"/>
      <c r="JRI2" s="97"/>
      <c r="JRJ2" s="97"/>
      <c r="JRK2" s="97"/>
      <c r="JRL2" s="97"/>
      <c r="JRM2" s="97"/>
      <c r="JRN2" s="97"/>
      <c r="JRO2" s="97"/>
      <c r="JRP2" s="97"/>
      <c r="JRQ2" s="97"/>
      <c r="JRR2" s="97"/>
      <c r="JRS2" s="97"/>
      <c r="JRT2" s="97"/>
      <c r="JRU2" s="97"/>
      <c r="JRV2" s="97"/>
      <c r="JRW2" s="97"/>
      <c r="JRX2" s="97"/>
      <c r="JRY2" s="97"/>
      <c r="JRZ2" s="97"/>
      <c r="JSA2" s="97"/>
      <c r="JSB2" s="97"/>
      <c r="JSC2" s="97"/>
      <c r="JSD2" s="97"/>
      <c r="JSE2" s="97"/>
      <c r="JSF2" s="97"/>
      <c r="JSG2" s="97"/>
      <c r="JSH2" s="97"/>
      <c r="JSI2" s="97"/>
      <c r="JSJ2" s="97"/>
      <c r="JSK2" s="97"/>
      <c r="JSL2" s="97"/>
      <c r="JSM2" s="97"/>
      <c r="JSN2" s="97"/>
      <c r="JSO2" s="97"/>
      <c r="JSP2" s="97"/>
      <c r="JSQ2" s="97"/>
      <c r="JSR2" s="97"/>
      <c r="JSS2" s="97"/>
      <c r="JST2" s="97"/>
      <c r="JSU2" s="97"/>
      <c r="JSV2" s="97"/>
      <c r="JSW2" s="97"/>
      <c r="JSX2" s="97"/>
      <c r="JSY2" s="97"/>
      <c r="JSZ2" s="97"/>
      <c r="JTA2" s="97"/>
      <c r="JTB2" s="97"/>
      <c r="JTC2" s="97"/>
      <c r="JTD2" s="97"/>
      <c r="JTE2" s="97"/>
      <c r="JTF2" s="97"/>
      <c r="JTG2" s="97"/>
      <c r="JTH2" s="97"/>
      <c r="JTI2" s="97"/>
      <c r="JTJ2" s="97"/>
      <c r="JTK2" s="97"/>
      <c r="JTL2" s="97"/>
      <c r="JTM2" s="97"/>
      <c r="JTN2" s="97"/>
      <c r="JTO2" s="97"/>
      <c r="JTP2" s="97"/>
      <c r="JTQ2" s="97"/>
      <c r="JTR2" s="97"/>
      <c r="JTS2" s="97"/>
      <c r="JTT2" s="97"/>
      <c r="JTU2" s="97"/>
      <c r="JTV2" s="97"/>
      <c r="JTW2" s="97"/>
      <c r="JTX2" s="97"/>
      <c r="JTY2" s="97"/>
      <c r="JTZ2" s="97"/>
      <c r="JUA2" s="97"/>
      <c r="JUB2" s="97"/>
      <c r="JUC2" s="97"/>
      <c r="JUD2" s="97"/>
      <c r="JUE2" s="97"/>
      <c r="JUF2" s="97"/>
      <c r="JUG2" s="97"/>
      <c r="JUH2" s="97"/>
      <c r="JUI2" s="97"/>
      <c r="JUJ2" s="97"/>
      <c r="JUK2" s="97"/>
      <c r="JUL2" s="97"/>
      <c r="JUM2" s="97"/>
      <c r="JUN2" s="97"/>
      <c r="JUO2" s="97"/>
      <c r="JUP2" s="97"/>
      <c r="JUQ2" s="97"/>
      <c r="JUR2" s="97"/>
      <c r="JUS2" s="97"/>
      <c r="JUT2" s="97"/>
      <c r="JUU2" s="97"/>
      <c r="JUV2" s="97"/>
      <c r="JUW2" s="97"/>
      <c r="JUX2" s="97"/>
      <c r="JUY2" s="97"/>
      <c r="JUZ2" s="97"/>
      <c r="JVA2" s="97"/>
      <c r="JVB2" s="97"/>
      <c r="JVC2" s="97"/>
      <c r="JVD2" s="97"/>
      <c r="JVE2" s="97"/>
      <c r="JVF2" s="97"/>
      <c r="JVG2" s="97"/>
      <c r="JVH2" s="97"/>
      <c r="JVI2" s="97"/>
      <c r="JVJ2" s="97"/>
      <c r="JVK2" s="97"/>
      <c r="JVL2" s="97"/>
      <c r="JVM2" s="97"/>
      <c r="JVN2" s="97"/>
      <c r="JVO2" s="97"/>
      <c r="JVP2" s="97"/>
      <c r="JVQ2" s="97"/>
      <c r="JVR2" s="97"/>
      <c r="JVS2" s="97"/>
      <c r="JVT2" s="97"/>
      <c r="JVU2" s="97"/>
      <c r="JVV2" s="97"/>
      <c r="JVW2" s="97"/>
      <c r="JVX2" s="97"/>
      <c r="JVY2" s="97"/>
      <c r="JVZ2" s="97"/>
      <c r="JWA2" s="97"/>
      <c r="JWB2" s="97"/>
      <c r="JWC2" s="97"/>
      <c r="JWD2" s="97"/>
      <c r="JWE2" s="97"/>
      <c r="JWF2" s="97"/>
      <c r="JWG2" s="97"/>
      <c r="JWH2" s="97"/>
      <c r="JWI2" s="97"/>
      <c r="JWJ2" s="97"/>
      <c r="JWK2" s="97"/>
      <c r="JWL2" s="97"/>
      <c r="JWM2" s="97"/>
      <c r="JWN2" s="97"/>
      <c r="JWO2" s="97"/>
      <c r="JWP2" s="97"/>
      <c r="JWQ2" s="97"/>
      <c r="JWR2" s="97"/>
      <c r="JWS2" s="97"/>
      <c r="JWT2" s="97"/>
      <c r="JWU2" s="97"/>
      <c r="JWV2" s="97"/>
      <c r="JWW2" s="97"/>
      <c r="JWX2" s="97"/>
      <c r="JWY2" s="97"/>
      <c r="JWZ2" s="97"/>
      <c r="JXA2" s="97"/>
      <c r="JXB2" s="97"/>
      <c r="JXC2" s="97"/>
      <c r="JXD2" s="97"/>
      <c r="JXE2" s="97"/>
      <c r="JXF2" s="97"/>
      <c r="JXG2" s="97"/>
      <c r="JXH2" s="97"/>
      <c r="JXI2" s="97"/>
      <c r="JXJ2" s="97"/>
      <c r="JXK2" s="97"/>
      <c r="JXL2" s="97"/>
      <c r="JXM2" s="97"/>
      <c r="JXN2" s="97"/>
      <c r="JXO2" s="97"/>
      <c r="JXP2" s="97"/>
      <c r="JXQ2" s="97"/>
      <c r="JXR2" s="97"/>
      <c r="JXS2" s="97"/>
      <c r="JXT2" s="97"/>
      <c r="JXU2" s="97"/>
      <c r="JXV2" s="97"/>
      <c r="JXW2" s="97"/>
      <c r="JXX2" s="97"/>
      <c r="JXY2" s="97"/>
      <c r="JXZ2" s="97"/>
      <c r="JYA2" s="97"/>
      <c r="JYB2" s="97"/>
      <c r="JYC2" s="97"/>
      <c r="JYD2" s="97"/>
      <c r="JYE2" s="97"/>
      <c r="JYF2" s="97"/>
      <c r="JYG2" s="97"/>
      <c r="JYH2" s="97"/>
      <c r="JYI2" s="97"/>
      <c r="JYJ2" s="97"/>
      <c r="JYK2" s="97"/>
      <c r="JYL2" s="97"/>
      <c r="JYM2" s="97"/>
      <c r="JYN2" s="97"/>
      <c r="JYO2" s="97"/>
      <c r="JYP2" s="97"/>
      <c r="JYQ2" s="97"/>
      <c r="JYR2" s="97"/>
      <c r="JYS2" s="97"/>
      <c r="JYT2" s="97"/>
      <c r="JYU2" s="97"/>
      <c r="JYV2" s="97"/>
      <c r="JYW2" s="97"/>
      <c r="JYX2" s="97"/>
      <c r="JYY2" s="97"/>
      <c r="JYZ2" s="97"/>
      <c r="JZA2" s="97"/>
      <c r="JZB2" s="97"/>
      <c r="JZC2" s="97"/>
      <c r="JZD2" s="97"/>
      <c r="JZE2" s="97"/>
      <c r="JZF2" s="97"/>
      <c r="JZG2" s="97"/>
      <c r="JZH2" s="97"/>
      <c r="JZI2" s="97"/>
      <c r="JZJ2" s="97"/>
      <c r="JZK2" s="97"/>
      <c r="JZL2" s="97"/>
      <c r="JZM2" s="97"/>
      <c r="JZN2" s="97"/>
      <c r="JZO2" s="97"/>
      <c r="JZP2" s="97"/>
      <c r="JZQ2" s="97"/>
      <c r="JZR2" s="97"/>
      <c r="JZS2" s="97"/>
      <c r="JZT2" s="97"/>
      <c r="JZU2" s="97"/>
      <c r="JZV2" s="97"/>
      <c r="JZW2" s="97"/>
      <c r="JZX2" s="97"/>
      <c r="JZY2" s="97"/>
      <c r="JZZ2" s="97"/>
      <c r="KAA2" s="97"/>
      <c r="KAB2" s="97"/>
      <c r="KAC2" s="97"/>
      <c r="KAD2" s="97"/>
      <c r="KAE2" s="97"/>
      <c r="KAF2" s="97"/>
      <c r="KAG2" s="97"/>
      <c r="KAH2" s="97"/>
      <c r="KAI2" s="97"/>
      <c r="KAJ2" s="97"/>
      <c r="KAK2" s="97"/>
      <c r="KAL2" s="97"/>
      <c r="KAM2" s="97"/>
      <c r="KAN2" s="97"/>
      <c r="KAO2" s="97"/>
      <c r="KAP2" s="97"/>
      <c r="KAQ2" s="97"/>
      <c r="KAR2" s="97"/>
      <c r="KAS2" s="97"/>
      <c r="KAT2" s="97"/>
      <c r="KAU2" s="97"/>
      <c r="KAV2" s="97"/>
      <c r="KAW2" s="97"/>
      <c r="KAX2" s="97"/>
      <c r="KAY2" s="97"/>
      <c r="KAZ2" s="97"/>
      <c r="KBA2" s="97"/>
      <c r="KBB2" s="97"/>
      <c r="KBC2" s="97"/>
      <c r="KBD2" s="97"/>
      <c r="KBE2" s="97"/>
      <c r="KBF2" s="97"/>
      <c r="KBG2" s="97"/>
      <c r="KBH2" s="97"/>
      <c r="KBI2" s="97"/>
      <c r="KBJ2" s="97"/>
      <c r="KBK2" s="97"/>
      <c r="KBL2" s="97"/>
      <c r="KBM2" s="97"/>
      <c r="KBN2" s="97"/>
      <c r="KBO2" s="97"/>
      <c r="KBP2" s="97"/>
      <c r="KBQ2" s="97"/>
      <c r="KBR2" s="97"/>
      <c r="KBS2" s="97"/>
      <c r="KBT2" s="97"/>
      <c r="KBU2" s="97"/>
      <c r="KBV2" s="97"/>
      <c r="KBW2" s="97"/>
      <c r="KBX2" s="97"/>
      <c r="KBY2" s="97"/>
      <c r="KBZ2" s="97"/>
      <c r="KCA2" s="97"/>
      <c r="KCB2" s="97"/>
      <c r="KCC2" s="97"/>
      <c r="KCD2" s="97"/>
      <c r="KCE2" s="97"/>
      <c r="KCF2" s="97"/>
      <c r="KCG2" s="97"/>
      <c r="KCH2" s="97"/>
      <c r="KCI2" s="97"/>
      <c r="KCJ2" s="97"/>
      <c r="KCK2" s="97"/>
      <c r="KCL2" s="97"/>
      <c r="KCM2" s="97"/>
      <c r="KCN2" s="97"/>
      <c r="KCO2" s="97"/>
      <c r="KCP2" s="97"/>
      <c r="KCQ2" s="97"/>
      <c r="KCR2" s="97"/>
      <c r="KCS2" s="97"/>
      <c r="KCT2" s="97"/>
      <c r="KCU2" s="97"/>
      <c r="KCV2" s="97"/>
      <c r="KCW2" s="97"/>
      <c r="KCX2" s="97"/>
      <c r="KCY2" s="97"/>
      <c r="KCZ2" s="97"/>
      <c r="KDA2" s="97"/>
      <c r="KDB2" s="97"/>
      <c r="KDC2" s="97"/>
      <c r="KDD2" s="97"/>
      <c r="KDE2" s="97"/>
      <c r="KDF2" s="97"/>
      <c r="KDG2" s="97"/>
      <c r="KDH2" s="97"/>
      <c r="KDI2" s="97"/>
      <c r="KDJ2" s="97"/>
      <c r="KDK2" s="97"/>
      <c r="KDL2" s="97"/>
      <c r="KDM2" s="97"/>
      <c r="KDN2" s="97"/>
      <c r="KDO2" s="97"/>
      <c r="KDP2" s="97"/>
      <c r="KDQ2" s="97"/>
      <c r="KDR2" s="97"/>
      <c r="KDS2" s="97"/>
      <c r="KDT2" s="97"/>
      <c r="KDU2" s="97"/>
      <c r="KDV2" s="97"/>
      <c r="KDW2" s="97"/>
      <c r="KDX2" s="97"/>
      <c r="KDY2" s="97"/>
      <c r="KDZ2" s="97"/>
      <c r="KEA2" s="97"/>
      <c r="KEB2" s="97"/>
      <c r="KEC2" s="97"/>
      <c r="KED2" s="97"/>
      <c r="KEE2" s="97"/>
      <c r="KEF2" s="97"/>
      <c r="KEG2" s="97"/>
      <c r="KEH2" s="97"/>
      <c r="KEI2" s="97"/>
      <c r="KEJ2" s="97"/>
      <c r="KEK2" s="97"/>
      <c r="KEL2" s="97"/>
      <c r="KEM2" s="97"/>
      <c r="KEN2" s="97"/>
      <c r="KEO2" s="97"/>
      <c r="KEP2" s="97"/>
      <c r="KEQ2" s="97"/>
      <c r="KER2" s="97"/>
      <c r="KES2" s="97"/>
      <c r="KET2" s="97"/>
      <c r="KEU2" s="97"/>
      <c r="KEV2" s="97"/>
      <c r="KEW2" s="97"/>
      <c r="KEX2" s="97"/>
      <c r="KEY2" s="97"/>
      <c r="KEZ2" s="97"/>
      <c r="KFA2" s="97"/>
      <c r="KFB2" s="97"/>
      <c r="KFC2" s="97"/>
      <c r="KFD2" s="97"/>
      <c r="KFE2" s="97"/>
      <c r="KFF2" s="97"/>
      <c r="KFG2" s="97"/>
      <c r="KFH2" s="97"/>
      <c r="KFI2" s="97"/>
      <c r="KFJ2" s="97"/>
      <c r="KFK2" s="97"/>
      <c r="KFL2" s="97"/>
      <c r="KFM2" s="97"/>
      <c r="KFN2" s="97"/>
      <c r="KFO2" s="97"/>
      <c r="KFP2" s="97"/>
      <c r="KFQ2" s="97"/>
      <c r="KFR2" s="97"/>
      <c r="KFS2" s="97"/>
      <c r="KFT2" s="97"/>
      <c r="KFU2" s="97"/>
      <c r="KFV2" s="97"/>
      <c r="KFW2" s="97"/>
      <c r="KFX2" s="97"/>
      <c r="KFY2" s="97"/>
      <c r="KFZ2" s="97"/>
      <c r="KGA2" s="97"/>
      <c r="KGB2" s="97"/>
      <c r="KGC2" s="97"/>
      <c r="KGD2" s="97"/>
      <c r="KGE2" s="97"/>
      <c r="KGF2" s="97"/>
      <c r="KGG2" s="97"/>
      <c r="KGH2" s="97"/>
      <c r="KGI2" s="97"/>
      <c r="KGJ2" s="97"/>
      <c r="KGK2" s="97"/>
      <c r="KGL2" s="97"/>
      <c r="KGM2" s="97"/>
      <c r="KGN2" s="97"/>
      <c r="KGO2" s="97"/>
      <c r="KGP2" s="97"/>
      <c r="KGQ2" s="97"/>
      <c r="KGR2" s="97"/>
      <c r="KGS2" s="97"/>
      <c r="KGT2" s="97"/>
      <c r="KGU2" s="97"/>
      <c r="KGV2" s="97"/>
      <c r="KGW2" s="97"/>
      <c r="KGX2" s="97"/>
      <c r="KGY2" s="97"/>
      <c r="KGZ2" s="97"/>
      <c r="KHA2" s="97"/>
      <c r="KHB2" s="97"/>
      <c r="KHC2" s="97"/>
      <c r="KHD2" s="97"/>
      <c r="KHE2" s="97"/>
      <c r="KHF2" s="97"/>
      <c r="KHG2" s="97"/>
      <c r="KHH2" s="97"/>
      <c r="KHI2" s="97"/>
      <c r="KHJ2" s="97"/>
      <c r="KHK2" s="97"/>
      <c r="KHL2" s="97"/>
      <c r="KHM2" s="97"/>
      <c r="KHN2" s="97"/>
      <c r="KHO2" s="97"/>
      <c r="KHP2" s="97"/>
      <c r="KHQ2" s="97"/>
      <c r="KHR2" s="97"/>
      <c r="KHS2" s="97"/>
      <c r="KHT2" s="97"/>
      <c r="KHU2" s="97"/>
      <c r="KHV2" s="97"/>
      <c r="KHW2" s="97"/>
      <c r="KHX2" s="97"/>
      <c r="KHY2" s="97"/>
      <c r="KHZ2" s="97"/>
      <c r="KIA2" s="97"/>
      <c r="KIB2" s="97"/>
      <c r="KIC2" s="97"/>
      <c r="KID2" s="97"/>
      <c r="KIE2" s="97"/>
      <c r="KIF2" s="97"/>
      <c r="KIG2" s="97"/>
      <c r="KIH2" s="97"/>
      <c r="KII2" s="97"/>
      <c r="KIJ2" s="97"/>
      <c r="KIK2" s="97"/>
      <c r="KIL2" s="97"/>
      <c r="KIM2" s="97"/>
      <c r="KIN2" s="97"/>
      <c r="KIO2" s="97"/>
      <c r="KIP2" s="97"/>
      <c r="KIQ2" s="97"/>
      <c r="KIR2" s="97"/>
      <c r="KIS2" s="97"/>
      <c r="KIT2" s="97"/>
      <c r="KIU2" s="97"/>
      <c r="KIV2" s="97"/>
      <c r="KIW2" s="97"/>
      <c r="KIX2" s="97"/>
      <c r="KIY2" s="97"/>
      <c r="KIZ2" s="97"/>
      <c r="KJA2" s="97"/>
      <c r="KJB2" s="97"/>
      <c r="KJC2" s="97"/>
      <c r="KJD2" s="97"/>
      <c r="KJE2" s="97"/>
      <c r="KJF2" s="97"/>
      <c r="KJG2" s="97"/>
      <c r="KJH2" s="97"/>
      <c r="KJI2" s="97"/>
      <c r="KJJ2" s="97"/>
      <c r="KJK2" s="97"/>
      <c r="KJL2" s="97"/>
      <c r="KJM2" s="97"/>
      <c r="KJN2" s="97"/>
      <c r="KJO2" s="97"/>
      <c r="KJP2" s="97"/>
      <c r="KJQ2" s="97"/>
      <c r="KJR2" s="97"/>
      <c r="KJS2" s="97"/>
      <c r="KJT2" s="97"/>
      <c r="KJU2" s="97"/>
      <c r="KJV2" s="97"/>
      <c r="KJW2" s="97"/>
      <c r="KJX2" s="97"/>
      <c r="KJY2" s="97"/>
      <c r="KJZ2" s="97"/>
      <c r="KKA2" s="97"/>
      <c r="KKB2" s="97"/>
      <c r="KKC2" s="97"/>
      <c r="KKD2" s="97"/>
      <c r="KKE2" s="97"/>
      <c r="KKF2" s="97"/>
      <c r="KKG2" s="97"/>
      <c r="KKH2" s="97"/>
      <c r="KKI2" s="97"/>
      <c r="KKJ2" s="97"/>
      <c r="KKK2" s="97"/>
      <c r="KKL2" s="97"/>
      <c r="KKM2" s="97"/>
      <c r="KKN2" s="97"/>
      <c r="KKO2" s="97"/>
      <c r="KKP2" s="97"/>
      <c r="KKQ2" s="97"/>
      <c r="KKR2" s="97"/>
      <c r="KKS2" s="97"/>
      <c r="KKT2" s="97"/>
      <c r="KKU2" s="97"/>
      <c r="KKV2" s="97"/>
      <c r="KKW2" s="97"/>
      <c r="KKX2" s="97"/>
      <c r="KKY2" s="97"/>
      <c r="KKZ2" s="97"/>
      <c r="KLA2" s="97"/>
      <c r="KLB2" s="97"/>
      <c r="KLC2" s="97"/>
      <c r="KLD2" s="97"/>
      <c r="KLE2" s="97"/>
      <c r="KLF2" s="97"/>
      <c r="KLG2" s="97"/>
      <c r="KLH2" s="97"/>
      <c r="KLI2" s="97"/>
      <c r="KLJ2" s="97"/>
      <c r="KLK2" s="97"/>
      <c r="KLL2" s="97"/>
      <c r="KLM2" s="97"/>
      <c r="KLN2" s="97"/>
      <c r="KLO2" s="97"/>
      <c r="KLP2" s="97"/>
      <c r="KLQ2" s="97"/>
      <c r="KLR2" s="97"/>
      <c r="KLS2" s="97"/>
      <c r="KLT2" s="97"/>
      <c r="KLU2" s="97"/>
      <c r="KLV2" s="97"/>
      <c r="KLW2" s="97"/>
      <c r="KLX2" s="97"/>
      <c r="KLY2" s="97"/>
      <c r="KLZ2" s="97"/>
      <c r="KMA2" s="97"/>
      <c r="KMB2" s="97"/>
      <c r="KMC2" s="97"/>
      <c r="KMD2" s="97"/>
      <c r="KME2" s="97"/>
      <c r="KMF2" s="97"/>
      <c r="KMG2" s="97"/>
      <c r="KMH2" s="97"/>
      <c r="KMI2" s="97"/>
      <c r="KMJ2" s="97"/>
      <c r="KMK2" s="97"/>
      <c r="KML2" s="97"/>
      <c r="KMM2" s="97"/>
      <c r="KMN2" s="97"/>
      <c r="KMO2" s="97"/>
      <c r="KMP2" s="97"/>
      <c r="KMQ2" s="97"/>
      <c r="KMR2" s="97"/>
      <c r="KMS2" s="97"/>
      <c r="KMT2" s="97"/>
      <c r="KMU2" s="97"/>
      <c r="KMV2" s="97"/>
      <c r="KMW2" s="97"/>
      <c r="KMX2" s="97"/>
      <c r="KMY2" s="97"/>
      <c r="KMZ2" s="97"/>
      <c r="KNA2" s="97"/>
      <c r="KNB2" s="97"/>
      <c r="KNC2" s="97"/>
      <c r="KND2" s="97"/>
      <c r="KNE2" s="97"/>
      <c r="KNF2" s="97"/>
      <c r="KNG2" s="97"/>
      <c r="KNH2" s="97"/>
      <c r="KNI2" s="97"/>
      <c r="KNJ2" s="97"/>
      <c r="KNK2" s="97"/>
      <c r="KNL2" s="97"/>
      <c r="KNM2" s="97"/>
      <c r="KNN2" s="97"/>
      <c r="KNO2" s="97"/>
      <c r="KNP2" s="97"/>
      <c r="KNQ2" s="97"/>
      <c r="KNR2" s="97"/>
      <c r="KNS2" s="97"/>
      <c r="KNT2" s="97"/>
      <c r="KNU2" s="97"/>
      <c r="KNV2" s="97"/>
      <c r="KNW2" s="97"/>
      <c r="KNX2" s="97"/>
      <c r="KNY2" s="97"/>
      <c r="KNZ2" s="97"/>
      <c r="KOA2" s="97"/>
      <c r="KOB2" s="97"/>
      <c r="KOC2" s="97"/>
      <c r="KOD2" s="97"/>
      <c r="KOE2" s="97"/>
      <c r="KOF2" s="97"/>
      <c r="KOG2" s="97"/>
      <c r="KOH2" s="97"/>
      <c r="KOI2" s="97"/>
      <c r="KOJ2" s="97"/>
      <c r="KOK2" s="97"/>
      <c r="KOL2" s="97"/>
      <c r="KOM2" s="97"/>
      <c r="KON2" s="97"/>
      <c r="KOO2" s="97"/>
      <c r="KOP2" s="97"/>
      <c r="KOQ2" s="97"/>
      <c r="KOR2" s="97"/>
      <c r="KOS2" s="97"/>
      <c r="KOT2" s="97"/>
      <c r="KOU2" s="97"/>
      <c r="KOV2" s="97"/>
      <c r="KOW2" s="97"/>
      <c r="KOX2" s="97"/>
      <c r="KOY2" s="97"/>
      <c r="KOZ2" s="97"/>
      <c r="KPA2" s="97"/>
      <c r="KPB2" s="97"/>
      <c r="KPC2" s="97"/>
      <c r="KPD2" s="97"/>
      <c r="KPE2" s="97"/>
      <c r="KPF2" s="97"/>
      <c r="KPG2" s="97"/>
      <c r="KPH2" s="97"/>
      <c r="KPI2" s="97"/>
      <c r="KPJ2" s="97"/>
      <c r="KPK2" s="97"/>
      <c r="KPL2" s="97"/>
      <c r="KPM2" s="97"/>
      <c r="KPN2" s="97"/>
      <c r="KPO2" s="97"/>
      <c r="KPP2" s="97"/>
      <c r="KPQ2" s="97"/>
      <c r="KPR2" s="97"/>
      <c r="KPS2" s="97"/>
      <c r="KPT2" s="97"/>
      <c r="KPU2" s="97"/>
      <c r="KPV2" s="97"/>
      <c r="KPW2" s="97"/>
      <c r="KPX2" s="97"/>
      <c r="KPY2" s="97"/>
      <c r="KPZ2" s="97"/>
      <c r="KQA2" s="97"/>
      <c r="KQB2" s="97"/>
      <c r="KQC2" s="97"/>
      <c r="KQD2" s="97"/>
      <c r="KQE2" s="97"/>
      <c r="KQF2" s="97"/>
      <c r="KQG2" s="97"/>
      <c r="KQH2" s="97"/>
      <c r="KQI2" s="97"/>
      <c r="KQJ2" s="97"/>
      <c r="KQK2" s="97"/>
      <c r="KQL2" s="97"/>
      <c r="KQM2" s="97"/>
      <c r="KQN2" s="97"/>
      <c r="KQO2" s="97"/>
      <c r="KQP2" s="97"/>
      <c r="KQQ2" s="97"/>
      <c r="KQR2" s="97"/>
      <c r="KQS2" s="97"/>
      <c r="KQT2" s="97"/>
      <c r="KQU2" s="97"/>
      <c r="KQV2" s="97"/>
      <c r="KQW2" s="97"/>
      <c r="KQX2" s="97"/>
      <c r="KQY2" s="97"/>
      <c r="KQZ2" s="97"/>
      <c r="KRA2" s="97"/>
      <c r="KRB2" s="97"/>
      <c r="KRC2" s="97"/>
      <c r="KRD2" s="97"/>
      <c r="KRE2" s="97"/>
      <c r="KRF2" s="97"/>
      <c r="KRG2" s="97"/>
      <c r="KRH2" s="97"/>
      <c r="KRI2" s="97"/>
      <c r="KRJ2" s="97"/>
      <c r="KRK2" s="97"/>
      <c r="KRL2" s="97"/>
      <c r="KRM2" s="97"/>
      <c r="KRN2" s="97"/>
      <c r="KRO2" s="97"/>
      <c r="KRP2" s="97"/>
      <c r="KRQ2" s="97"/>
      <c r="KRR2" s="97"/>
      <c r="KRS2" s="97"/>
      <c r="KRT2" s="97"/>
      <c r="KRU2" s="97"/>
      <c r="KRV2" s="97"/>
      <c r="KRW2" s="97"/>
      <c r="KRX2" s="97"/>
      <c r="KRY2" s="97"/>
      <c r="KRZ2" s="97"/>
      <c r="KSA2" s="97"/>
      <c r="KSB2" s="97"/>
      <c r="KSC2" s="97"/>
      <c r="KSD2" s="97"/>
      <c r="KSE2" s="97"/>
      <c r="KSF2" s="97"/>
      <c r="KSG2" s="97"/>
      <c r="KSH2" s="97"/>
      <c r="KSI2" s="97"/>
      <c r="KSJ2" s="97"/>
      <c r="KSK2" s="97"/>
      <c r="KSL2" s="97"/>
      <c r="KSM2" s="97"/>
      <c r="KSN2" s="97"/>
      <c r="KSO2" s="97"/>
      <c r="KSP2" s="97"/>
      <c r="KSQ2" s="97"/>
      <c r="KSR2" s="97"/>
      <c r="KSS2" s="97"/>
      <c r="KST2" s="97"/>
      <c r="KSU2" s="97"/>
      <c r="KSV2" s="97"/>
      <c r="KSW2" s="97"/>
      <c r="KSX2" s="97"/>
      <c r="KSY2" s="97"/>
      <c r="KSZ2" s="97"/>
      <c r="KTA2" s="97"/>
      <c r="KTB2" s="97"/>
      <c r="KTC2" s="97"/>
      <c r="KTD2" s="97"/>
      <c r="KTE2" s="97"/>
      <c r="KTF2" s="97"/>
      <c r="KTG2" s="97"/>
      <c r="KTH2" s="97"/>
      <c r="KTI2" s="97"/>
      <c r="KTJ2" s="97"/>
      <c r="KTK2" s="97"/>
      <c r="KTL2" s="97"/>
      <c r="KTM2" s="97"/>
      <c r="KTN2" s="97"/>
      <c r="KTO2" s="97"/>
      <c r="KTP2" s="97"/>
      <c r="KTQ2" s="97"/>
      <c r="KTR2" s="97"/>
      <c r="KTS2" s="97"/>
      <c r="KTT2" s="97"/>
      <c r="KTU2" s="97"/>
      <c r="KTV2" s="97"/>
      <c r="KTW2" s="97"/>
      <c r="KTX2" s="97"/>
      <c r="KTY2" s="97"/>
      <c r="KTZ2" s="97"/>
      <c r="KUA2" s="97"/>
      <c r="KUB2" s="97"/>
      <c r="KUC2" s="97"/>
      <c r="KUD2" s="97"/>
      <c r="KUE2" s="97"/>
      <c r="KUF2" s="97"/>
      <c r="KUG2" s="97"/>
      <c r="KUH2" s="97"/>
      <c r="KUI2" s="97"/>
      <c r="KUJ2" s="97"/>
      <c r="KUK2" s="97"/>
      <c r="KUL2" s="97"/>
      <c r="KUM2" s="97"/>
      <c r="KUN2" s="97"/>
      <c r="KUO2" s="97"/>
      <c r="KUP2" s="97"/>
      <c r="KUQ2" s="97"/>
      <c r="KUR2" s="97"/>
      <c r="KUS2" s="97"/>
      <c r="KUT2" s="97"/>
      <c r="KUU2" s="97"/>
      <c r="KUV2" s="97"/>
      <c r="KUW2" s="97"/>
      <c r="KUX2" s="97"/>
      <c r="KUY2" s="97"/>
      <c r="KUZ2" s="97"/>
      <c r="KVA2" s="97"/>
      <c r="KVB2" s="97"/>
      <c r="KVC2" s="97"/>
      <c r="KVD2" s="97"/>
      <c r="KVE2" s="97"/>
      <c r="KVF2" s="97"/>
      <c r="KVG2" s="97"/>
      <c r="KVH2" s="97"/>
      <c r="KVI2" s="97"/>
      <c r="KVJ2" s="97"/>
      <c r="KVK2" s="97"/>
      <c r="KVL2" s="97"/>
      <c r="KVM2" s="97"/>
      <c r="KVN2" s="97"/>
      <c r="KVO2" s="97"/>
      <c r="KVP2" s="97"/>
      <c r="KVQ2" s="97"/>
      <c r="KVR2" s="97"/>
      <c r="KVS2" s="97"/>
      <c r="KVT2" s="97"/>
      <c r="KVU2" s="97"/>
      <c r="KVV2" s="97"/>
      <c r="KVW2" s="97"/>
      <c r="KVX2" s="97"/>
      <c r="KVY2" s="97"/>
      <c r="KVZ2" s="97"/>
      <c r="KWA2" s="97"/>
      <c r="KWB2" s="97"/>
      <c r="KWC2" s="97"/>
      <c r="KWD2" s="97"/>
      <c r="KWE2" s="97"/>
      <c r="KWF2" s="97"/>
      <c r="KWG2" s="97"/>
      <c r="KWH2" s="97"/>
      <c r="KWI2" s="97"/>
      <c r="KWJ2" s="97"/>
      <c r="KWK2" s="97"/>
      <c r="KWL2" s="97"/>
      <c r="KWM2" s="97"/>
      <c r="KWN2" s="97"/>
      <c r="KWO2" s="97"/>
      <c r="KWP2" s="97"/>
      <c r="KWQ2" s="97"/>
      <c r="KWR2" s="97"/>
      <c r="KWS2" s="97"/>
      <c r="KWT2" s="97"/>
      <c r="KWU2" s="97"/>
      <c r="KWV2" s="97"/>
      <c r="KWW2" s="97"/>
      <c r="KWX2" s="97"/>
      <c r="KWY2" s="97"/>
      <c r="KWZ2" s="97"/>
      <c r="KXA2" s="97"/>
      <c r="KXB2" s="97"/>
      <c r="KXC2" s="97"/>
      <c r="KXD2" s="97"/>
      <c r="KXE2" s="97"/>
      <c r="KXF2" s="97"/>
      <c r="KXG2" s="97"/>
      <c r="KXH2" s="97"/>
      <c r="KXI2" s="97"/>
      <c r="KXJ2" s="97"/>
      <c r="KXK2" s="97"/>
      <c r="KXL2" s="97"/>
      <c r="KXM2" s="97"/>
      <c r="KXN2" s="97"/>
      <c r="KXO2" s="97"/>
      <c r="KXP2" s="97"/>
      <c r="KXQ2" s="97"/>
      <c r="KXR2" s="97"/>
      <c r="KXS2" s="97"/>
      <c r="KXT2" s="97"/>
      <c r="KXU2" s="97"/>
      <c r="KXV2" s="97"/>
      <c r="KXW2" s="97"/>
      <c r="KXX2" s="97"/>
      <c r="KXY2" s="97"/>
      <c r="KXZ2" s="97"/>
      <c r="KYA2" s="97"/>
      <c r="KYB2" s="97"/>
      <c r="KYC2" s="97"/>
      <c r="KYD2" s="97"/>
      <c r="KYE2" s="97"/>
      <c r="KYF2" s="97"/>
      <c r="KYG2" s="97"/>
      <c r="KYH2" s="97"/>
      <c r="KYI2" s="97"/>
      <c r="KYJ2" s="97"/>
      <c r="KYK2" s="97"/>
      <c r="KYL2" s="97"/>
      <c r="KYM2" s="97"/>
      <c r="KYN2" s="97"/>
      <c r="KYO2" s="97"/>
      <c r="KYP2" s="97"/>
      <c r="KYQ2" s="97"/>
      <c r="KYR2" s="97"/>
      <c r="KYS2" s="97"/>
      <c r="KYT2" s="97"/>
      <c r="KYU2" s="97"/>
      <c r="KYV2" s="97"/>
      <c r="KYW2" s="97"/>
      <c r="KYX2" s="97"/>
      <c r="KYY2" s="97"/>
      <c r="KYZ2" s="97"/>
      <c r="KZA2" s="97"/>
      <c r="KZB2" s="97"/>
      <c r="KZC2" s="97"/>
      <c r="KZD2" s="97"/>
      <c r="KZE2" s="97"/>
      <c r="KZF2" s="97"/>
      <c r="KZG2" s="97"/>
      <c r="KZH2" s="97"/>
      <c r="KZI2" s="97"/>
      <c r="KZJ2" s="97"/>
      <c r="KZK2" s="97"/>
      <c r="KZL2" s="97"/>
      <c r="KZM2" s="97"/>
      <c r="KZN2" s="97"/>
      <c r="KZO2" s="97"/>
      <c r="KZP2" s="97"/>
      <c r="KZQ2" s="97"/>
      <c r="KZR2" s="97"/>
      <c r="KZS2" s="97"/>
      <c r="KZT2" s="97"/>
      <c r="KZU2" s="97"/>
      <c r="KZV2" s="97"/>
      <c r="KZW2" s="97"/>
      <c r="KZX2" s="97"/>
      <c r="KZY2" s="97"/>
      <c r="KZZ2" s="97"/>
      <c r="LAA2" s="97"/>
      <c r="LAB2" s="97"/>
      <c r="LAC2" s="97"/>
      <c r="LAD2" s="97"/>
      <c r="LAE2" s="97"/>
      <c r="LAF2" s="97"/>
      <c r="LAG2" s="97"/>
      <c r="LAH2" s="97"/>
      <c r="LAI2" s="97"/>
      <c r="LAJ2" s="97"/>
      <c r="LAK2" s="97"/>
      <c r="LAL2" s="97"/>
      <c r="LAM2" s="97"/>
      <c r="LAN2" s="97"/>
      <c r="LAO2" s="97"/>
      <c r="LAP2" s="97"/>
      <c r="LAQ2" s="97"/>
      <c r="LAR2" s="97"/>
      <c r="LAS2" s="97"/>
      <c r="LAT2" s="97"/>
      <c r="LAU2" s="97"/>
      <c r="LAV2" s="97"/>
      <c r="LAW2" s="97"/>
      <c r="LAX2" s="97"/>
      <c r="LAY2" s="97"/>
      <c r="LAZ2" s="97"/>
      <c r="LBA2" s="97"/>
      <c r="LBB2" s="97"/>
      <c r="LBC2" s="97"/>
      <c r="LBD2" s="97"/>
      <c r="LBE2" s="97"/>
      <c r="LBF2" s="97"/>
      <c r="LBG2" s="97"/>
      <c r="LBH2" s="97"/>
      <c r="LBI2" s="97"/>
      <c r="LBJ2" s="97"/>
      <c r="LBK2" s="97"/>
      <c r="LBL2" s="97"/>
      <c r="LBM2" s="97"/>
      <c r="LBN2" s="97"/>
      <c r="LBO2" s="97"/>
      <c r="LBP2" s="97"/>
      <c r="LBQ2" s="97"/>
      <c r="LBR2" s="97"/>
      <c r="LBS2" s="97"/>
      <c r="LBT2" s="97"/>
      <c r="LBU2" s="97"/>
      <c r="LBV2" s="97"/>
      <c r="LBW2" s="97"/>
      <c r="LBX2" s="97"/>
      <c r="LBY2" s="97"/>
      <c r="LBZ2" s="97"/>
      <c r="LCA2" s="97"/>
      <c r="LCB2" s="97"/>
      <c r="LCC2" s="97"/>
      <c r="LCD2" s="97"/>
      <c r="LCE2" s="97"/>
      <c r="LCF2" s="97"/>
      <c r="LCG2" s="97"/>
      <c r="LCH2" s="97"/>
      <c r="LCI2" s="97"/>
      <c r="LCJ2" s="97"/>
      <c r="LCK2" s="97"/>
      <c r="LCL2" s="97"/>
      <c r="LCM2" s="97"/>
      <c r="LCN2" s="97"/>
      <c r="LCO2" s="97"/>
      <c r="LCP2" s="97"/>
      <c r="LCQ2" s="97"/>
      <c r="LCR2" s="97"/>
      <c r="LCS2" s="97"/>
      <c r="LCT2" s="97"/>
      <c r="LCU2" s="97"/>
      <c r="LCV2" s="97"/>
      <c r="LCW2" s="97"/>
      <c r="LCX2" s="97"/>
      <c r="LCY2" s="97"/>
      <c r="LCZ2" s="97"/>
      <c r="LDA2" s="97"/>
      <c r="LDB2" s="97"/>
      <c r="LDC2" s="97"/>
      <c r="LDD2" s="97"/>
      <c r="LDE2" s="97"/>
      <c r="LDF2" s="97"/>
      <c r="LDG2" s="97"/>
      <c r="LDH2" s="97"/>
      <c r="LDI2" s="97"/>
      <c r="LDJ2" s="97"/>
      <c r="LDK2" s="97"/>
      <c r="LDL2" s="97"/>
      <c r="LDM2" s="97"/>
      <c r="LDN2" s="97"/>
      <c r="LDO2" s="97"/>
      <c r="LDP2" s="97"/>
      <c r="LDQ2" s="97"/>
      <c r="LDR2" s="97"/>
      <c r="LDS2" s="97"/>
      <c r="LDT2" s="97"/>
      <c r="LDU2" s="97"/>
      <c r="LDV2" s="97"/>
      <c r="LDW2" s="97"/>
      <c r="LDX2" s="97"/>
      <c r="LDY2" s="97"/>
      <c r="LDZ2" s="97"/>
      <c r="LEA2" s="97"/>
      <c r="LEB2" s="97"/>
      <c r="LEC2" s="97"/>
      <c r="LED2" s="97"/>
      <c r="LEE2" s="97"/>
      <c r="LEF2" s="97"/>
      <c r="LEG2" s="97"/>
      <c r="LEH2" s="97"/>
      <c r="LEI2" s="97"/>
      <c r="LEJ2" s="97"/>
      <c r="LEK2" s="97"/>
      <c r="LEL2" s="97"/>
      <c r="LEM2" s="97"/>
      <c r="LEN2" s="97"/>
      <c r="LEO2" s="97"/>
      <c r="LEP2" s="97"/>
      <c r="LEQ2" s="97"/>
      <c r="LER2" s="97"/>
      <c r="LES2" s="97"/>
      <c r="LET2" s="97"/>
      <c r="LEU2" s="97"/>
      <c r="LEV2" s="97"/>
      <c r="LEW2" s="97"/>
      <c r="LEX2" s="97"/>
      <c r="LEY2" s="97"/>
      <c r="LEZ2" s="97"/>
      <c r="LFA2" s="97"/>
      <c r="LFB2" s="97"/>
      <c r="LFC2" s="97"/>
      <c r="LFD2" s="97"/>
      <c r="LFE2" s="97"/>
      <c r="LFF2" s="97"/>
      <c r="LFG2" s="97"/>
      <c r="LFH2" s="97"/>
      <c r="LFI2" s="97"/>
      <c r="LFJ2" s="97"/>
      <c r="LFK2" s="97"/>
      <c r="LFL2" s="97"/>
      <c r="LFM2" s="97"/>
      <c r="LFN2" s="97"/>
      <c r="LFO2" s="97"/>
      <c r="LFP2" s="97"/>
      <c r="LFQ2" s="97"/>
      <c r="LFR2" s="97"/>
      <c r="LFS2" s="97"/>
      <c r="LFT2" s="97"/>
      <c r="LFU2" s="97"/>
      <c r="LFV2" s="97"/>
      <c r="LFW2" s="97"/>
      <c r="LFX2" s="97"/>
      <c r="LFY2" s="97"/>
      <c r="LFZ2" s="97"/>
      <c r="LGA2" s="97"/>
      <c r="LGB2" s="97"/>
      <c r="LGC2" s="97"/>
      <c r="LGD2" s="97"/>
      <c r="LGE2" s="97"/>
      <c r="LGF2" s="97"/>
      <c r="LGG2" s="97"/>
      <c r="LGH2" s="97"/>
      <c r="LGI2" s="97"/>
      <c r="LGJ2" s="97"/>
      <c r="LGK2" s="97"/>
      <c r="LGL2" s="97"/>
      <c r="LGM2" s="97"/>
      <c r="LGN2" s="97"/>
      <c r="LGO2" s="97"/>
      <c r="LGP2" s="97"/>
      <c r="LGQ2" s="97"/>
      <c r="LGR2" s="97"/>
      <c r="LGS2" s="97"/>
      <c r="LGT2" s="97"/>
      <c r="LGU2" s="97"/>
      <c r="LGV2" s="97"/>
      <c r="LGW2" s="97"/>
      <c r="LGX2" s="97"/>
      <c r="LGY2" s="97"/>
      <c r="LGZ2" s="97"/>
      <c r="LHA2" s="97"/>
      <c r="LHB2" s="97"/>
      <c r="LHC2" s="97"/>
      <c r="LHD2" s="97"/>
      <c r="LHE2" s="97"/>
      <c r="LHF2" s="97"/>
      <c r="LHG2" s="97"/>
      <c r="LHH2" s="97"/>
      <c r="LHI2" s="97"/>
      <c r="LHJ2" s="97"/>
      <c r="LHK2" s="97"/>
      <c r="LHL2" s="97"/>
      <c r="LHM2" s="97"/>
      <c r="LHN2" s="97"/>
      <c r="LHO2" s="97"/>
      <c r="LHP2" s="97"/>
      <c r="LHQ2" s="97"/>
      <c r="LHR2" s="97"/>
      <c r="LHS2" s="97"/>
      <c r="LHT2" s="97"/>
      <c r="LHU2" s="97"/>
      <c r="LHV2" s="97"/>
      <c r="LHW2" s="97"/>
      <c r="LHX2" s="97"/>
      <c r="LHY2" s="97"/>
      <c r="LHZ2" s="97"/>
      <c r="LIA2" s="97"/>
      <c r="LIB2" s="97"/>
      <c r="LIC2" s="97"/>
      <c r="LID2" s="97"/>
      <c r="LIE2" s="97"/>
      <c r="LIF2" s="97"/>
      <c r="LIG2" s="97"/>
      <c r="LIH2" s="97"/>
      <c r="LII2" s="97"/>
      <c r="LIJ2" s="97"/>
      <c r="LIK2" s="97"/>
      <c r="LIL2" s="97"/>
      <c r="LIM2" s="97"/>
      <c r="LIN2" s="97"/>
      <c r="LIO2" s="97"/>
      <c r="LIP2" s="97"/>
      <c r="LIQ2" s="97"/>
      <c r="LIR2" s="97"/>
      <c r="LIS2" s="97"/>
      <c r="LIT2" s="97"/>
      <c r="LIU2" s="97"/>
      <c r="LIV2" s="97"/>
      <c r="LIW2" s="97"/>
      <c r="LIX2" s="97"/>
      <c r="LIY2" s="97"/>
      <c r="LIZ2" s="97"/>
      <c r="LJA2" s="97"/>
      <c r="LJB2" s="97"/>
      <c r="LJC2" s="97"/>
      <c r="LJD2" s="97"/>
      <c r="LJE2" s="97"/>
      <c r="LJF2" s="97"/>
      <c r="LJG2" s="97"/>
      <c r="LJH2" s="97"/>
      <c r="LJI2" s="97"/>
      <c r="LJJ2" s="97"/>
      <c r="LJK2" s="97"/>
      <c r="LJL2" s="97"/>
      <c r="LJM2" s="97"/>
      <c r="LJN2" s="97"/>
      <c r="LJO2" s="97"/>
      <c r="LJP2" s="97"/>
      <c r="LJQ2" s="97"/>
      <c r="LJR2" s="97"/>
      <c r="LJS2" s="97"/>
      <c r="LJT2" s="97"/>
      <c r="LJU2" s="97"/>
      <c r="LJV2" s="97"/>
      <c r="LJW2" s="97"/>
      <c r="LJX2" s="97"/>
      <c r="LJY2" s="97"/>
      <c r="LJZ2" s="97"/>
      <c r="LKA2" s="97"/>
      <c r="LKB2" s="97"/>
      <c r="LKC2" s="97"/>
      <c r="LKD2" s="97"/>
      <c r="LKE2" s="97"/>
      <c r="LKF2" s="97"/>
      <c r="LKG2" s="97"/>
      <c r="LKH2" s="97"/>
      <c r="LKI2" s="97"/>
      <c r="LKJ2" s="97"/>
      <c r="LKK2" s="97"/>
      <c r="LKL2" s="97"/>
      <c r="LKM2" s="97"/>
      <c r="LKN2" s="97"/>
      <c r="LKO2" s="97"/>
      <c r="LKP2" s="97"/>
      <c r="LKQ2" s="97"/>
      <c r="LKR2" s="97"/>
      <c r="LKS2" s="97"/>
      <c r="LKT2" s="97"/>
      <c r="LKU2" s="97"/>
      <c r="LKV2" s="97"/>
      <c r="LKW2" s="97"/>
      <c r="LKX2" s="97"/>
      <c r="LKY2" s="97"/>
      <c r="LKZ2" s="97"/>
      <c r="LLA2" s="97"/>
      <c r="LLB2" s="97"/>
      <c r="LLC2" s="97"/>
      <c r="LLD2" s="97"/>
      <c r="LLE2" s="97"/>
      <c r="LLF2" s="97"/>
      <c r="LLG2" s="97"/>
      <c r="LLH2" s="97"/>
      <c r="LLI2" s="97"/>
      <c r="LLJ2" s="97"/>
      <c r="LLK2" s="97"/>
      <c r="LLL2" s="97"/>
      <c r="LLM2" s="97"/>
      <c r="LLN2" s="97"/>
      <c r="LLO2" s="97"/>
      <c r="LLP2" s="97"/>
      <c r="LLQ2" s="97"/>
      <c r="LLR2" s="97"/>
      <c r="LLS2" s="97"/>
      <c r="LLT2" s="97"/>
      <c r="LLU2" s="97"/>
      <c r="LLV2" s="97"/>
      <c r="LLW2" s="97"/>
      <c r="LLX2" s="97"/>
      <c r="LLY2" s="97"/>
      <c r="LLZ2" s="97"/>
      <c r="LMA2" s="97"/>
      <c r="LMB2" s="97"/>
      <c r="LMC2" s="97"/>
      <c r="LMD2" s="97"/>
      <c r="LME2" s="97"/>
      <c r="LMF2" s="97"/>
      <c r="LMG2" s="97"/>
      <c r="LMH2" s="97"/>
      <c r="LMI2" s="97"/>
      <c r="LMJ2" s="97"/>
      <c r="LMK2" s="97"/>
      <c r="LML2" s="97"/>
      <c r="LMM2" s="97"/>
      <c r="LMN2" s="97"/>
      <c r="LMO2" s="97"/>
      <c r="LMP2" s="97"/>
      <c r="LMQ2" s="97"/>
      <c r="LMR2" s="97"/>
      <c r="LMS2" s="97"/>
      <c r="LMT2" s="97"/>
      <c r="LMU2" s="97"/>
      <c r="LMV2" s="97"/>
      <c r="LMW2" s="97"/>
      <c r="LMX2" s="97"/>
      <c r="LMY2" s="97"/>
      <c r="LMZ2" s="97"/>
      <c r="LNA2" s="97"/>
      <c r="LNB2" s="97"/>
      <c r="LNC2" s="97"/>
      <c r="LND2" s="97"/>
      <c r="LNE2" s="97"/>
      <c r="LNF2" s="97"/>
      <c r="LNG2" s="97"/>
      <c r="LNH2" s="97"/>
      <c r="LNI2" s="97"/>
      <c r="LNJ2" s="97"/>
      <c r="LNK2" s="97"/>
      <c r="LNL2" s="97"/>
      <c r="LNM2" s="97"/>
      <c r="LNN2" s="97"/>
      <c r="LNO2" s="97"/>
      <c r="LNP2" s="97"/>
      <c r="LNQ2" s="97"/>
      <c r="LNR2" s="97"/>
      <c r="LNS2" s="97"/>
      <c r="LNT2" s="97"/>
      <c r="LNU2" s="97"/>
      <c r="LNV2" s="97"/>
      <c r="LNW2" s="97"/>
      <c r="LNX2" s="97"/>
      <c r="LNY2" s="97"/>
      <c r="LNZ2" s="97"/>
      <c r="LOA2" s="97"/>
      <c r="LOB2" s="97"/>
      <c r="LOC2" s="97"/>
      <c r="LOD2" s="97"/>
      <c r="LOE2" s="97"/>
      <c r="LOF2" s="97"/>
      <c r="LOG2" s="97"/>
      <c r="LOH2" s="97"/>
      <c r="LOI2" s="97"/>
      <c r="LOJ2" s="97"/>
      <c r="LOK2" s="97"/>
      <c r="LOL2" s="97"/>
      <c r="LOM2" s="97"/>
      <c r="LON2" s="97"/>
      <c r="LOO2" s="97"/>
      <c r="LOP2" s="97"/>
      <c r="LOQ2" s="97"/>
      <c r="LOR2" s="97"/>
      <c r="LOS2" s="97"/>
      <c r="LOT2" s="97"/>
      <c r="LOU2" s="97"/>
      <c r="LOV2" s="97"/>
      <c r="LOW2" s="97"/>
      <c r="LOX2" s="97"/>
      <c r="LOY2" s="97"/>
      <c r="LOZ2" s="97"/>
      <c r="LPA2" s="97"/>
      <c r="LPB2" s="97"/>
      <c r="LPC2" s="97"/>
      <c r="LPD2" s="97"/>
      <c r="LPE2" s="97"/>
      <c r="LPF2" s="97"/>
      <c r="LPG2" s="97"/>
      <c r="LPH2" s="97"/>
      <c r="LPI2" s="97"/>
      <c r="LPJ2" s="97"/>
      <c r="LPK2" s="97"/>
      <c r="LPL2" s="97"/>
      <c r="LPM2" s="97"/>
      <c r="LPN2" s="97"/>
      <c r="LPO2" s="97"/>
      <c r="LPP2" s="97"/>
      <c r="LPQ2" s="97"/>
      <c r="LPR2" s="97"/>
      <c r="LPS2" s="97"/>
      <c r="LPT2" s="97"/>
      <c r="LPU2" s="97"/>
      <c r="LPV2" s="97"/>
      <c r="LPW2" s="97"/>
      <c r="LPX2" s="97"/>
      <c r="LPY2" s="97"/>
      <c r="LPZ2" s="97"/>
      <c r="LQA2" s="97"/>
      <c r="LQB2" s="97"/>
      <c r="LQC2" s="97"/>
      <c r="LQD2" s="97"/>
      <c r="LQE2" s="97"/>
      <c r="LQF2" s="97"/>
      <c r="LQG2" s="97"/>
      <c r="LQH2" s="97"/>
      <c r="LQI2" s="97"/>
      <c r="LQJ2" s="97"/>
      <c r="LQK2" s="97"/>
      <c r="LQL2" s="97"/>
      <c r="LQM2" s="97"/>
      <c r="LQN2" s="97"/>
      <c r="LQO2" s="97"/>
      <c r="LQP2" s="97"/>
      <c r="LQQ2" s="97"/>
      <c r="LQR2" s="97"/>
      <c r="LQS2" s="97"/>
      <c r="LQT2" s="97"/>
      <c r="LQU2" s="97"/>
      <c r="LQV2" s="97"/>
      <c r="LQW2" s="97"/>
      <c r="LQX2" s="97"/>
      <c r="LQY2" s="97"/>
      <c r="LQZ2" s="97"/>
      <c r="LRA2" s="97"/>
      <c r="LRB2" s="97"/>
      <c r="LRC2" s="97"/>
      <c r="LRD2" s="97"/>
      <c r="LRE2" s="97"/>
      <c r="LRF2" s="97"/>
      <c r="LRG2" s="97"/>
      <c r="LRH2" s="97"/>
      <c r="LRI2" s="97"/>
      <c r="LRJ2" s="97"/>
      <c r="LRK2" s="97"/>
      <c r="LRL2" s="97"/>
      <c r="LRM2" s="97"/>
      <c r="LRN2" s="97"/>
      <c r="LRO2" s="97"/>
      <c r="LRP2" s="97"/>
      <c r="LRQ2" s="97"/>
      <c r="LRR2" s="97"/>
      <c r="LRS2" s="97"/>
      <c r="LRT2" s="97"/>
      <c r="LRU2" s="97"/>
      <c r="LRV2" s="97"/>
      <c r="LRW2" s="97"/>
      <c r="LRX2" s="97"/>
      <c r="LRY2" s="97"/>
      <c r="LRZ2" s="97"/>
      <c r="LSA2" s="97"/>
      <c r="LSB2" s="97"/>
      <c r="LSC2" s="97"/>
      <c r="LSD2" s="97"/>
      <c r="LSE2" s="97"/>
      <c r="LSF2" s="97"/>
      <c r="LSG2" s="97"/>
      <c r="LSH2" s="97"/>
      <c r="LSI2" s="97"/>
      <c r="LSJ2" s="97"/>
      <c r="LSK2" s="97"/>
      <c r="LSL2" s="97"/>
      <c r="LSM2" s="97"/>
      <c r="LSN2" s="97"/>
      <c r="LSO2" s="97"/>
      <c r="LSP2" s="97"/>
      <c r="LSQ2" s="97"/>
      <c r="LSR2" s="97"/>
      <c r="LSS2" s="97"/>
      <c r="LST2" s="97"/>
      <c r="LSU2" s="97"/>
      <c r="LSV2" s="97"/>
      <c r="LSW2" s="97"/>
      <c r="LSX2" s="97"/>
      <c r="LSY2" s="97"/>
      <c r="LSZ2" s="97"/>
      <c r="LTA2" s="97"/>
      <c r="LTB2" s="97"/>
      <c r="LTC2" s="97"/>
      <c r="LTD2" s="97"/>
      <c r="LTE2" s="97"/>
      <c r="LTF2" s="97"/>
      <c r="LTG2" s="97"/>
      <c r="LTH2" s="97"/>
      <c r="LTI2" s="97"/>
      <c r="LTJ2" s="97"/>
      <c r="LTK2" s="97"/>
      <c r="LTL2" s="97"/>
      <c r="LTM2" s="97"/>
      <c r="LTN2" s="97"/>
      <c r="LTO2" s="97"/>
      <c r="LTP2" s="97"/>
      <c r="LTQ2" s="97"/>
      <c r="LTR2" s="97"/>
      <c r="LTS2" s="97"/>
      <c r="LTT2" s="97"/>
      <c r="LTU2" s="97"/>
      <c r="LTV2" s="97"/>
      <c r="LTW2" s="97"/>
      <c r="LTX2" s="97"/>
      <c r="LTY2" s="97"/>
      <c r="LTZ2" s="97"/>
      <c r="LUA2" s="97"/>
      <c r="LUB2" s="97"/>
      <c r="LUC2" s="97"/>
      <c r="LUD2" s="97"/>
      <c r="LUE2" s="97"/>
      <c r="LUF2" s="97"/>
      <c r="LUG2" s="97"/>
      <c r="LUH2" s="97"/>
      <c r="LUI2" s="97"/>
      <c r="LUJ2" s="97"/>
      <c r="LUK2" s="97"/>
      <c r="LUL2" s="97"/>
      <c r="LUM2" s="97"/>
      <c r="LUN2" s="97"/>
      <c r="LUO2" s="97"/>
      <c r="LUP2" s="97"/>
      <c r="LUQ2" s="97"/>
      <c r="LUR2" s="97"/>
      <c r="LUS2" s="97"/>
      <c r="LUT2" s="97"/>
      <c r="LUU2" s="97"/>
      <c r="LUV2" s="97"/>
      <c r="LUW2" s="97"/>
      <c r="LUX2" s="97"/>
      <c r="LUY2" s="97"/>
      <c r="LUZ2" s="97"/>
      <c r="LVA2" s="97"/>
      <c r="LVB2" s="97"/>
      <c r="LVC2" s="97"/>
      <c r="LVD2" s="97"/>
      <c r="LVE2" s="97"/>
      <c r="LVF2" s="97"/>
      <c r="LVG2" s="97"/>
      <c r="LVH2" s="97"/>
      <c r="LVI2" s="97"/>
      <c r="LVJ2" s="97"/>
      <c r="LVK2" s="97"/>
      <c r="LVL2" s="97"/>
      <c r="LVM2" s="97"/>
      <c r="LVN2" s="97"/>
      <c r="LVO2" s="97"/>
      <c r="LVP2" s="97"/>
      <c r="LVQ2" s="97"/>
      <c r="LVR2" s="97"/>
      <c r="LVS2" s="97"/>
      <c r="LVT2" s="97"/>
      <c r="LVU2" s="97"/>
      <c r="LVV2" s="97"/>
      <c r="LVW2" s="97"/>
      <c r="LVX2" s="97"/>
      <c r="LVY2" s="97"/>
      <c r="LVZ2" s="97"/>
      <c r="LWA2" s="97"/>
      <c r="LWB2" s="97"/>
      <c r="LWC2" s="97"/>
      <c r="LWD2" s="97"/>
      <c r="LWE2" s="97"/>
      <c r="LWF2" s="97"/>
      <c r="LWG2" s="97"/>
      <c r="LWH2" s="97"/>
      <c r="LWI2" s="97"/>
      <c r="LWJ2" s="97"/>
      <c r="LWK2" s="97"/>
      <c r="LWL2" s="97"/>
      <c r="LWM2" s="97"/>
      <c r="LWN2" s="97"/>
      <c r="LWO2" s="97"/>
      <c r="LWP2" s="97"/>
      <c r="LWQ2" s="97"/>
      <c r="LWR2" s="97"/>
      <c r="LWS2" s="97"/>
      <c r="LWT2" s="97"/>
      <c r="LWU2" s="97"/>
      <c r="LWV2" s="97"/>
      <c r="LWW2" s="97"/>
      <c r="LWX2" s="97"/>
      <c r="LWY2" s="97"/>
      <c r="LWZ2" s="97"/>
      <c r="LXA2" s="97"/>
      <c r="LXB2" s="97"/>
      <c r="LXC2" s="97"/>
      <c r="LXD2" s="97"/>
      <c r="LXE2" s="97"/>
      <c r="LXF2" s="97"/>
      <c r="LXG2" s="97"/>
      <c r="LXH2" s="97"/>
      <c r="LXI2" s="97"/>
      <c r="LXJ2" s="97"/>
      <c r="LXK2" s="97"/>
      <c r="LXL2" s="97"/>
      <c r="LXM2" s="97"/>
      <c r="LXN2" s="97"/>
      <c r="LXO2" s="97"/>
      <c r="LXP2" s="97"/>
      <c r="LXQ2" s="97"/>
      <c r="LXR2" s="97"/>
      <c r="LXS2" s="97"/>
      <c r="LXT2" s="97"/>
      <c r="LXU2" s="97"/>
      <c r="LXV2" s="97"/>
      <c r="LXW2" s="97"/>
      <c r="LXX2" s="97"/>
      <c r="LXY2" s="97"/>
      <c r="LXZ2" s="97"/>
      <c r="LYA2" s="97"/>
      <c r="LYB2" s="97"/>
      <c r="LYC2" s="97"/>
      <c r="LYD2" s="97"/>
      <c r="LYE2" s="97"/>
      <c r="LYF2" s="97"/>
      <c r="LYG2" s="97"/>
      <c r="LYH2" s="97"/>
      <c r="LYI2" s="97"/>
      <c r="LYJ2" s="97"/>
      <c r="LYK2" s="97"/>
      <c r="LYL2" s="97"/>
      <c r="LYM2" s="97"/>
      <c r="LYN2" s="97"/>
      <c r="LYO2" s="97"/>
      <c r="LYP2" s="97"/>
      <c r="LYQ2" s="97"/>
      <c r="LYR2" s="97"/>
      <c r="LYS2" s="97"/>
      <c r="LYT2" s="97"/>
      <c r="LYU2" s="97"/>
      <c r="LYV2" s="97"/>
      <c r="LYW2" s="97"/>
      <c r="LYX2" s="97"/>
      <c r="LYY2" s="97"/>
      <c r="LYZ2" s="97"/>
      <c r="LZA2" s="97"/>
      <c r="LZB2" s="97"/>
      <c r="LZC2" s="97"/>
      <c r="LZD2" s="97"/>
      <c r="LZE2" s="97"/>
      <c r="LZF2" s="97"/>
      <c r="LZG2" s="97"/>
      <c r="LZH2" s="97"/>
      <c r="LZI2" s="97"/>
      <c r="LZJ2" s="97"/>
      <c r="LZK2" s="97"/>
      <c r="LZL2" s="97"/>
      <c r="LZM2" s="97"/>
      <c r="LZN2" s="97"/>
      <c r="LZO2" s="97"/>
      <c r="LZP2" s="97"/>
      <c r="LZQ2" s="97"/>
      <c r="LZR2" s="97"/>
      <c r="LZS2" s="97"/>
      <c r="LZT2" s="97"/>
      <c r="LZU2" s="97"/>
      <c r="LZV2" s="97"/>
      <c r="LZW2" s="97"/>
      <c r="LZX2" s="97"/>
      <c r="LZY2" s="97"/>
      <c r="LZZ2" s="97"/>
      <c r="MAA2" s="97"/>
      <c r="MAB2" s="97"/>
      <c r="MAC2" s="97"/>
      <c r="MAD2" s="97"/>
      <c r="MAE2" s="97"/>
      <c r="MAF2" s="97"/>
      <c r="MAG2" s="97"/>
      <c r="MAH2" s="97"/>
      <c r="MAI2" s="97"/>
      <c r="MAJ2" s="97"/>
      <c r="MAK2" s="97"/>
      <c r="MAL2" s="97"/>
      <c r="MAM2" s="97"/>
      <c r="MAN2" s="97"/>
      <c r="MAO2" s="97"/>
      <c r="MAP2" s="97"/>
      <c r="MAQ2" s="97"/>
      <c r="MAR2" s="97"/>
      <c r="MAS2" s="97"/>
      <c r="MAT2" s="97"/>
      <c r="MAU2" s="97"/>
      <c r="MAV2" s="97"/>
      <c r="MAW2" s="97"/>
      <c r="MAX2" s="97"/>
      <c r="MAY2" s="97"/>
      <c r="MAZ2" s="97"/>
      <c r="MBA2" s="97"/>
      <c r="MBB2" s="97"/>
      <c r="MBC2" s="97"/>
      <c r="MBD2" s="97"/>
      <c r="MBE2" s="97"/>
      <c r="MBF2" s="97"/>
      <c r="MBG2" s="97"/>
      <c r="MBH2" s="97"/>
      <c r="MBI2" s="97"/>
      <c r="MBJ2" s="97"/>
      <c r="MBK2" s="97"/>
      <c r="MBL2" s="97"/>
      <c r="MBM2" s="97"/>
      <c r="MBN2" s="97"/>
      <c r="MBO2" s="97"/>
      <c r="MBP2" s="97"/>
      <c r="MBQ2" s="97"/>
      <c r="MBR2" s="97"/>
      <c r="MBS2" s="97"/>
      <c r="MBT2" s="97"/>
      <c r="MBU2" s="97"/>
      <c r="MBV2" s="97"/>
      <c r="MBW2" s="97"/>
      <c r="MBX2" s="97"/>
      <c r="MBY2" s="97"/>
      <c r="MBZ2" s="97"/>
      <c r="MCA2" s="97"/>
      <c r="MCB2" s="97"/>
      <c r="MCC2" s="97"/>
      <c r="MCD2" s="97"/>
      <c r="MCE2" s="97"/>
      <c r="MCF2" s="97"/>
      <c r="MCG2" s="97"/>
      <c r="MCH2" s="97"/>
      <c r="MCI2" s="97"/>
      <c r="MCJ2" s="97"/>
      <c r="MCK2" s="97"/>
      <c r="MCL2" s="97"/>
      <c r="MCM2" s="97"/>
      <c r="MCN2" s="97"/>
      <c r="MCO2" s="97"/>
      <c r="MCP2" s="97"/>
      <c r="MCQ2" s="97"/>
      <c r="MCR2" s="97"/>
      <c r="MCS2" s="97"/>
      <c r="MCT2" s="97"/>
      <c r="MCU2" s="97"/>
      <c r="MCV2" s="97"/>
      <c r="MCW2" s="97"/>
      <c r="MCX2" s="97"/>
      <c r="MCY2" s="97"/>
      <c r="MCZ2" s="97"/>
      <c r="MDA2" s="97"/>
      <c r="MDB2" s="97"/>
      <c r="MDC2" s="97"/>
      <c r="MDD2" s="97"/>
      <c r="MDE2" s="97"/>
      <c r="MDF2" s="97"/>
      <c r="MDG2" s="97"/>
      <c r="MDH2" s="97"/>
      <c r="MDI2" s="97"/>
      <c r="MDJ2" s="97"/>
      <c r="MDK2" s="97"/>
      <c r="MDL2" s="97"/>
      <c r="MDM2" s="97"/>
      <c r="MDN2" s="97"/>
      <c r="MDO2" s="97"/>
      <c r="MDP2" s="97"/>
      <c r="MDQ2" s="97"/>
      <c r="MDR2" s="97"/>
      <c r="MDS2" s="97"/>
      <c r="MDT2" s="97"/>
      <c r="MDU2" s="97"/>
      <c r="MDV2" s="97"/>
      <c r="MDW2" s="97"/>
      <c r="MDX2" s="97"/>
      <c r="MDY2" s="97"/>
      <c r="MDZ2" s="97"/>
      <c r="MEA2" s="97"/>
      <c r="MEB2" s="97"/>
      <c r="MEC2" s="97"/>
      <c r="MED2" s="97"/>
      <c r="MEE2" s="97"/>
      <c r="MEF2" s="97"/>
      <c r="MEG2" s="97"/>
      <c r="MEH2" s="97"/>
      <c r="MEI2" s="97"/>
      <c r="MEJ2" s="97"/>
      <c r="MEK2" s="97"/>
      <c r="MEL2" s="97"/>
      <c r="MEM2" s="97"/>
      <c r="MEN2" s="97"/>
      <c r="MEO2" s="97"/>
      <c r="MEP2" s="97"/>
      <c r="MEQ2" s="97"/>
      <c r="MER2" s="97"/>
      <c r="MES2" s="97"/>
      <c r="MET2" s="97"/>
      <c r="MEU2" s="97"/>
      <c r="MEV2" s="97"/>
      <c r="MEW2" s="97"/>
      <c r="MEX2" s="97"/>
      <c r="MEY2" s="97"/>
      <c r="MEZ2" s="97"/>
      <c r="MFA2" s="97"/>
      <c r="MFB2" s="97"/>
      <c r="MFC2" s="97"/>
      <c r="MFD2" s="97"/>
      <c r="MFE2" s="97"/>
      <c r="MFF2" s="97"/>
      <c r="MFG2" s="97"/>
      <c r="MFH2" s="97"/>
      <c r="MFI2" s="97"/>
      <c r="MFJ2" s="97"/>
      <c r="MFK2" s="97"/>
      <c r="MFL2" s="97"/>
      <c r="MFM2" s="97"/>
      <c r="MFN2" s="97"/>
      <c r="MFO2" s="97"/>
      <c r="MFP2" s="97"/>
      <c r="MFQ2" s="97"/>
      <c r="MFR2" s="97"/>
      <c r="MFS2" s="97"/>
      <c r="MFT2" s="97"/>
      <c r="MFU2" s="97"/>
      <c r="MFV2" s="97"/>
      <c r="MFW2" s="97"/>
      <c r="MFX2" s="97"/>
      <c r="MFY2" s="97"/>
      <c r="MFZ2" s="97"/>
      <c r="MGA2" s="97"/>
      <c r="MGB2" s="97"/>
      <c r="MGC2" s="97"/>
      <c r="MGD2" s="97"/>
      <c r="MGE2" s="97"/>
      <c r="MGF2" s="97"/>
      <c r="MGG2" s="97"/>
      <c r="MGH2" s="97"/>
      <c r="MGI2" s="97"/>
      <c r="MGJ2" s="97"/>
      <c r="MGK2" s="97"/>
      <c r="MGL2" s="97"/>
      <c r="MGM2" s="97"/>
      <c r="MGN2" s="97"/>
      <c r="MGO2" s="97"/>
      <c r="MGP2" s="97"/>
      <c r="MGQ2" s="97"/>
      <c r="MGR2" s="97"/>
      <c r="MGS2" s="97"/>
      <c r="MGT2" s="97"/>
      <c r="MGU2" s="97"/>
      <c r="MGV2" s="97"/>
      <c r="MGW2" s="97"/>
      <c r="MGX2" s="97"/>
      <c r="MGY2" s="97"/>
      <c r="MGZ2" s="97"/>
      <c r="MHA2" s="97"/>
      <c r="MHB2" s="97"/>
      <c r="MHC2" s="97"/>
      <c r="MHD2" s="97"/>
      <c r="MHE2" s="97"/>
      <c r="MHF2" s="97"/>
      <c r="MHG2" s="97"/>
      <c r="MHH2" s="97"/>
      <c r="MHI2" s="97"/>
      <c r="MHJ2" s="97"/>
      <c r="MHK2" s="97"/>
      <c r="MHL2" s="97"/>
      <c r="MHM2" s="97"/>
      <c r="MHN2" s="97"/>
      <c r="MHO2" s="97"/>
      <c r="MHP2" s="97"/>
      <c r="MHQ2" s="97"/>
      <c r="MHR2" s="97"/>
      <c r="MHS2" s="97"/>
      <c r="MHT2" s="97"/>
      <c r="MHU2" s="97"/>
      <c r="MHV2" s="97"/>
      <c r="MHW2" s="97"/>
      <c r="MHX2" s="97"/>
      <c r="MHY2" s="97"/>
      <c r="MHZ2" s="97"/>
      <c r="MIA2" s="97"/>
      <c r="MIB2" s="97"/>
      <c r="MIC2" s="97"/>
      <c r="MID2" s="97"/>
      <c r="MIE2" s="97"/>
      <c r="MIF2" s="97"/>
      <c r="MIG2" s="97"/>
      <c r="MIH2" s="97"/>
      <c r="MII2" s="97"/>
      <c r="MIJ2" s="97"/>
      <c r="MIK2" s="97"/>
      <c r="MIL2" s="97"/>
      <c r="MIM2" s="97"/>
      <c r="MIN2" s="97"/>
      <c r="MIO2" s="97"/>
      <c r="MIP2" s="97"/>
      <c r="MIQ2" s="97"/>
      <c r="MIR2" s="97"/>
      <c r="MIS2" s="97"/>
      <c r="MIT2" s="97"/>
      <c r="MIU2" s="97"/>
      <c r="MIV2" s="97"/>
      <c r="MIW2" s="97"/>
      <c r="MIX2" s="97"/>
      <c r="MIY2" s="97"/>
      <c r="MIZ2" s="97"/>
      <c r="MJA2" s="97"/>
      <c r="MJB2" s="97"/>
      <c r="MJC2" s="97"/>
      <c r="MJD2" s="97"/>
      <c r="MJE2" s="97"/>
      <c r="MJF2" s="97"/>
      <c r="MJG2" s="97"/>
      <c r="MJH2" s="97"/>
      <c r="MJI2" s="97"/>
      <c r="MJJ2" s="97"/>
      <c r="MJK2" s="97"/>
      <c r="MJL2" s="97"/>
      <c r="MJM2" s="97"/>
      <c r="MJN2" s="97"/>
      <c r="MJO2" s="97"/>
      <c r="MJP2" s="97"/>
      <c r="MJQ2" s="97"/>
      <c r="MJR2" s="97"/>
      <c r="MJS2" s="97"/>
      <c r="MJT2" s="97"/>
      <c r="MJU2" s="97"/>
      <c r="MJV2" s="97"/>
      <c r="MJW2" s="97"/>
      <c r="MJX2" s="97"/>
      <c r="MJY2" s="97"/>
      <c r="MJZ2" s="97"/>
      <c r="MKA2" s="97"/>
      <c r="MKB2" s="97"/>
      <c r="MKC2" s="97"/>
      <c r="MKD2" s="97"/>
      <c r="MKE2" s="97"/>
      <c r="MKF2" s="97"/>
      <c r="MKG2" s="97"/>
      <c r="MKH2" s="97"/>
      <c r="MKI2" s="97"/>
      <c r="MKJ2" s="97"/>
      <c r="MKK2" s="97"/>
      <c r="MKL2" s="97"/>
      <c r="MKM2" s="97"/>
      <c r="MKN2" s="97"/>
      <c r="MKO2" s="97"/>
      <c r="MKP2" s="97"/>
      <c r="MKQ2" s="97"/>
      <c r="MKR2" s="97"/>
      <c r="MKS2" s="97"/>
      <c r="MKT2" s="97"/>
      <c r="MKU2" s="97"/>
      <c r="MKV2" s="97"/>
      <c r="MKW2" s="97"/>
      <c r="MKX2" s="97"/>
      <c r="MKY2" s="97"/>
      <c r="MKZ2" s="97"/>
      <c r="MLA2" s="97"/>
      <c r="MLB2" s="97"/>
      <c r="MLC2" s="97"/>
      <c r="MLD2" s="97"/>
      <c r="MLE2" s="97"/>
      <c r="MLF2" s="97"/>
      <c r="MLG2" s="97"/>
      <c r="MLH2" s="97"/>
      <c r="MLI2" s="97"/>
      <c r="MLJ2" s="97"/>
      <c r="MLK2" s="97"/>
      <c r="MLL2" s="97"/>
      <c r="MLM2" s="97"/>
      <c r="MLN2" s="97"/>
      <c r="MLO2" s="97"/>
      <c r="MLP2" s="97"/>
      <c r="MLQ2" s="97"/>
      <c r="MLR2" s="97"/>
      <c r="MLS2" s="97"/>
      <c r="MLT2" s="97"/>
      <c r="MLU2" s="97"/>
      <c r="MLV2" s="97"/>
      <c r="MLW2" s="97"/>
      <c r="MLX2" s="97"/>
      <c r="MLY2" s="97"/>
      <c r="MLZ2" s="97"/>
      <c r="MMA2" s="97"/>
      <c r="MMB2" s="97"/>
      <c r="MMC2" s="97"/>
      <c r="MMD2" s="97"/>
      <c r="MME2" s="97"/>
      <c r="MMF2" s="97"/>
      <c r="MMG2" s="97"/>
      <c r="MMH2" s="97"/>
      <c r="MMI2" s="97"/>
      <c r="MMJ2" s="97"/>
      <c r="MMK2" s="97"/>
      <c r="MML2" s="97"/>
      <c r="MMM2" s="97"/>
      <c r="MMN2" s="97"/>
      <c r="MMO2" s="97"/>
      <c r="MMP2" s="97"/>
      <c r="MMQ2" s="97"/>
      <c r="MMR2" s="97"/>
      <c r="MMS2" s="97"/>
      <c r="MMT2" s="97"/>
      <c r="MMU2" s="97"/>
      <c r="MMV2" s="97"/>
      <c r="MMW2" s="97"/>
      <c r="MMX2" s="97"/>
      <c r="MMY2" s="97"/>
      <c r="MMZ2" s="97"/>
      <c r="MNA2" s="97"/>
      <c r="MNB2" s="97"/>
      <c r="MNC2" s="97"/>
      <c r="MND2" s="97"/>
      <c r="MNE2" s="97"/>
      <c r="MNF2" s="97"/>
      <c r="MNG2" s="97"/>
      <c r="MNH2" s="97"/>
      <c r="MNI2" s="97"/>
      <c r="MNJ2" s="97"/>
      <c r="MNK2" s="97"/>
      <c r="MNL2" s="97"/>
      <c r="MNM2" s="97"/>
      <c r="MNN2" s="97"/>
      <c r="MNO2" s="97"/>
      <c r="MNP2" s="97"/>
      <c r="MNQ2" s="97"/>
      <c r="MNR2" s="97"/>
      <c r="MNS2" s="97"/>
      <c r="MNT2" s="97"/>
      <c r="MNU2" s="97"/>
      <c r="MNV2" s="97"/>
      <c r="MNW2" s="97"/>
      <c r="MNX2" s="97"/>
      <c r="MNY2" s="97"/>
      <c r="MNZ2" s="97"/>
      <c r="MOA2" s="97"/>
      <c r="MOB2" s="97"/>
      <c r="MOC2" s="97"/>
      <c r="MOD2" s="97"/>
      <c r="MOE2" s="97"/>
      <c r="MOF2" s="97"/>
      <c r="MOG2" s="97"/>
      <c r="MOH2" s="97"/>
      <c r="MOI2" s="97"/>
      <c r="MOJ2" s="97"/>
      <c r="MOK2" s="97"/>
      <c r="MOL2" s="97"/>
      <c r="MOM2" s="97"/>
      <c r="MON2" s="97"/>
      <c r="MOO2" s="97"/>
      <c r="MOP2" s="97"/>
      <c r="MOQ2" s="97"/>
      <c r="MOR2" s="97"/>
      <c r="MOS2" s="97"/>
      <c r="MOT2" s="97"/>
      <c r="MOU2" s="97"/>
      <c r="MOV2" s="97"/>
      <c r="MOW2" s="97"/>
      <c r="MOX2" s="97"/>
      <c r="MOY2" s="97"/>
      <c r="MOZ2" s="97"/>
      <c r="MPA2" s="97"/>
      <c r="MPB2" s="97"/>
      <c r="MPC2" s="97"/>
      <c r="MPD2" s="97"/>
      <c r="MPE2" s="97"/>
      <c r="MPF2" s="97"/>
      <c r="MPG2" s="97"/>
      <c r="MPH2" s="97"/>
      <c r="MPI2" s="97"/>
      <c r="MPJ2" s="97"/>
      <c r="MPK2" s="97"/>
      <c r="MPL2" s="97"/>
      <c r="MPM2" s="97"/>
      <c r="MPN2" s="97"/>
      <c r="MPO2" s="97"/>
      <c r="MPP2" s="97"/>
      <c r="MPQ2" s="97"/>
      <c r="MPR2" s="97"/>
      <c r="MPS2" s="97"/>
      <c r="MPT2" s="97"/>
      <c r="MPU2" s="97"/>
      <c r="MPV2" s="97"/>
      <c r="MPW2" s="97"/>
      <c r="MPX2" s="97"/>
      <c r="MPY2" s="97"/>
      <c r="MPZ2" s="97"/>
      <c r="MQA2" s="97"/>
      <c r="MQB2" s="97"/>
      <c r="MQC2" s="97"/>
      <c r="MQD2" s="97"/>
      <c r="MQE2" s="97"/>
      <c r="MQF2" s="97"/>
      <c r="MQG2" s="97"/>
      <c r="MQH2" s="97"/>
      <c r="MQI2" s="97"/>
      <c r="MQJ2" s="97"/>
      <c r="MQK2" s="97"/>
      <c r="MQL2" s="97"/>
      <c r="MQM2" s="97"/>
      <c r="MQN2" s="97"/>
      <c r="MQO2" s="97"/>
      <c r="MQP2" s="97"/>
      <c r="MQQ2" s="97"/>
      <c r="MQR2" s="97"/>
      <c r="MQS2" s="97"/>
      <c r="MQT2" s="97"/>
      <c r="MQU2" s="97"/>
      <c r="MQV2" s="97"/>
      <c r="MQW2" s="97"/>
      <c r="MQX2" s="97"/>
      <c r="MQY2" s="97"/>
      <c r="MQZ2" s="97"/>
      <c r="MRA2" s="97"/>
      <c r="MRB2" s="97"/>
      <c r="MRC2" s="97"/>
      <c r="MRD2" s="97"/>
      <c r="MRE2" s="97"/>
      <c r="MRF2" s="97"/>
      <c r="MRG2" s="97"/>
      <c r="MRH2" s="97"/>
      <c r="MRI2" s="97"/>
      <c r="MRJ2" s="97"/>
      <c r="MRK2" s="97"/>
      <c r="MRL2" s="97"/>
      <c r="MRM2" s="97"/>
      <c r="MRN2" s="97"/>
      <c r="MRO2" s="97"/>
      <c r="MRP2" s="97"/>
      <c r="MRQ2" s="97"/>
      <c r="MRR2" s="97"/>
      <c r="MRS2" s="97"/>
      <c r="MRT2" s="97"/>
      <c r="MRU2" s="97"/>
      <c r="MRV2" s="97"/>
      <c r="MRW2" s="97"/>
      <c r="MRX2" s="97"/>
      <c r="MRY2" s="97"/>
      <c r="MRZ2" s="97"/>
      <c r="MSA2" s="97"/>
      <c r="MSB2" s="97"/>
      <c r="MSC2" s="97"/>
      <c r="MSD2" s="97"/>
      <c r="MSE2" s="97"/>
      <c r="MSF2" s="97"/>
      <c r="MSG2" s="97"/>
      <c r="MSH2" s="97"/>
      <c r="MSI2" s="97"/>
      <c r="MSJ2" s="97"/>
      <c r="MSK2" s="97"/>
      <c r="MSL2" s="97"/>
      <c r="MSM2" s="97"/>
      <c r="MSN2" s="97"/>
      <c r="MSO2" s="97"/>
      <c r="MSP2" s="97"/>
      <c r="MSQ2" s="97"/>
      <c r="MSR2" s="97"/>
      <c r="MSS2" s="97"/>
      <c r="MST2" s="97"/>
      <c r="MSU2" s="97"/>
      <c r="MSV2" s="97"/>
      <c r="MSW2" s="97"/>
      <c r="MSX2" s="97"/>
      <c r="MSY2" s="97"/>
      <c r="MSZ2" s="97"/>
      <c r="MTA2" s="97"/>
      <c r="MTB2" s="97"/>
      <c r="MTC2" s="97"/>
      <c r="MTD2" s="97"/>
      <c r="MTE2" s="97"/>
      <c r="MTF2" s="97"/>
      <c r="MTG2" s="97"/>
      <c r="MTH2" s="97"/>
      <c r="MTI2" s="97"/>
      <c r="MTJ2" s="97"/>
      <c r="MTK2" s="97"/>
      <c r="MTL2" s="97"/>
      <c r="MTM2" s="97"/>
      <c r="MTN2" s="97"/>
      <c r="MTO2" s="97"/>
      <c r="MTP2" s="97"/>
      <c r="MTQ2" s="97"/>
      <c r="MTR2" s="97"/>
      <c r="MTS2" s="97"/>
      <c r="MTT2" s="97"/>
      <c r="MTU2" s="97"/>
      <c r="MTV2" s="97"/>
      <c r="MTW2" s="97"/>
      <c r="MTX2" s="97"/>
      <c r="MTY2" s="97"/>
      <c r="MTZ2" s="97"/>
      <c r="MUA2" s="97"/>
      <c r="MUB2" s="97"/>
      <c r="MUC2" s="97"/>
      <c r="MUD2" s="97"/>
      <c r="MUE2" s="97"/>
      <c r="MUF2" s="97"/>
      <c r="MUG2" s="97"/>
      <c r="MUH2" s="97"/>
      <c r="MUI2" s="97"/>
      <c r="MUJ2" s="97"/>
      <c r="MUK2" s="97"/>
      <c r="MUL2" s="97"/>
      <c r="MUM2" s="97"/>
      <c r="MUN2" s="97"/>
      <c r="MUO2" s="97"/>
      <c r="MUP2" s="97"/>
      <c r="MUQ2" s="97"/>
      <c r="MUR2" s="97"/>
      <c r="MUS2" s="97"/>
      <c r="MUT2" s="97"/>
      <c r="MUU2" s="97"/>
      <c r="MUV2" s="97"/>
      <c r="MUW2" s="97"/>
      <c r="MUX2" s="97"/>
      <c r="MUY2" s="97"/>
      <c r="MUZ2" s="97"/>
      <c r="MVA2" s="97"/>
      <c r="MVB2" s="97"/>
      <c r="MVC2" s="97"/>
      <c r="MVD2" s="97"/>
      <c r="MVE2" s="97"/>
      <c r="MVF2" s="97"/>
      <c r="MVG2" s="97"/>
      <c r="MVH2" s="97"/>
      <c r="MVI2" s="97"/>
      <c r="MVJ2" s="97"/>
      <c r="MVK2" s="97"/>
      <c r="MVL2" s="97"/>
      <c r="MVM2" s="97"/>
      <c r="MVN2" s="97"/>
      <c r="MVO2" s="97"/>
      <c r="MVP2" s="97"/>
      <c r="MVQ2" s="97"/>
      <c r="MVR2" s="97"/>
      <c r="MVS2" s="97"/>
      <c r="MVT2" s="97"/>
      <c r="MVU2" s="97"/>
      <c r="MVV2" s="97"/>
      <c r="MVW2" s="97"/>
      <c r="MVX2" s="97"/>
      <c r="MVY2" s="97"/>
      <c r="MVZ2" s="97"/>
      <c r="MWA2" s="97"/>
      <c r="MWB2" s="97"/>
      <c r="MWC2" s="97"/>
      <c r="MWD2" s="97"/>
      <c r="MWE2" s="97"/>
      <c r="MWF2" s="97"/>
      <c r="MWG2" s="97"/>
      <c r="MWH2" s="97"/>
      <c r="MWI2" s="97"/>
      <c r="MWJ2" s="97"/>
      <c r="MWK2" s="97"/>
      <c r="MWL2" s="97"/>
      <c r="MWM2" s="97"/>
      <c r="MWN2" s="97"/>
      <c r="MWO2" s="97"/>
      <c r="MWP2" s="97"/>
      <c r="MWQ2" s="97"/>
      <c r="MWR2" s="97"/>
      <c r="MWS2" s="97"/>
      <c r="MWT2" s="97"/>
      <c r="MWU2" s="97"/>
      <c r="MWV2" s="97"/>
      <c r="MWW2" s="97"/>
      <c r="MWX2" s="97"/>
      <c r="MWY2" s="97"/>
      <c r="MWZ2" s="97"/>
      <c r="MXA2" s="97"/>
      <c r="MXB2" s="97"/>
      <c r="MXC2" s="97"/>
      <c r="MXD2" s="97"/>
      <c r="MXE2" s="97"/>
      <c r="MXF2" s="97"/>
      <c r="MXG2" s="97"/>
      <c r="MXH2" s="97"/>
      <c r="MXI2" s="97"/>
      <c r="MXJ2" s="97"/>
      <c r="MXK2" s="97"/>
      <c r="MXL2" s="97"/>
      <c r="MXM2" s="97"/>
      <c r="MXN2" s="97"/>
      <c r="MXO2" s="97"/>
      <c r="MXP2" s="97"/>
      <c r="MXQ2" s="97"/>
      <c r="MXR2" s="97"/>
      <c r="MXS2" s="97"/>
      <c r="MXT2" s="97"/>
      <c r="MXU2" s="97"/>
      <c r="MXV2" s="97"/>
      <c r="MXW2" s="97"/>
      <c r="MXX2" s="97"/>
      <c r="MXY2" s="97"/>
      <c r="MXZ2" s="97"/>
      <c r="MYA2" s="97"/>
      <c r="MYB2" s="97"/>
      <c r="MYC2" s="97"/>
      <c r="MYD2" s="97"/>
      <c r="MYE2" s="97"/>
      <c r="MYF2" s="97"/>
      <c r="MYG2" s="97"/>
      <c r="MYH2" s="97"/>
      <c r="MYI2" s="97"/>
      <c r="MYJ2" s="97"/>
      <c r="MYK2" s="97"/>
      <c r="MYL2" s="97"/>
      <c r="MYM2" s="97"/>
      <c r="MYN2" s="97"/>
      <c r="MYO2" s="97"/>
      <c r="MYP2" s="97"/>
      <c r="MYQ2" s="97"/>
      <c r="MYR2" s="97"/>
      <c r="MYS2" s="97"/>
      <c r="MYT2" s="97"/>
      <c r="MYU2" s="97"/>
      <c r="MYV2" s="97"/>
      <c r="MYW2" s="97"/>
      <c r="MYX2" s="97"/>
      <c r="MYY2" s="97"/>
      <c r="MYZ2" s="97"/>
      <c r="MZA2" s="97"/>
      <c r="MZB2" s="97"/>
      <c r="MZC2" s="97"/>
      <c r="MZD2" s="97"/>
      <c r="MZE2" s="97"/>
      <c r="MZF2" s="97"/>
      <c r="MZG2" s="97"/>
      <c r="MZH2" s="97"/>
      <c r="MZI2" s="97"/>
      <c r="MZJ2" s="97"/>
      <c r="MZK2" s="97"/>
      <c r="MZL2" s="97"/>
      <c r="MZM2" s="97"/>
      <c r="MZN2" s="97"/>
      <c r="MZO2" s="97"/>
      <c r="MZP2" s="97"/>
      <c r="MZQ2" s="97"/>
      <c r="MZR2" s="97"/>
      <c r="MZS2" s="97"/>
      <c r="MZT2" s="97"/>
      <c r="MZU2" s="97"/>
      <c r="MZV2" s="97"/>
      <c r="MZW2" s="97"/>
      <c r="MZX2" s="97"/>
      <c r="MZY2" s="97"/>
      <c r="MZZ2" s="97"/>
      <c r="NAA2" s="97"/>
      <c r="NAB2" s="97"/>
      <c r="NAC2" s="97"/>
      <c r="NAD2" s="97"/>
      <c r="NAE2" s="97"/>
      <c r="NAF2" s="97"/>
      <c r="NAG2" s="97"/>
      <c r="NAH2" s="97"/>
      <c r="NAI2" s="97"/>
      <c r="NAJ2" s="97"/>
      <c r="NAK2" s="97"/>
      <c r="NAL2" s="97"/>
      <c r="NAM2" s="97"/>
      <c r="NAN2" s="97"/>
      <c r="NAO2" s="97"/>
      <c r="NAP2" s="97"/>
      <c r="NAQ2" s="97"/>
      <c r="NAR2" s="97"/>
      <c r="NAS2" s="97"/>
      <c r="NAT2" s="97"/>
      <c r="NAU2" s="97"/>
      <c r="NAV2" s="97"/>
      <c r="NAW2" s="97"/>
      <c r="NAX2" s="97"/>
      <c r="NAY2" s="97"/>
      <c r="NAZ2" s="97"/>
      <c r="NBA2" s="97"/>
      <c r="NBB2" s="97"/>
      <c r="NBC2" s="97"/>
      <c r="NBD2" s="97"/>
      <c r="NBE2" s="97"/>
      <c r="NBF2" s="97"/>
      <c r="NBG2" s="97"/>
      <c r="NBH2" s="97"/>
      <c r="NBI2" s="97"/>
      <c r="NBJ2" s="97"/>
      <c r="NBK2" s="97"/>
      <c r="NBL2" s="97"/>
      <c r="NBM2" s="97"/>
      <c r="NBN2" s="97"/>
      <c r="NBO2" s="97"/>
      <c r="NBP2" s="97"/>
      <c r="NBQ2" s="97"/>
      <c r="NBR2" s="97"/>
      <c r="NBS2" s="97"/>
      <c r="NBT2" s="97"/>
      <c r="NBU2" s="97"/>
      <c r="NBV2" s="97"/>
      <c r="NBW2" s="97"/>
      <c r="NBX2" s="97"/>
      <c r="NBY2" s="97"/>
      <c r="NBZ2" s="97"/>
      <c r="NCA2" s="97"/>
      <c r="NCB2" s="97"/>
      <c r="NCC2" s="97"/>
      <c r="NCD2" s="97"/>
      <c r="NCE2" s="97"/>
      <c r="NCF2" s="97"/>
      <c r="NCG2" s="97"/>
      <c r="NCH2" s="97"/>
      <c r="NCI2" s="97"/>
      <c r="NCJ2" s="97"/>
      <c r="NCK2" s="97"/>
      <c r="NCL2" s="97"/>
      <c r="NCM2" s="97"/>
      <c r="NCN2" s="97"/>
      <c r="NCO2" s="97"/>
      <c r="NCP2" s="97"/>
      <c r="NCQ2" s="97"/>
      <c r="NCR2" s="97"/>
      <c r="NCS2" s="97"/>
      <c r="NCT2" s="97"/>
      <c r="NCU2" s="97"/>
      <c r="NCV2" s="97"/>
      <c r="NCW2" s="97"/>
      <c r="NCX2" s="97"/>
      <c r="NCY2" s="97"/>
      <c r="NCZ2" s="97"/>
      <c r="NDA2" s="97"/>
      <c r="NDB2" s="97"/>
      <c r="NDC2" s="97"/>
      <c r="NDD2" s="97"/>
      <c r="NDE2" s="97"/>
      <c r="NDF2" s="97"/>
      <c r="NDG2" s="97"/>
      <c r="NDH2" s="97"/>
      <c r="NDI2" s="97"/>
      <c r="NDJ2" s="97"/>
      <c r="NDK2" s="97"/>
      <c r="NDL2" s="97"/>
      <c r="NDM2" s="97"/>
      <c r="NDN2" s="97"/>
      <c r="NDO2" s="97"/>
      <c r="NDP2" s="97"/>
      <c r="NDQ2" s="97"/>
      <c r="NDR2" s="97"/>
      <c r="NDS2" s="97"/>
      <c r="NDT2" s="97"/>
      <c r="NDU2" s="97"/>
      <c r="NDV2" s="97"/>
      <c r="NDW2" s="97"/>
      <c r="NDX2" s="97"/>
      <c r="NDY2" s="97"/>
      <c r="NDZ2" s="97"/>
      <c r="NEA2" s="97"/>
      <c r="NEB2" s="97"/>
      <c r="NEC2" s="97"/>
      <c r="NED2" s="97"/>
      <c r="NEE2" s="97"/>
      <c r="NEF2" s="97"/>
      <c r="NEG2" s="97"/>
      <c r="NEH2" s="97"/>
      <c r="NEI2" s="97"/>
      <c r="NEJ2" s="97"/>
      <c r="NEK2" s="97"/>
      <c r="NEL2" s="97"/>
      <c r="NEM2" s="97"/>
      <c r="NEN2" s="97"/>
      <c r="NEO2" s="97"/>
      <c r="NEP2" s="97"/>
      <c r="NEQ2" s="97"/>
      <c r="NER2" s="97"/>
      <c r="NES2" s="97"/>
      <c r="NET2" s="97"/>
      <c r="NEU2" s="97"/>
      <c r="NEV2" s="97"/>
      <c r="NEW2" s="97"/>
      <c r="NEX2" s="97"/>
      <c r="NEY2" s="97"/>
      <c r="NEZ2" s="97"/>
      <c r="NFA2" s="97"/>
      <c r="NFB2" s="97"/>
      <c r="NFC2" s="97"/>
      <c r="NFD2" s="97"/>
      <c r="NFE2" s="97"/>
      <c r="NFF2" s="97"/>
      <c r="NFG2" s="97"/>
      <c r="NFH2" s="97"/>
      <c r="NFI2" s="97"/>
      <c r="NFJ2" s="97"/>
      <c r="NFK2" s="97"/>
      <c r="NFL2" s="97"/>
      <c r="NFM2" s="97"/>
      <c r="NFN2" s="97"/>
      <c r="NFO2" s="97"/>
      <c r="NFP2" s="97"/>
      <c r="NFQ2" s="97"/>
      <c r="NFR2" s="97"/>
      <c r="NFS2" s="97"/>
      <c r="NFT2" s="97"/>
      <c r="NFU2" s="97"/>
      <c r="NFV2" s="97"/>
      <c r="NFW2" s="97"/>
      <c r="NFX2" s="97"/>
      <c r="NFY2" s="97"/>
      <c r="NFZ2" s="97"/>
      <c r="NGA2" s="97"/>
      <c r="NGB2" s="97"/>
      <c r="NGC2" s="97"/>
      <c r="NGD2" s="97"/>
      <c r="NGE2" s="97"/>
      <c r="NGF2" s="97"/>
      <c r="NGG2" s="97"/>
      <c r="NGH2" s="97"/>
      <c r="NGI2" s="97"/>
      <c r="NGJ2" s="97"/>
      <c r="NGK2" s="97"/>
      <c r="NGL2" s="97"/>
      <c r="NGM2" s="97"/>
      <c r="NGN2" s="97"/>
      <c r="NGO2" s="97"/>
      <c r="NGP2" s="97"/>
      <c r="NGQ2" s="97"/>
      <c r="NGR2" s="97"/>
      <c r="NGS2" s="97"/>
      <c r="NGT2" s="97"/>
      <c r="NGU2" s="97"/>
      <c r="NGV2" s="97"/>
      <c r="NGW2" s="97"/>
      <c r="NGX2" s="97"/>
      <c r="NGY2" s="97"/>
      <c r="NGZ2" s="97"/>
      <c r="NHA2" s="97"/>
      <c r="NHB2" s="97"/>
      <c r="NHC2" s="97"/>
      <c r="NHD2" s="97"/>
      <c r="NHE2" s="97"/>
      <c r="NHF2" s="97"/>
      <c r="NHG2" s="97"/>
      <c r="NHH2" s="97"/>
      <c r="NHI2" s="97"/>
      <c r="NHJ2" s="97"/>
      <c r="NHK2" s="97"/>
      <c r="NHL2" s="97"/>
      <c r="NHM2" s="97"/>
      <c r="NHN2" s="97"/>
      <c r="NHO2" s="97"/>
      <c r="NHP2" s="97"/>
      <c r="NHQ2" s="97"/>
      <c r="NHR2" s="97"/>
      <c r="NHS2" s="97"/>
      <c r="NHT2" s="97"/>
      <c r="NHU2" s="97"/>
      <c r="NHV2" s="97"/>
      <c r="NHW2" s="97"/>
      <c r="NHX2" s="97"/>
      <c r="NHY2" s="97"/>
      <c r="NHZ2" s="97"/>
      <c r="NIA2" s="97"/>
      <c r="NIB2" s="97"/>
      <c r="NIC2" s="97"/>
      <c r="NID2" s="97"/>
      <c r="NIE2" s="97"/>
      <c r="NIF2" s="97"/>
      <c r="NIG2" s="97"/>
      <c r="NIH2" s="97"/>
      <c r="NII2" s="97"/>
      <c r="NIJ2" s="97"/>
      <c r="NIK2" s="97"/>
      <c r="NIL2" s="97"/>
      <c r="NIM2" s="97"/>
      <c r="NIN2" s="97"/>
      <c r="NIO2" s="97"/>
      <c r="NIP2" s="97"/>
      <c r="NIQ2" s="97"/>
      <c r="NIR2" s="97"/>
      <c r="NIS2" s="97"/>
      <c r="NIT2" s="97"/>
      <c r="NIU2" s="97"/>
      <c r="NIV2" s="97"/>
      <c r="NIW2" s="97"/>
      <c r="NIX2" s="97"/>
      <c r="NIY2" s="97"/>
      <c r="NIZ2" s="97"/>
      <c r="NJA2" s="97"/>
      <c r="NJB2" s="97"/>
      <c r="NJC2" s="97"/>
      <c r="NJD2" s="97"/>
      <c r="NJE2" s="97"/>
      <c r="NJF2" s="97"/>
      <c r="NJG2" s="97"/>
      <c r="NJH2" s="97"/>
      <c r="NJI2" s="97"/>
      <c r="NJJ2" s="97"/>
      <c r="NJK2" s="97"/>
      <c r="NJL2" s="97"/>
      <c r="NJM2" s="97"/>
      <c r="NJN2" s="97"/>
      <c r="NJO2" s="97"/>
      <c r="NJP2" s="97"/>
      <c r="NJQ2" s="97"/>
      <c r="NJR2" s="97"/>
      <c r="NJS2" s="97"/>
      <c r="NJT2" s="97"/>
      <c r="NJU2" s="97"/>
      <c r="NJV2" s="97"/>
      <c r="NJW2" s="97"/>
      <c r="NJX2" s="97"/>
      <c r="NJY2" s="97"/>
      <c r="NJZ2" s="97"/>
      <c r="NKA2" s="97"/>
      <c r="NKB2" s="97"/>
      <c r="NKC2" s="97"/>
      <c r="NKD2" s="97"/>
      <c r="NKE2" s="97"/>
      <c r="NKF2" s="97"/>
      <c r="NKG2" s="97"/>
      <c r="NKH2" s="97"/>
      <c r="NKI2" s="97"/>
      <c r="NKJ2" s="97"/>
      <c r="NKK2" s="97"/>
      <c r="NKL2" s="97"/>
      <c r="NKM2" s="97"/>
      <c r="NKN2" s="97"/>
      <c r="NKO2" s="97"/>
      <c r="NKP2" s="97"/>
      <c r="NKQ2" s="97"/>
      <c r="NKR2" s="97"/>
      <c r="NKS2" s="97"/>
      <c r="NKT2" s="97"/>
      <c r="NKU2" s="97"/>
      <c r="NKV2" s="97"/>
      <c r="NKW2" s="97"/>
      <c r="NKX2" s="97"/>
      <c r="NKY2" s="97"/>
      <c r="NKZ2" s="97"/>
      <c r="NLA2" s="97"/>
      <c r="NLB2" s="97"/>
      <c r="NLC2" s="97"/>
      <c r="NLD2" s="97"/>
      <c r="NLE2" s="97"/>
      <c r="NLF2" s="97"/>
      <c r="NLG2" s="97"/>
      <c r="NLH2" s="97"/>
      <c r="NLI2" s="97"/>
      <c r="NLJ2" s="97"/>
      <c r="NLK2" s="97"/>
      <c r="NLL2" s="97"/>
      <c r="NLM2" s="97"/>
      <c r="NLN2" s="97"/>
      <c r="NLO2" s="97"/>
      <c r="NLP2" s="97"/>
      <c r="NLQ2" s="97"/>
      <c r="NLR2" s="97"/>
      <c r="NLS2" s="97"/>
      <c r="NLT2" s="97"/>
      <c r="NLU2" s="97"/>
      <c r="NLV2" s="97"/>
      <c r="NLW2" s="97"/>
      <c r="NLX2" s="97"/>
      <c r="NLY2" s="97"/>
      <c r="NLZ2" s="97"/>
      <c r="NMA2" s="97"/>
      <c r="NMB2" s="97"/>
      <c r="NMC2" s="97"/>
      <c r="NMD2" s="97"/>
      <c r="NME2" s="97"/>
      <c r="NMF2" s="97"/>
      <c r="NMG2" s="97"/>
      <c r="NMH2" s="97"/>
      <c r="NMI2" s="97"/>
      <c r="NMJ2" s="97"/>
      <c r="NMK2" s="97"/>
      <c r="NML2" s="97"/>
      <c r="NMM2" s="97"/>
      <c r="NMN2" s="97"/>
      <c r="NMO2" s="97"/>
      <c r="NMP2" s="97"/>
      <c r="NMQ2" s="97"/>
      <c r="NMR2" s="97"/>
      <c r="NMS2" s="97"/>
      <c r="NMT2" s="97"/>
      <c r="NMU2" s="97"/>
      <c r="NMV2" s="97"/>
      <c r="NMW2" s="97"/>
      <c r="NMX2" s="97"/>
      <c r="NMY2" s="97"/>
      <c r="NMZ2" s="97"/>
      <c r="NNA2" s="97"/>
      <c r="NNB2" s="97"/>
      <c r="NNC2" s="97"/>
      <c r="NND2" s="97"/>
      <c r="NNE2" s="97"/>
      <c r="NNF2" s="97"/>
      <c r="NNG2" s="97"/>
      <c r="NNH2" s="97"/>
      <c r="NNI2" s="97"/>
      <c r="NNJ2" s="97"/>
      <c r="NNK2" s="97"/>
      <c r="NNL2" s="97"/>
      <c r="NNM2" s="97"/>
      <c r="NNN2" s="97"/>
      <c r="NNO2" s="97"/>
      <c r="NNP2" s="97"/>
      <c r="NNQ2" s="97"/>
      <c r="NNR2" s="97"/>
      <c r="NNS2" s="97"/>
      <c r="NNT2" s="97"/>
      <c r="NNU2" s="97"/>
      <c r="NNV2" s="97"/>
      <c r="NNW2" s="97"/>
      <c r="NNX2" s="97"/>
      <c r="NNY2" s="97"/>
      <c r="NNZ2" s="97"/>
      <c r="NOA2" s="97"/>
      <c r="NOB2" s="97"/>
      <c r="NOC2" s="97"/>
      <c r="NOD2" s="97"/>
      <c r="NOE2" s="97"/>
      <c r="NOF2" s="97"/>
      <c r="NOG2" s="97"/>
      <c r="NOH2" s="97"/>
      <c r="NOI2" s="97"/>
      <c r="NOJ2" s="97"/>
      <c r="NOK2" s="97"/>
      <c r="NOL2" s="97"/>
      <c r="NOM2" s="97"/>
      <c r="NON2" s="97"/>
      <c r="NOO2" s="97"/>
      <c r="NOP2" s="97"/>
      <c r="NOQ2" s="97"/>
      <c r="NOR2" s="97"/>
      <c r="NOS2" s="97"/>
      <c r="NOT2" s="97"/>
      <c r="NOU2" s="97"/>
      <c r="NOV2" s="97"/>
      <c r="NOW2" s="97"/>
      <c r="NOX2" s="97"/>
      <c r="NOY2" s="97"/>
      <c r="NOZ2" s="97"/>
      <c r="NPA2" s="97"/>
      <c r="NPB2" s="97"/>
      <c r="NPC2" s="97"/>
      <c r="NPD2" s="97"/>
      <c r="NPE2" s="97"/>
      <c r="NPF2" s="97"/>
      <c r="NPG2" s="97"/>
      <c r="NPH2" s="97"/>
      <c r="NPI2" s="97"/>
      <c r="NPJ2" s="97"/>
      <c r="NPK2" s="97"/>
      <c r="NPL2" s="97"/>
      <c r="NPM2" s="97"/>
      <c r="NPN2" s="97"/>
      <c r="NPO2" s="97"/>
      <c r="NPP2" s="97"/>
      <c r="NPQ2" s="97"/>
      <c r="NPR2" s="97"/>
      <c r="NPS2" s="97"/>
      <c r="NPT2" s="97"/>
      <c r="NPU2" s="97"/>
      <c r="NPV2" s="97"/>
      <c r="NPW2" s="97"/>
      <c r="NPX2" s="97"/>
      <c r="NPY2" s="97"/>
      <c r="NPZ2" s="97"/>
      <c r="NQA2" s="97"/>
      <c r="NQB2" s="97"/>
      <c r="NQC2" s="97"/>
      <c r="NQD2" s="97"/>
      <c r="NQE2" s="97"/>
      <c r="NQF2" s="97"/>
      <c r="NQG2" s="97"/>
      <c r="NQH2" s="97"/>
      <c r="NQI2" s="97"/>
      <c r="NQJ2" s="97"/>
      <c r="NQK2" s="97"/>
      <c r="NQL2" s="97"/>
      <c r="NQM2" s="97"/>
      <c r="NQN2" s="97"/>
      <c r="NQO2" s="97"/>
      <c r="NQP2" s="97"/>
      <c r="NQQ2" s="97"/>
      <c r="NQR2" s="97"/>
      <c r="NQS2" s="97"/>
      <c r="NQT2" s="97"/>
      <c r="NQU2" s="97"/>
      <c r="NQV2" s="97"/>
      <c r="NQW2" s="97"/>
      <c r="NQX2" s="97"/>
      <c r="NQY2" s="97"/>
      <c r="NQZ2" s="97"/>
      <c r="NRA2" s="97"/>
      <c r="NRB2" s="97"/>
      <c r="NRC2" s="97"/>
      <c r="NRD2" s="97"/>
      <c r="NRE2" s="97"/>
      <c r="NRF2" s="97"/>
      <c r="NRG2" s="97"/>
      <c r="NRH2" s="97"/>
      <c r="NRI2" s="97"/>
      <c r="NRJ2" s="97"/>
      <c r="NRK2" s="97"/>
      <c r="NRL2" s="97"/>
      <c r="NRM2" s="97"/>
      <c r="NRN2" s="97"/>
      <c r="NRO2" s="97"/>
      <c r="NRP2" s="97"/>
      <c r="NRQ2" s="97"/>
      <c r="NRR2" s="97"/>
      <c r="NRS2" s="97"/>
      <c r="NRT2" s="97"/>
      <c r="NRU2" s="97"/>
      <c r="NRV2" s="97"/>
      <c r="NRW2" s="97"/>
      <c r="NRX2" s="97"/>
      <c r="NRY2" s="97"/>
      <c r="NRZ2" s="97"/>
      <c r="NSA2" s="97"/>
      <c r="NSB2" s="97"/>
      <c r="NSC2" s="97"/>
      <c r="NSD2" s="97"/>
      <c r="NSE2" s="97"/>
      <c r="NSF2" s="97"/>
      <c r="NSG2" s="97"/>
      <c r="NSH2" s="97"/>
      <c r="NSI2" s="97"/>
      <c r="NSJ2" s="97"/>
      <c r="NSK2" s="97"/>
      <c r="NSL2" s="97"/>
      <c r="NSM2" s="97"/>
      <c r="NSN2" s="97"/>
      <c r="NSO2" s="97"/>
      <c r="NSP2" s="97"/>
      <c r="NSQ2" s="97"/>
      <c r="NSR2" s="97"/>
      <c r="NSS2" s="97"/>
      <c r="NST2" s="97"/>
      <c r="NSU2" s="97"/>
      <c r="NSV2" s="97"/>
      <c r="NSW2" s="97"/>
      <c r="NSX2" s="97"/>
      <c r="NSY2" s="97"/>
      <c r="NSZ2" s="97"/>
      <c r="NTA2" s="97"/>
      <c r="NTB2" s="97"/>
      <c r="NTC2" s="97"/>
      <c r="NTD2" s="97"/>
      <c r="NTE2" s="97"/>
      <c r="NTF2" s="97"/>
      <c r="NTG2" s="97"/>
      <c r="NTH2" s="97"/>
      <c r="NTI2" s="97"/>
      <c r="NTJ2" s="97"/>
      <c r="NTK2" s="97"/>
      <c r="NTL2" s="97"/>
      <c r="NTM2" s="97"/>
      <c r="NTN2" s="97"/>
      <c r="NTO2" s="97"/>
      <c r="NTP2" s="97"/>
      <c r="NTQ2" s="97"/>
      <c r="NTR2" s="97"/>
      <c r="NTS2" s="97"/>
      <c r="NTT2" s="97"/>
      <c r="NTU2" s="97"/>
      <c r="NTV2" s="97"/>
      <c r="NTW2" s="97"/>
      <c r="NTX2" s="97"/>
      <c r="NTY2" s="97"/>
      <c r="NTZ2" s="97"/>
      <c r="NUA2" s="97"/>
      <c r="NUB2" s="97"/>
      <c r="NUC2" s="97"/>
      <c r="NUD2" s="97"/>
      <c r="NUE2" s="97"/>
      <c r="NUF2" s="97"/>
      <c r="NUG2" s="97"/>
      <c r="NUH2" s="97"/>
      <c r="NUI2" s="97"/>
      <c r="NUJ2" s="97"/>
      <c r="NUK2" s="97"/>
      <c r="NUL2" s="97"/>
      <c r="NUM2" s="97"/>
      <c r="NUN2" s="97"/>
      <c r="NUO2" s="97"/>
      <c r="NUP2" s="97"/>
      <c r="NUQ2" s="97"/>
      <c r="NUR2" s="97"/>
      <c r="NUS2" s="97"/>
      <c r="NUT2" s="97"/>
      <c r="NUU2" s="97"/>
      <c r="NUV2" s="97"/>
      <c r="NUW2" s="97"/>
      <c r="NUX2" s="97"/>
      <c r="NUY2" s="97"/>
      <c r="NUZ2" s="97"/>
      <c r="NVA2" s="97"/>
      <c r="NVB2" s="97"/>
      <c r="NVC2" s="97"/>
      <c r="NVD2" s="97"/>
      <c r="NVE2" s="97"/>
      <c r="NVF2" s="97"/>
      <c r="NVG2" s="97"/>
      <c r="NVH2" s="97"/>
      <c r="NVI2" s="97"/>
      <c r="NVJ2" s="97"/>
      <c r="NVK2" s="97"/>
      <c r="NVL2" s="97"/>
      <c r="NVM2" s="97"/>
      <c r="NVN2" s="97"/>
      <c r="NVO2" s="97"/>
      <c r="NVP2" s="97"/>
      <c r="NVQ2" s="97"/>
      <c r="NVR2" s="97"/>
      <c r="NVS2" s="97"/>
      <c r="NVT2" s="97"/>
      <c r="NVU2" s="97"/>
      <c r="NVV2" s="97"/>
      <c r="NVW2" s="97"/>
      <c r="NVX2" s="97"/>
      <c r="NVY2" s="97"/>
      <c r="NVZ2" s="97"/>
      <c r="NWA2" s="97"/>
      <c r="NWB2" s="97"/>
      <c r="NWC2" s="97"/>
      <c r="NWD2" s="97"/>
      <c r="NWE2" s="97"/>
      <c r="NWF2" s="97"/>
      <c r="NWG2" s="97"/>
      <c r="NWH2" s="97"/>
      <c r="NWI2" s="97"/>
      <c r="NWJ2" s="97"/>
      <c r="NWK2" s="97"/>
      <c r="NWL2" s="97"/>
      <c r="NWM2" s="97"/>
      <c r="NWN2" s="97"/>
      <c r="NWO2" s="97"/>
      <c r="NWP2" s="97"/>
      <c r="NWQ2" s="97"/>
      <c r="NWR2" s="97"/>
      <c r="NWS2" s="97"/>
      <c r="NWT2" s="97"/>
      <c r="NWU2" s="97"/>
      <c r="NWV2" s="97"/>
      <c r="NWW2" s="97"/>
      <c r="NWX2" s="97"/>
      <c r="NWY2" s="97"/>
      <c r="NWZ2" s="97"/>
      <c r="NXA2" s="97"/>
      <c r="NXB2" s="97"/>
      <c r="NXC2" s="97"/>
      <c r="NXD2" s="97"/>
      <c r="NXE2" s="97"/>
      <c r="NXF2" s="97"/>
      <c r="NXG2" s="97"/>
      <c r="NXH2" s="97"/>
      <c r="NXI2" s="97"/>
      <c r="NXJ2" s="97"/>
      <c r="NXK2" s="97"/>
      <c r="NXL2" s="97"/>
      <c r="NXM2" s="97"/>
      <c r="NXN2" s="97"/>
      <c r="NXO2" s="97"/>
      <c r="NXP2" s="97"/>
      <c r="NXQ2" s="97"/>
      <c r="NXR2" s="97"/>
      <c r="NXS2" s="97"/>
      <c r="NXT2" s="97"/>
      <c r="NXU2" s="97"/>
      <c r="NXV2" s="97"/>
      <c r="NXW2" s="97"/>
      <c r="NXX2" s="97"/>
      <c r="NXY2" s="97"/>
      <c r="NXZ2" s="97"/>
      <c r="NYA2" s="97"/>
      <c r="NYB2" s="97"/>
      <c r="NYC2" s="97"/>
      <c r="NYD2" s="97"/>
      <c r="NYE2" s="97"/>
      <c r="NYF2" s="97"/>
      <c r="NYG2" s="97"/>
      <c r="NYH2" s="97"/>
      <c r="NYI2" s="97"/>
      <c r="NYJ2" s="97"/>
      <c r="NYK2" s="97"/>
      <c r="NYL2" s="97"/>
      <c r="NYM2" s="97"/>
      <c r="NYN2" s="97"/>
      <c r="NYO2" s="97"/>
      <c r="NYP2" s="97"/>
      <c r="NYQ2" s="97"/>
      <c r="NYR2" s="97"/>
      <c r="NYS2" s="97"/>
      <c r="NYT2" s="97"/>
      <c r="NYU2" s="97"/>
      <c r="NYV2" s="97"/>
      <c r="NYW2" s="97"/>
      <c r="NYX2" s="97"/>
      <c r="NYY2" s="97"/>
      <c r="NYZ2" s="97"/>
      <c r="NZA2" s="97"/>
      <c r="NZB2" s="97"/>
      <c r="NZC2" s="97"/>
      <c r="NZD2" s="97"/>
      <c r="NZE2" s="97"/>
      <c r="NZF2" s="97"/>
      <c r="NZG2" s="97"/>
      <c r="NZH2" s="97"/>
      <c r="NZI2" s="97"/>
      <c r="NZJ2" s="97"/>
      <c r="NZK2" s="97"/>
      <c r="NZL2" s="97"/>
      <c r="NZM2" s="97"/>
      <c r="NZN2" s="97"/>
      <c r="NZO2" s="97"/>
      <c r="NZP2" s="97"/>
      <c r="NZQ2" s="97"/>
      <c r="NZR2" s="97"/>
      <c r="NZS2" s="97"/>
      <c r="NZT2" s="97"/>
      <c r="NZU2" s="97"/>
      <c r="NZV2" s="97"/>
      <c r="NZW2" s="97"/>
      <c r="NZX2" s="97"/>
      <c r="NZY2" s="97"/>
      <c r="NZZ2" s="97"/>
      <c r="OAA2" s="97"/>
      <c r="OAB2" s="97"/>
      <c r="OAC2" s="97"/>
      <c r="OAD2" s="97"/>
      <c r="OAE2" s="97"/>
      <c r="OAF2" s="97"/>
      <c r="OAG2" s="97"/>
      <c r="OAH2" s="97"/>
      <c r="OAI2" s="97"/>
      <c r="OAJ2" s="97"/>
      <c r="OAK2" s="97"/>
      <c r="OAL2" s="97"/>
      <c r="OAM2" s="97"/>
      <c r="OAN2" s="97"/>
      <c r="OAO2" s="97"/>
      <c r="OAP2" s="97"/>
      <c r="OAQ2" s="97"/>
      <c r="OAR2" s="97"/>
      <c r="OAS2" s="97"/>
      <c r="OAT2" s="97"/>
      <c r="OAU2" s="97"/>
      <c r="OAV2" s="97"/>
      <c r="OAW2" s="97"/>
      <c r="OAX2" s="97"/>
      <c r="OAY2" s="97"/>
      <c r="OAZ2" s="97"/>
      <c r="OBA2" s="97"/>
      <c r="OBB2" s="97"/>
      <c r="OBC2" s="97"/>
      <c r="OBD2" s="97"/>
      <c r="OBE2" s="97"/>
      <c r="OBF2" s="97"/>
      <c r="OBG2" s="97"/>
      <c r="OBH2" s="97"/>
      <c r="OBI2" s="97"/>
      <c r="OBJ2" s="97"/>
      <c r="OBK2" s="97"/>
      <c r="OBL2" s="97"/>
      <c r="OBM2" s="97"/>
      <c r="OBN2" s="97"/>
      <c r="OBO2" s="97"/>
      <c r="OBP2" s="97"/>
      <c r="OBQ2" s="97"/>
      <c r="OBR2" s="97"/>
      <c r="OBS2" s="97"/>
      <c r="OBT2" s="97"/>
      <c r="OBU2" s="97"/>
      <c r="OBV2" s="97"/>
      <c r="OBW2" s="97"/>
      <c r="OBX2" s="97"/>
      <c r="OBY2" s="97"/>
      <c r="OBZ2" s="97"/>
      <c r="OCA2" s="97"/>
      <c r="OCB2" s="97"/>
      <c r="OCC2" s="97"/>
      <c r="OCD2" s="97"/>
      <c r="OCE2" s="97"/>
      <c r="OCF2" s="97"/>
      <c r="OCG2" s="97"/>
      <c r="OCH2" s="97"/>
      <c r="OCI2" s="97"/>
      <c r="OCJ2" s="97"/>
      <c r="OCK2" s="97"/>
      <c r="OCL2" s="97"/>
      <c r="OCM2" s="97"/>
      <c r="OCN2" s="97"/>
      <c r="OCO2" s="97"/>
      <c r="OCP2" s="97"/>
      <c r="OCQ2" s="97"/>
      <c r="OCR2" s="97"/>
      <c r="OCS2" s="97"/>
      <c r="OCT2" s="97"/>
      <c r="OCU2" s="97"/>
      <c r="OCV2" s="97"/>
      <c r="OCW2" s="97"/>
      <c r="OCX2" s="97"/>
      <c r="OCY2" s="97"/>
      <c r="OCZ2" s="97"/>
      <c r="ODA2" s="97"/>
      <c r="ODB2" s="97"/>
      <c r="ODC2" s="97"/>
      <c r="ODD2" s="97"/>
      <c r="ODE2" s="97"/>
      <c r="ODF2" s="97"/>
      <c r="ODG2" s="97"/>
      <c r="ODH2" s="97"/>
      <c r="ODI2" s="97"/>
      <c r="ODJ2" s="97"/>
      <c r="ODK2" s="97"/>
      <c r="ODL2" s="97"/>
      <c r="ODM2" s="97"/>
      <c r="ODN2" s="97"/>
      <c r="ODO2" s="97"/>
      <c r="ODP2" s="97"/>
      <c r="ODQ2" s="97"/>
      <c r="ODR2" s="97"/>
      <c r="ODS2" s="97"/>
      <c r="ODT2" s="97"/>
      <c r="ODU2" s="97"/>
      <c r="ODV2" s="97"/>
      <c r="ODW2" s="97"/>
      <c r="ODX2" s="97"/>
      <c r="ODY2" s="97"/>
      <c r="ODZ2" s="97"/>
      <c r="OEA2" s="97"/>
      <c r="OEB2" s="97"/>
      <c r="OEC2" s="97"/>
      <c r="OED2" s="97"/>
      <c r="OEE2" s="97"/>
      <c r="OEF2" s="97"/>
      <c r="OEG2" s="97"/>
      <c r="OEH2" s="97"/>
      <c r="OEI2" s="97"/>
      <c r="OEJ2" s="97"/>
      <c r="OEK2" s="97"/>
      <c r="OEL2" s="97"/>
      <c r="OEM2" s="97"/>
      <c r="OEN2" s="97"/>
      <c r="OEO2" s="97"/>
      <c r="OEP2" s="97"/>
      <c r="OEQ2" s="97"/>
      <c r="OER2" s="97"/>
      <c r="OES2" s="97"/>
      <c r="OET2" s="97"/>
      <c r="OEU2" s="97"/>
      <c r="OEV2" s="97"/>
      <c r="OEW2" s="97"/>
      <c r="OEX2" s="97"/>
      <c r="OEY2" s="97"/>
      <c r="OEZ2" s="97"/>
      <c r="OFA2" s="97"/>
      <c r="OFB2" s="97"/>
      <c r="OFC2" s="97"/>
      <c r="OFD2" s="97"/>
      <c r="OFE2" s="97"/>
      <c r="OFF2" s="97"/>
      <c r="OFG2" s="97"/>
      <c r="OFH2" s="97"/>
      <c r="OFI2" s="97"/>
      <c r="OFJ2" s="97"/>
      <c r="OFK2" s="97"/>
      <c r="OFL2" s="97"/>
      <c r="OFM2" s="97"/>
      <c r="OFN2" s="97"/>
      <c r="OFO2" s="97"/>
      <c r="OFP2" s="97"/>
      <c r="OFQ2" s="97"/>
      <c r="OFR2" s="97"/>
      <c r="OFS2" s="97"/>
      <c r="OFT2" s="97"/>
      <c r="OFU2" s="97"/>
      <c r="OFV2" s="97"/>
      <c r="OFW2" s="97"/>
      <c r="OFX2" s="97"/>
      <c r="OFY2" s="97"/>
      <c r="OFZ2" s="97"/>
      <c r="OGA2" s="97"/>
      <c r="OGB2" s="97"/>
      <c r="OGC2" s="97"/>
      <c r="OGD2" s="97"/>
      <c r="OGE2" s="97"/>
      <c r="OGF2" s="97"/>
      <c r="OGG2" s="97"/>
      <c r="OGH2" s="97"/>
      <c r="OGI2" s="97"/>
      <c r="OGJ2" s="97"/>
      <c r="OGK2" s="97"/>
      <c r="OGL2" s="97"/>
      <c r="OGM2" s="97"/>
      <c r="OGN2" s="97"/>
      <c r="OGO2" s="97"/>
      <c r="OGP2" s="97"/>
      <c r="OGQ2" s="97"/>
      <c r="OGR2" s="97"/>
      <c r="OGS2" s="97"/>
      <c r="OGT2" s="97"/>
      <c r="OGU2" s="97"/>
      <c r="OGV2" s="97"/>
      <c r="OGW2" s="97"/>
      <c r="OGX2" s="97"/>
      <c r="OGY2" s="97"/>
      <c r="OGZ2" s="97"/>
      <c r="OHA2" s="97"/>
      <c r="OHB2" s="97"/>
      <c r="OHC2" s="97"/>
      <c r="OHD2" s="97"/>
      <c r="OHE2" s="97"/>
      <c r="OHF2" s="97"/>
      <c r="OHG2" s="97"/>
      <c r="OHH2" s="97"/>
      <c r="OHI2" s="97"/>
      <c r="OHJ2" s="97"/>
      <c r="OHK2" s="97"/>
      <c r="OHL2" s="97"/>
      <c r="OHM2" s="97"/>
      <c r="OHN2" s="97"/>
      <c r="OHO2" s="97"/>
      <c r="OHP2" s="97"/>
      <c r="OHQ2" s="97"/>
      <c r="OHR2" s="97"/>
      <c r="OHS2" s="97"/>
      <c r="OHT2" s="97"/>
      <c r="OHU2" s="97"/>
      <c r="OHV2" s="97"/>
      <c r="OHW2" s="97"/>
      <c r="OHX2" s="97"/>
      <c r="OHY2" s="97"/>
      <c r="OHZ2" s="97"/>
      <c r="OIA2" s="97"/>
      <c r="OIB2" s="97"/>
      <c r="OIC2" s="97"/>
      <c r="OID2" s="97"/>
      <c r="OIE2" s="97"/>
      <c r="OIF2" s="97"/>
      <c r="OIG2" s="97"/>
      <c r="OIH2" s="97"/>
      <c r="OII2" s="97"/>
      <c r="OIJ2" s="97"/>
      <c r="OIK2" s="97"/>
      <c r="OIL2" s="97"/>
      <c r="OIM2" s="97"/>
      <c r="OIN2" s="97"/>
      <c r="OIO2" s="97"/>
      <c r="OIP2" s="97"/>
      <c r="OIQ2" s="97"/>
      <c r="OIR2" s="97"/>
      <c r="OIS2" s="97"/>
      <c r="OIT2" s="97"/>
      <c r="OIU2" s="97"/>
      <c r="OIV2" s="97"/>
      <c r="OIW2" s="97"/>
      <c r="OIX2" s="97"/>
      <c r="OIY2" s="97"/>
      <c r="OIZ2" s="97"/>
      <c r="OJA2" s="97"/>
      <c r="OJB2" s="97"/>
      <c r="OJC2" s="97"/>
      <c r="OJD2" s="97"/>
      <c r="OJE2" s="97"/>
      <c r="OJF2" s="97"/>
      <c r="OJG2" s="97"/>
      <c r="OJH2" s="97"/>
      <c r="OJI2" s="97"/>
      <c r="OJJ2" s="97"/>
      <c r="OJK2" s="97"/>
      <c r="OJL2" s="97"/>
      <c r="OJM2" s="97"/>
      <c r="OJN2" s="97"/>
      <c r="OJO2" s="97"/>
      <c r="OJP2" s="97"/>
      <c r="OJQ2" s="97"/>
      <c r="OJR2" s="97"/>
      <c r="OJS2" s="97"/>
      <c r="OJT2" s="97"/>
      <c r="OJU2" s="97"/>
      <c r="OJV2" s="97"/>
      <c r="OJW2" s="97"/>
      <c r="OJX2" s="97"/>
      <c r="OJY2" s="97"/>
      <c r="OJZ2" s="97"/>
      <c r="OKA2" s="97"/>
      <c r="OKB2" s="97"/>
      <c r="OKC2" s="97"/>
      <c r="OKD2" s="97"/>
      <c r="OKE2" s="97"/>
      <c r="OKF2" s="97"/>
      <c r="OKG2" s="97"/>
      <c r="OKH2" s="97"/>
      <c r="OKI2" s="97"/>
      <c r="OKJ2" s="97"/>
      <c r="OKK2" s="97"/>
      <c r="OKL2" s="97"/>
      <c r="OKM2" s="97"/>
      <c r="OKN2" s="97"/>
      <c r="OKO2" s="97"/>
      <c r="OKP2" s="97"/>
      <c r="OKQ2" s="97"/>
      <c r="OKR2" s="97"/>
      <c r="OKS2" s="97"/>
      <c r="OKT2" s="97"/>
      <c r="OKU2" s="97"/>
      <c r="OKV2" s="97"/>
      <c r="OKW2" s="97"/>
      <c r="OKX2" s="97"/>
      <c r="OKY2" s="97"/>
      <c r="OKZ2" s="97"/>
      <c r="OLA2" s="97"/>
      <c r="OLB2" s="97"/>
      <c r="OLC2" s="97"/>
      <c r="OLD2" s="97"/>
      <c r="OLE2" s="97"/>
      <c r="OLF2" s="97"/>
      <c r="OLG2" s="97"/>
      <c r="OLH2" s="97"/>
      <c r="OLI2" s="97"/>
      <c r="OLJ2" s="97"/>
      <c r="OLK2" s="97"/>
      <c r="OLL2" s="97"/>
      <c r="OLM2" s="97"/>
      <c r="OLN2" s="97"/>
      <c r="OLO2" s="97"/>
      <c r="OLP2" s="97"/>
      <c r="OLQ2" s="97"/>
      <c r="OLR2" s="97"/>
      <c r="OLS2" s="97"/>
      <c r="OLT2" s="97"/>
      <c r="OLU2" s="97"/>
      <c r="OLV2" s="97"/>
      <c r="OLW2" s="97"/>
      <c r="OLX2" s="97"/>
      <c r="OLY2" s="97"/>
      <c r="OLZ2" s="97"/>
      <c r="OMA2" s="97"/>
      <c r="OMB2" s="97"/>
      <c r="OMC2" s="97"/>
      <c r="OMD2" s="97"/>
      <c r="OME2" s="97"/>
      <c r="OMF2" s="97"/>
      <c r="OMG2" s="97"/>
      <c r="OMH2" s="97"/>
      <c r="OMI2" s="97"/>
      <c r="OMJ2" s="97"/>
      <c r="OMK2" s="97"/>
      <c r="OML2" s="97"/>
      <c r="OMM2" s="97"/>
      <c r="OMN2" s="97"/>
      <c r="OMO2" s="97"/>
      <c r="OMP2" s="97"/>
      <c r="OMQ2" s="97"/>
      <c r="OMR2" s="97"/>
      <c r="OMS2" s="97"/>
      <c r="OMT2" s="97"/>
      <c r="OMU2" s="97"/>
      <c r="OMV2" s="97"/>
      <c r="OMW2" s="97"/>
      <c r="OMX2" s="97"/>
      <c r="OMY2" s="97"/>
      <c r="OMZ2" s="97"/>
      <c r="ONA2" s="97"/>
      <c r="ONB2" s="97"/>
      <c r="ONC2" s="97"/>
      <c r="OND2" s="97"/>
      <c r="ONE2" s="97"/>
      <c r="ONF2" s="97"/>
      <c r="ONG2" s="97"/>
      <c r="ONH2" s="97"/>
      <c r="ONI2" s="97"/>
      <c r="ONJ2" s="97"/>
      <c r="ONK2" s="97"/>
      <c r="ONL2" s="97"/>
      <c r="ONM2" s="97"/>
      <c r="ONN2" s="97"/>
      <c r="ONO2" s="97"/>
      <c r="ONP2" s="97"/>
      <c r="ONQ2" s="97"/>
      <c r="ONR2" s="97"/>
      <c r="ONS2" s="97"/>
      <c r="ONT2" s="97"/>
      <c r="ONU2" s="97"/>
      <c r="ONV2" s="97"/>
      <c r="ONW2" s="97"/>
      <c r="ONX2" s="97"/>
      <c r="ONY2" s="97"/>
      <c r="ONZ2" s="97"/>
      <c r="OOA2" s="97"/>
      <c r="OOB2" s="97"/>
      <c r="OOC2" s="97"/>
      <c r="OOD2" s="97"/>
      <c r="OOE2" s="97"/>
      <c r="OOF2" s="97"/>
      <c r="OOG2" s="97"/>
      <c r="OOH2" s="97"/>
      <c r="OOI2" s="97"/>
      <c r="OOJ2" s="97"/>
      <c r="OOK2" s="97"/>
      <c r="OOL2" s="97"/>
      <c r="OOM2" s="97"/>
      <c r="OON2" s="97"/>
      <c r="OOO2" s="97"/>
      <c r="OOP2" s="97"/>
      <c r="OOQ2" s="97"/>
      <c r="OOR2" s="97"/>
      <c r="OOS2" s="97"/>
      <c r="OOT2" s="97"/>
      <c r="OOU2" s="97"/>
      <c r="OOV2" s="97"/>
      <c r="OOW2" s="97"/>
      <c r="OOX2" s="97"/>
      <c r="OOY2" s="97"/>
      <c r="OOZ2" s="97"/>
      <c r="OPA2" s="97"/>
      <c r="OPB2" s="97"/>
      <c r="OPC2" s="97"/>
      <c r="OPD2" s="97"/>
      <c r="OPE2" s="97"/>
      <c r="OPF2" s="97"/>
      <c r="OPG2" s="97"/>
      <c r="OPH2" s="97"/>
      <c r="OPI2" s="97"/>
      <c r="OPJ2" s="97"/>
      <c r="OPK2" s="97"/>
      <c r="OPL2" s="97"/>
      <c r="OPM2" s="97"/>
      <c r="OPN2" s="97"/>
      <c r="OPO2" s="97"/>
      <c r="OPP2" s="97"/>
      <c r="OPQ2" s="97"/>
      <c r="OPR2" s="97"/>
      <c r="OPS2" s="97"/>
      <c r="OPT2" s="97"/>
      <c r="OPU2" s="97"/>
      <c r="OPV2" s="97"/>
      <c r="OPW2" s="97"/>
      <c r="OPX2" s="97"/>
      <c r="OPY2" s="97"/>
      <c r="OPZ2" s="97"/>
      <c r="OQA2" s="97"/>
      <c r="OQB2" s="97"/>
      <c r="OQC2" s="97"/>
      <c r="OQD2" s="97"/>
      <c r="OQE2" s="97"/>
      <c r="OQF2" s="97"/>
      <c r="OQG2" s="97"/>
      <c r="OQH2" s="97"/>
      <c r="OQI2" s="97"/>
      <c r="OQJ2" s="97"/>
      <c r="OQK2" s="97"/>
      <c r="OQL2" s="97"/>
      <c r="OQM2" s="97"/>
      <c r="OQN2" s="97"/>
      <c r="OQO2" s="97"/>
      <c r="OQP2" s="97"/>
      <c r="OQQ2" s="97"/>
      <c r="OQR2" s="97"/>
      <c r="OQS2" s="97"/>
      <c r="OQT2" s="97"/>
      <c r="OQU2" s="97"/>
      <c r="OQV2" s="97"/>
      <c r="OQW2" s="97"/>
      <c r="OQX2" s="97"/>
      <c r="OQY2" s="97"/>
      <c r="OQZ2" s="97"/>
      <c r="ORA2" s="97"/>
      <c r="ORB2" s="97"/>
      <c r="ORC2" s="97"/>
      <c r="ORD2" s="97"/>
      <c r="ORE2" s="97"/>
      <c r="ORF2" s="97"/>
      <c r="ORG2" s="97"/>
      <c r="ORH2" s="97"/>
      <c r="ORI2" s="97"/>
      <c r="ORJ2" s="97"/>
      <c r="ORK2" s="97"/>
      <c r="ORL2" s="97"/>
      <c r="ORM2" s="97"/>
      <c r="ORN2" s="97"/>
      <c r="ORO2" s="97"/>
      <c r="ORP2" s="97"/>
      <c r="ORQ2" s="97"/>
      <c r="ORR2" s="97"/>
      <c r="ORS2" s="97"/>
      <c r="ORT2" s="97"/>
      <c r="ORU2" s="97"/>
      <c r="ORV2" s="97"/>
      <c r="ORW2" s="97"/>
      <c r="ORX2" s="97"/>
      <c r="ORY2" s="97"/>
      <c r="ORZ2" s="97"/>
      <c r="OSA2" s="97"/>
      <c r="OSB2" s="97"/>
      <c r="OSC2" s="97"/>
      <c r="OSD2" s="97"/>
      <c r="OSE2" s="97"/>
      <c r="OSF2" s="97"/>
      <c r="OSG2" s="97"/>
      <c r="OSH2" s="97"/>
      <c r="OSI2" s="97"/>
      <c r="OSJ2" s="97"/>
      <c r="OSK2" s="97"/>
      <c r="OSL2" s="97"/>
      <c r="OSM2" s="97"/>
      <c r="OSN2" s="97"/>
      <c r="OSO2" s="97"/>
      <c r="OSP2" s="97"/>
      <c r="OSQ2" s="97"/>
      <c r="OSR2" s="97"/>
      <c r="OSS2" s="97"/>
      <c r="OST2" s="97"/>
      <c r="OSU2" s="97"/>
      <c r="OSV2" s="97"/>
      <c r="OSW2" s="97"/>
      <c r="OSX2" s="97"/>
      <c r="OSY2" s="97"/>
      <c r="OSZ2" s="97"/>
      <c r="OTA2" s="97"/>
      <c r="OTB2" s="97"/>
      <c r="OTC2" s="97"/>
      <c r="OTD2" s="97"/>
      <c r="OTE2" s="97"/>
      <c r="OTF2" s="97"/>
      <c r="OTG2" s="97"/>
      <c r="OTH2" s="97"/>
      <c r="OTI2" s="97"/>
      <c r="OTJ2" s="97"/>
      <c r="OTK2" s="97"/>
      <c r="OTL2" s="97"/>
      <c r="OTM2" s="97"/>
      <c r="OTN2" s="97"/>
      <c r="OTO2" s="97"/>
      <c r="OTP2" s="97"/>
      <c r="OTQ2" s="97"/>
      <c r="OTR2" s="97"/>
      <c r="OTS2" s="97"/>
      <c r="OTT2" s="97"/>
      <c r="OTU2" s="97"/>
      <c r="OTV2" s="97"/>
      <c r="OTW2" s="97"/>
      <c r="OTX2" s="97"/>
      <c r="OTY2" s="97"/>
      <c r="OTZ2" s="97"/>
      <c r="OUA2" s="97"/>
      <c r="OUB2" s="97"/>
      <c r="OUC2" s="97"/>
      <c r="OUD2" s="97"/>
      <c r="OUE2" s="97"/>
      <c r="OUF2" s="97"/>
      <c r="OUG2" s="97"/>
      <c r="OUH2" s="97"/>
      <c r="OUI2" s="97"/>
      <c r="OUJ2" s="97"/>
      <c r="OUK2" s="97"/>
      <c r="OUL2" s="97"/>
      <c r="OUM2" s="97"/>
      <c r="OUN2" s="97"/>
      <c r="OUO2" s="97"/>
      <c r="OUP2" s="97"/>
      <c r="OUQ2" s="97"/>
      <c r="OUR2" s="97"/>
      <c r="OUS2" s="97"/>
      <c r="OUT2" s="97"/>
      <c r="OUU2" s="97"/>
      <c r="OUV2" s="97"/>
      <c r="OUW2" s="97"/>
      <c r="OUX2" s="97"/>
      <c r="OUY2" s="97"/>
      <c r="OUZ2" s="97"/>
      <c r="OVA2" s="97"/>
      <c r="OVB2" s="97"/>
      <c r="OVC2" s="97"/>
      <c r="OVD2" s="97"/>
      <c r="OVE2" s="97"/>
      <c r="OVF2" s="97"/>
      <c r="OVG2" s="97"/>
      <c r="OVH2" s="97"/>
      <c r="OVI2" s="97"/>
      <c r="OVJ2" s="97"/>
      <c r="OVK2" s="97"/>
      <c r="OVL2" s="97"/>
      <c r="OVM2" s="97"/>
      <c r="OVN2" s="97"/>
      <c r="OVO2" s="97"/>
      <c r="OVP2" s="97"/>
      <c r="OVQ2" s="97"/>
      <c r="OVR2" s="97"/>
      <c r="OVS2" s="97"/>
      <c r="OVT2" s="97"/>
      <c r="OVU2" s="97"/>
      <c r="OVV2" s="97"/>
      <c r="OVW2" s="97"/>
      <c r="OVX2" s="97"/>
      <c r="OVY2" s="97"/>
      <c r="OVZ2" s="97"/>
      <c r="OWA2" s="97"/>
      <c r="OWB2" s="97"/>
      <c r="OWC2" s="97"/>
      <c r="OWD2" s="97"/>
      <c r="OWE2" s="97"/>
      <c r="OWF2" s="97"/>
      <c r="OWG2" s="97"/>
      <c r="OWH2" s="97"/>
      <c r="OWI2" s="97"/>
      <c r="OWJ2" s="97"/>
      <c r="OWK2" s="97"/>
      <c r="OWL2" s="97"/>
      <c r="OWM2" s="97"/>
      <c r="OWN2" s="97"/>
      <c r="OWO2" s="97"/>
      <c r="OWP2" s="97"/>
      <c r="OWQ2" s="97"/>
      <c r="OWR2" s="97"/>
      <c r="OWS2" s="97"/>
      <c r="OWT2" s="97"/>
      <c r="OWU2" s="97"/>
      <c r="OWV2" s="97"/>
      <c r="OWW2" s="97"/>
      <c r="OWX2" s="97"/>
      <c r="OWY2" s="97"/>
      <c r="OWZ2" s="97"/>
      <c r="OXA2" s="97"/>
      <c r="OXB2" s="97"/>
      <c r="OXC2" s="97"/>
      <c r="OXD2" s="97"/>
      <c r="OXE2" s="97"/>
      <c r="OXF2" s="97"/>
      <c r="OXG2" s="97"/>
      <c r="OXH2" s="97"/>
      <c r="OXI2" s="97"/>
      <c r="OXJ2" s="97"/>
      <c r="OXK2" s="97"/>
      <c r="OXL2" s="97"/>
      <c r="OXM2" s="97"/>
      <c r="OXN2" s="97"/>
      <c r="OXO2" s="97"/>
      <c r="OXP2" s="97"/>
      <c r="OXQ2" s="97"/>
      <c r="OXR2" s="97"/>
      <c r="OXS2" s="97"/>
      <c r="OXT2" s="97"/>
      <c r="OXU2" s="97"/>
      <c r="OXV2" s="97"/>
      <c r="OXW2" s="97"/>
      <c r="OXX2" s="97"/>
      <c r="OXY2" s="97"/>
      <c r="OXZ2" s="97"/>
      <c r="OYA2" s="97"/>
      <c r="OYB2" s="97"/>
      <c r="OYC2" s="97"/>
      <c r="OYD2" s="97"/>
      <c r="OYE2" s="97"/>
      <c r="OYF2" s="97"/>
      <c r="OYG2" s="97"/>
      <c r="OYH2" s="97"/>
      <c r="OYI2" s="97"/>
      <c r="OYJ2" s="97"/>
      <c r="OYK2" s="97"/>
      <c r="OYL2" s="97"/>
      <c r="OYM2" s="97"/>
      <c r="OYN2" s="97"/>
      <c r="OYO2" s="97"/>
      <c r="OYP2" s="97"/>
      <c r="OYQ2" s="97"/>
      <c r="OYR2" s="97"/>
      <c r="OYS2" s="97"/>
      <c r="OYT2" s="97"/>
      <c r="OYU2" s="97"/>
      <c r="OYV2" s="97"/>
      <c r="OYW2" s="97"/>
      <c r="OYX2" s="97"/>
      <c r="OYY2" s="97"/>
      <c r="OYZ2" s="97"/>
      <c r="OZA2" s="97"/>
      <c r="OZB2" s="97"/>
      <c r="OZC2" s="97"/>
      <c r="OZD2" s="97"/>
      <c r="OZE2" s="97"/>
      <c r="OZF2" s="97"/>
      <c r="OZG2" s="97"/>
      <c r="OZH2" s="97"/>
      <c r="OZI2" s="97"/>
      <c r="OZJ2" s="97"/>
      <c r="OZK2" s="97"/>
      <c r="OZL2" s="97"/>
      <c r="OZM2" s="97"/>
      <c r="OZN2" s="97"/>
      <c r="OZO2" s="97"/>
      <c r="OZP2" s="97"/>
      <c r="OZQ2" s="97"/>
      <c r="OZR2" s="97"/>
      <c r="OZS2" s="97"/>
      <c r="OZT2" s="97"/>
      <c r="OZU2" s="97"/>
      <c r="OZV2" s="97"/>
      <c r="OZW2" s="97"/>
      <c r="OZX2" s="97"/>
      <c r="OZY2" s="97"/>
      <c r="OZZ2" s="97"/>
      <c r="PAA2" s="97"/>
      <c r="PAB2" s="97"/>
      <c r="PAC2" s="97"/>
      <c r="PAD2" s="97"/>
      <c r="PAE2" s="97"/>
      <c r="PAF2" s="97"/>
      <c r="PAG2" s="97"/>
      <c r="PAH2" s="97"/>
      <c r="PAI2" s="97"/>
      <c r="PAJ2" s="97"/>
      <c r="PAK2" s="97"/>
      <c r="PAL2" s="97"/>
      <c r="PAM2" s="97"/>
      <c r="PAN2" s="97"/>
      <c r="PAO2" s="97"/>
      <c r="PAP2" s="97"/>
      <c r="PAQ2" s="97"/>
      <c r="PAR2" s="97"/>
      <c r="PAS2" s="97"/>
      <c r="PAT2" s="97"/>
      <c r="PAU2" s="97"/>
      <c r="PAV2" s="97"/>
      <c r="PAW2" s="97"/>
      <c r="PAX2" s="97"/>
      <c r="PAY2" s="97"/>
      <c r="PAZ2" s="97"/>
      <c r="PBA2" s="97"/>
      <c r="PBB2" s="97"/>
      <c r="PBC2" s="97"/>
      <c r="PBD2" s="97"/>
      <c r="PBE2" s="97"/>
      <c r="PBF2" s="97"/>
      <c r="PBG2" s="97"/>
      <c r="PBH2" s="97"/>
      <c r="PBI2" s="97"/>
      <c r="PBJ2" s="97"/>
      <c r="PBK2" s="97"/>
      <c r="PBL2" s="97"/>
      <c r="PBM2" s="97"/>
      <c r="PBN2" s="97"/>
      <c r="PBO2" s="97"/>
      <c r="PBP2" s="97"/>
      <c r="PBQ2" s="97"/>
      <c r="PBR2" s="97"/>
      <c r="PBS2" s="97"/>
      <c r="PBT2" s="97"/>
      <c r="PBU2" s="97"/>
      <c r="PBV2" s="97"/>
      <c r="PBW2" s="97"/>
      <c r="PBX2" s="97"/>
      <c r="PBY2" s="97"/>
      <c r="PBZ2" s="97"/>
      <c r="PCA2" s="97"/>
      <c r="PCB2" s="97"/>
      <c r="PCC2" s="97"/>
      <c r="PCD2" s="97"/>
      <c r="PCE2" s="97"/>
      <c r="PCF2" s="97"/>
      <c r="PCG2" s="97"/>
      <c r="PCH2" s="97"/>
      <c r="PCI2" s="97"/>
      <c r="PCJ2" s="97"/>
      <c r="PCK2" s="97"/>
      <c r="PCL2" s="97"/>
      <c r="PCM2" s="97"/>
      <c r="PCN2" s="97"/>
      <c r="PCO2" s="97"/>
      <c r="PCP2" s="97"/>
      <c r="PCQ2" s="97"/>
      <c r="PCR2" s="97"/>
      <c r="PCS2" s="97"/>
      <c r="PCT2" s="97"/>
      <c r="PCU2" s="97"/>
      <c r="PCV2" s="97"/>
      <c r="PCW2" s="97"/>
      <c r="PCX2" s="97"/>
      <c r="PCY2" s="97"/>
      <c r="PCZ2" s="97"/>
      <c r="PDA2" s="97"/>
      <c r="PDB2" s="97"/>
      <c r="PDC2" s="97"/>
      <c r="PDD2" s="97"/>
      <c r="PDE2" s="97"/>
      <c r="PDF2" s="97"/>
      <c r="PDG2" s="97"/>
      <c r="PDH2" s="97"/>
      <c r="PDI2" s="97"/>
      <c r="PDJ2" s="97"/>
      <c r="PDK2" s="97"/>
      <c r="PDL2" s="97"/>
      <c r="PDM2" s="97"/>
      <c r="PDN2" s="97"/>
      <c r="PDO2" s="97"/>
      <c r="PDP2" s="97"/>
      <c r="PDQ2" s="97"/>
      <c r="PDR2" s="97"/>
      <c r="PDS2" s="97"/>
      <c r="PDT2" s="97"/>
      <c r="PDU2" s="97"/>
      <c r="PDV2" s="97"/>
      <c r="PDW2" s="97"/>
      <c r="PDX2" s="97"/>
      <c r="PDY2" s="97"/>
      <c r="PDZ2" s="97"/>
      <c r="PEA2" s="97"/>
      <c r="PEB2" s="97"/>
      <c r="PEC2" s="97"/>
      <c r="PED2" s="97"/>
      <c r="PEE2" s="97"/>
      <c r="PEF2" s="97"/>
      <c r="PEG2" s="97"/>
      <c r="PEH2" s="97"/>
      <c r="PEI2" s="97"/>
      <c r="PEJ2" s="97"/>
      <c r="PEK2" s="97"/>
      <c r="PEL2" s="97"/>
      <c r="PEM2" s="97"/>
      <c r="PEN2" s="97"/>
      <c r="PEO2" s="97"/>
      <c r="PEP2" s="97"/>
      <c r="PEQ2" s="97"/>
      <c r="PER2" s="97"/>
      <c r="PES2" s="97"/>
      <c r="PET2" s="97"/>
      <c r="PEU2" s="97"/>
      <c r="PEV2" s="97"/>
      <c r="PEW2" s="97"/>
      <c r="PEX2" s="97"/>
      <c r="PEY2" s="97"/>
      <c r="PEZ2" s="97"/>
      <c r="PFA2" s="97"/>
      <c r="PFB2" s="97"/>
      <c r="PFC2" s="97"/>
      <c r="PFD2" s="97"/>
      <c r="PFE2" s="97"/>
      <c r="PFF2" s="97"/>
      <c r="PFG2" s="97"/>
      <c r="PFH2" s="97"/>
      <c r="PFI2" s="97"/>
      <c r="PFJ2" s="97"/>
      <c r="PFK2" s="97"/>
      <c r="PFL2" s="97"/>
      <c r="PFM2" s="97"/>
      <c r="PFN2" s="97"/>
      <c r="PFO2" s="97"/>
      <c r="PFP2" s="97"/>
      <c r="PFQ2" s="97"/>
      <c r="PFR2" s="97"/>
      <c r="PFS2" s="97"/>
      <c r="PFT2" s="97"/>
      <c r="PFU2" s="97"/>
      <c r="PFV2" s="97"/>
      <c r="PFW2" s="97"/>
      <c r="PFX2" s="97"/>
      <c r="PFY2" s="97"/>
      <c r="PFZ2" s="97"/>
      <c r="PGA2" s="97"/>
      <c r="PGB2" s="97"/>
      <c r="PGC2" s="97"/>
      <c r="PGD2" s="97"/>
      <c r="PGE2" s="97"/>
      <c r="PGF2" s="97"/>
      <c r="PGG2" s="97"/>
      <c r="PGH2" s="97"/>
      <c r="PGI2" s="97"/>
      <c r="PGJ2" s="97"/>
      <c r="PGK2" s="97"/>
      <c r="PGL2" s="97"/>
      <c r="PGM2" s="97"/>
      <c r="PGN2" s="97"/>
      <c r="PGO2" s="97"/>
      <c r="PGP2" s="97"/>
      <c r="PGQ2" s="97"/>
      <c r="PGR2" s="97"/>
      <c r="PGS2" s="97"/>
      <c r="PGT2" s="97"/>
      <c r="PGU2" s="97"/>
      <c r="PGV2" s="97"/>
      <c r="PGW2" s="97"/>
      <c r="PGX2" s="97"/>
      <c r="PGY2" s="97"/>
      <c r="PGZ2" s="97"/>
      <c r="PHA2" s="97"/>
      <c r="PHB2" s="97"/>
      <c r="PHC2" s="97"/>
      <c r="PHD2" s="97"/>
      <c r="PHE2" s="97"/>
      <c r="PHF2" s="97"/>
      <c r="PHG2" s="97"/>
      <c r="PHH2" s="97"/>
      <c r="PHI2" s="97"/>
      <c r="PHJ2" s="97"/>
      <c r="PHK2" s="97"/>
      <c r="PHL2" s="97"/>
      <c r="PHM2" s="97"/>
      <c r="PHN2" s="97"/>
      <c r="PHO2" s="97"/>
      <c r="PHP2" s="97"/>
      <c r="PHQ2" s="97"/>
      <c r="PHR2" s="97"/>
      <c r="PHS2" s="97"/>
      <c r="PHT2" s="97"/>
      <c r="PHU2" s="97"/>
      <c r="PHV2" s="97"/>
      <c r="PHW2" s="97"/>
      <c r="PHX2" s="97"/>
      <c r="PHY2" s="97"/>
      <c r="PHZ2" s="97"/>
      <c r="PIA2" s="97"/>
      <c r="PIB2" s="97"/>
      <c r="PIC2" s="97"/>
      <c r="PID2" s="97"/>
      <c r="PIE2" s="97"/>
      <c r="PIF2" s="97"/>
      <c r="PIG2" s="97"/>
      <c r="PIH2" s="97"/>
      <c r="PII2" s="97"/>
      <c r="PIJ2" s="97"/>
      <c r="PIK2" s="97"/>
      <c r="PIL2" s="97"/>
      <c r="PIM2" s="97"/>
      <c r="PIN2" s="97"/>
      <c r="PIO2" s="97"/>
      <c r="PIP2" s="97"/>
      <c r="PIQ2" s="97"/>
      <c r="PIR2" s="97"/>
      <c r="PIS2" s="97"/>
      <c r="PIT2" s="97"/>
      <c r="PIU2" s="97"/>
      <c r="PIV2" s="97"/>
      <c r="PIW2" s="97"/>
      <c r="PIX2" s="97"/>
      <c r="PIY2" s="97"/>
      <c r="PIZ2" s="97"/>
      <c r="PJA2" s="97"/>
      <c r="PJB2" s="97"/>
      <c r="PJC2" s="97"/>
      <c r="PJD2" s="97"/>
      <c r="PJE2" s="97"/>
      <c r="PJF2" s="97"/>
      <c r="PJG2" s="97"/>
      <c r="PJH2" s="97"/>
      <c r="PJI2" s="97"/>
      <c r="PJJ2" s="97"/>
      <c r="PJK2" s="97"/>
      <c r="PJL2" s="97"/>
      <c r="PJM2" s="97"/>
      <c r="PJN2" s="97"/>
      <c r="PJO2" s="97"/>
      <c r="PJP2" s="97"/>
      <c r="PJQ2" s="97"/>
      <c r="PJR2" s="97"/>
      <c r="PJS2" s="97"/>
      <c r="PJT2" s="97"/>
      <c r="PJU2" s="97"/>
      <c r="PJV2" s="97"/>
      <c r="PJW2" s="97"/>
      <c r="PJX2" s="97"/>
      <c r="PJY2" s="97"/>
      <c r="PJZ2" s="97"/>
      <c r="PKA2" s="97"/>
      <c r="PKB2" s="97"/>
      <c r="PKC2" s="97"/>
      <c r="PKD2" s="97"/>
      <c r="PKE2" s="97"/>
      <c r="PKF2" s="97"/>
      <c r="PKG2" s="97"/>
      <c r="PKH2" s="97"/>
      <c r="PKI2" s="97"/>
      <c r="PKJ2" s="97"/>
      <c r="PKK2" s="97"/>
      <c r="PKL2" s="97"/>
      <c r="PKM2" s="97"/>
      <c r="PKN2" s="97"/>
      <c r="PKO2" s="97"/>
      <c r="PKP2" s="97"/>
      <c r="PKQ2" s="97"/>
      <c r="PKR2" s="97"/>
      <c r="PKS2" s="97"/>
      <c r="PKT2" s="97"/>
      <c r="PKU2" s="97"/>
      <c r="PKV2" s="97"/>
      <c r="PKW2" s="97"/>
      <c r="PKX2" s="97"/>
      <c r="PKY2" s="97"/>
      <c r="PKZ2" s="97"/>
      <c r="PLA2" s="97"/>
      <c r="PLB2" s="97"/>
      <c r="PLC2" s="97"/>
      <c r="PLD2" s="97"/>
      <c r="PLE2" s="97"/>
      <c r="PLF2" s="97"/>
      <c r="PLG2" s="97"/>
      <c r="PLH2" s="97"/>
      <c r="PLI2" s="97"/>
      <c r="PLJ2" s="97"/>
      <c r="PLK2" s="97"/>
      <c r="PLL2" s="97"/>
      <c r="PLM2" s="97"/>
      <c r="PLN2" s="97"/>
      <c r="PLO2" s="97"/>
      <c r="PLP2" s="97"/>
      <c r="PLQ2" s="97"/>
      <c r="PLR2" s="97"/>
      <c r="PLS2" s="97"/>
      <c r="PLT2" s="97"/>
      <c r="PLU2" s="97"/>
      <c r="PLV2" s="97"/>
      <c r="PLW2" s="97"/>
      <c r="PLX2" s="97"/>
      <c r="PLY2" s="97"/>
      <c r="PLZ2" s="97"/>
      <c r="PMA2" s="97"/>
      <c r="PMB2" s="97"/>
      <c r="PMC2" s="97"/>
      <c r="PMD2" s="97"/>
      <c r="PME2" s="97"/>
      <c r="PMF2" s="97"/>
      <c r="PMG2" s="97"/>
      <c r="PMH2" s="97"/>
      <c r="PMI2" s="97"/>
      <c r="PMJ2" s="97"/>
      <c r="PMK2" s="97"/>
      <c r="PML2" s="97"/>
      <c r="PMM2" s="97"/>
      <c r="PMN2" s="97"/>
      <c r="PMO2" s="97"/>
      <c r="PMP2" s="97"/>
      <c r="PMQ2" s="97"/>
      <c r="PMR2" s="97"/>
      <c r="PMS2" s="97"/>
      <c r="PMT2" s="97"/>
      <c r="PMU2" s="97"/>
      <c r="PMV2" s="97"/>
      <c r="PMW2" s="97"/>
      <c r="PMX2" s="97"/>
      <c r="PMY2" s="97"/>
      <c r="PMZ2" s="97"/>
      <c r="PNA2" s="97"/>
      <c r="PNB2" s="97"/>
      <c r="PNC2" s="97"/>
      <c r="PND2" s="97"/>
      <c r="PNE2" s="97"/>
      <c r="PNF2" s="97"/>
      <c r="PNG2" s="97"/>
      <c r="PNH2" s="97"/>
      <c r="PNI2" s="97"/>
      <c r="PNJ2" s="97"/>
      <c r="PNK2" s="97"/>
      <c r="PNL2" s="97"/>
      <c r="PNM2" s="97"/>
      <c r="PNN2" s="97"/>
      <c r="PNO2" s="97"/>
      <c r="PNP2" s="97"/>
      <c r="PNQ2" s="97"/>
      <c r="PNR2" s="97"/>
      <c r="PNS2" s="97"/>
      <c r="PNT2" s="97"/>
      <c r="PNU2" s="97"/>
      <c r="PNV2" s="97"/>
      <c r="PNW2" s="97"/>
      <c r="PNX2" s="97"/>
      <c r="PNY2" s="97"/>
      <c r="PNZ2" s="97"/>
      <c r="POA2" s="97"/>
      <c r="POB2" s="97"/>
      <c r="POC2" s="97"/>
      <c r="POD2" s="97"/>
      <c r="POE2" s="97"/>
      <c r="POF2" s="97"/>
      <c r="POG2" s="97"/>
      <c r="POH2" s="97"/>
      <c r="POI2" s="97"/>
      <c r="POJ2" s="97"/>
      <c r="POK2" s="97"/>
      <c r="POL2" s="97"/>
      <c r="POM2" s="97"/>
      <c r="PON2" s="97"/>
      <c r="POO2" s="97"/>
      <c r="POP2" s="97"/>
      <c r="POQ2" s="97"/>
      <c r="POR2" s="97"/>
      <c r="POS2" s="97"/>
      <c r="POT2" s="97"/>
      <c r="POU2" s="97"/>
      <c r="POV2" s="97"/>
      <c r="POW2" s="97"/>
      <c r="POX2" s="97"/>
      <c r="POY2" s="97"/>
      <c r="POZ2" s="97"/>
      <c r="PPA2" s="97"/>
      <c r="PPB2" s="97"/>
      <c r="PPC2" s="97"/>
      <c r="PPD2" s="97"/>
      <c r="PPE2" s="97"/>
      <c r="PPF2" s="97"/>
      <c r="PPG2" s="97"/>
      <c r="PPH2" s="97"/>
      <c r="PPI2" s="97"/>
      <c r="PPJ2" s="97"/>
      <c r="PPK2" s="97"/>
      <c r="PPL2" s="97"/>
      <c r="PPM2" s="97"/>
      <c r="PPN2" s="97"/>
      <c r="PPO2" s="97"/>
      <c r="PPP2" s="97"/>
      <c r="PPQ2" s="97"/>
      <c r="PPR2" s="97"/>
      <c r="PPS2" s="97"/>
      <c r="PPT2" s="97"/>
      <c r="PPU2" s="97"/>
      <c r="PPV2" s="97"/>
      <c r="PPW2" s="97"/>
      <c r="PPX2" s="97"/>
      <c r="PPY2" s="97"/>
      <c r="PPZ2" s="97"/>
      <c r="PQA2" s="97"/>
      <c r="PQB2" s="97"/>
      <c r="PQC2" s="97"/>
      <c r="PQD2" s="97"/>
      <c r="PQE2" s="97"/>
      <c r="PQF2" s="97"/>
      <c r="PQG2" s="97"/>
      <c r="PQH2" s="97"/>
      <c r="PQI2" s="97"/>
      <c r="PQJ2" s="97"/>
      <c r="PQK2" s="97"/>
      <c r="PQL2" s="97"/>
      <c r="PQM2" s="97"/>
      <c r="PQN2" s="97"/>
      <c r="PQO2" s="97"/>
      <c r="PQP2" s="97"/>
      <c r="PQQ2" s="97"/>
      <c r="PQR2" s="97"/>
      <c r="PQS2" s="97"/>
      <c r="PQT2" s="97"/>
      <c r="PQU2" s="97"/>
      <c r="PQV2" s="97"/>
      <c r="PQW2" s="97"/>
      <c r="PQX2" s="97"/>
      <c r="PQY2" s="97"/>
      <c r="PQZ2" s="97"/>
      <c r="PRA2" s="97"/>
      <c r="PRB2" s="97"/>
      <c r="PRC2" s="97"/>
      <c r="PRD2" s="97"/>
      <c r="PRE2" s="97"/>
      <c r="PRF2" s="97"/>
      <c r="PRG2" s="97"/>
      <c r="PRH2" s="97"/>
      <c r="PRI2" s="97"/>
      <c r="PRJ2" s="97"/>
      <c r="PRK2" s="97"/>
      <c r="PRL2" s="97"/>
      <c r="PRM2" s="97"/>
      <c r="PRN2" s="97"/>
      <c r="PRO2" s="97"/>
      <c r="PRP2" s="97"/>
      <c r="PRQ2" s="97"/>
      <c r="PRR2" s="97"/>
      <c r="PRS2" s="97"/>
      <c r="PRT2" s="97"/>
      <c r="PRU2" s="97"/>
      <c r="PRV2" s="97"/>
      <c r="PRW2" s="97"/>
      <c r="PRX2" s="97"/>
      <c r="PRY2" s="97"/>
      <c r="PRZ2" s="97"/>
      <c r="PSA2" s="97"/>
      <c r="PSB2" s="97"/>
      <c r="PSC2" s="97"/>
      <c r="PSD2" s="97"/>
      <c r="PSE2" s="97"/>
      <c r="PSF2" s="97"/>
      <c r="PSG2" s="97"/>
      <c r="PSH2" s="97"/>
      <c r="PSI2" s="97"/>
      <c r="PSJ2" s="97"/>
      <c r="PSK2" s="97"/>
      <c r="PSL2" s="97"/>
      <c r="PSM2" s="97"/>
      <c r="PSN2" s="97"/>
      <c r="PSO2" s="97"/>
      <c r="PSP2" s="97"/>
      <c r="PSQ2" s="97"/>
      <c r="PSR2" s="97"/>
      <c r="PSS2" s="97"/>
      <c r="PST2" s="97"/>
      <c r="PSU2" s="97"/>
      <c r="PSV2" s="97"/>
      <c r="PSW2" s="97"/>
      <c r="PSX2" s="97"/>
      <c r="PSY2" s="97"/>
      <c r="PSZ2" s="97"/>
      <c r="PTA2" s="97"/>
      <c r="PTB2" s="97"/>
      <c r="PTC2" s="97"/>
      <c r="PTD2" s="97"/>
      <c r="PTE2" s="97"/>
      <c r="PTF2" s="97"/>
      <c r="PTG2" s="97"/>
      <c r="PTH2" s="97"/>
      <c r="PTI2" s="97"/>
      <c r="PTJ2" s="97"/>
      <c r="PTK2" s="97"/>
      <c r="PTL2" s="97"/>
      <c r="PTM2" s="97"/>
      <c r="PTN2" s="97"/>
      <c r="PTO2" s="97"/>
      <c r="PTP2" s="97"/>
      <c r="PTQ2" s="97"/>
      <c r="PTR2" s="97"/>
      <c r="PTS2" s="97"/>
      <c r="PTT2" s="97"/>
      <c r="PTU2" s="97"/>
      <c r="PTV2" s="97"/>
      <c r="PTW2" s="97"/>
      <c r="PTX2" s="97"/>
      <c r="PTY2" s="97"/>
      <c r="PTZ2" s="97"/>
      <c r="PUA2" s="97"/>
      <c r="PUB2" s="97"/>
      <c r="PUC2" s="97"/>
      <c r="PUD2" s="97"/>
      <c r="PUE2" s="97"/>
      <c r="PUF2" s="97"/>
      <c r="PUG2" s="97"/>
      <c r="PUH2" s="97"/>
      <c r="PUI2" s="97"/>
      <c r="PUJ2" s="97"/>
      <c r="PUK2" s="97"/>
      <c r="PUL2" s="97"/>
      <c r="PUM2" s="97"/>
      <c r="PUN2" s="97"/>
      <c r="PUO2" s="97"/>
      <c r="PUP2" s="97"/>
      <c r="PUQ2" s="97"/>
      <c r="PUR2" s="97"/>
      <c r="PUS2" s="97"/>
      <c r="PUT2" s="97"/>
      <c r="PUU2" s="97"/>
      <c r="PUV2" s="97"/>
      <c r="PUW2" s="97"/>
      <c r="PUX2" s="97"/>
      <c r="PUY2" s="97"/>
      <c r="PUZ2" s="97"/>
      <c r="PVA2" s="97"/>
      <c r="PVB2" s="97"/>
      <c r="PVC2" s="97"/>
      <c r="PVD2" s="97"/>
      <c r="PVE2" s="97"/>
      <c r="PVF2" s="97"/>
      <c r="PVG2" s="97"/>
      <c r="PVH2" s="97"/>
      <c r="PVI2" s="97"/>
      <c r="PVJ2" s="97"/>
      <c r="PVK2" s="97"/>
      <c r="PVL2" s="97"/>
      <c r="PVM2" s="97"/>
      <c r="PVN2" s="97"/>
      <c r="PVO2" s="97"/>
      <c r="PVP2" s="97"/>
      <c r="PVQ2" s="97"/>
      <c r="PVR2" s="97"/>
      <c r="PVS2" s="97"/>
      <c r="PVT2" s="97"/>
      <c r="PVU2" s="97"/>
      <c r="PVV2" s="97"/>
      <c r="PVW2" s="97"/>
      <c r="PVX2" s="97"/>
      <c r="PVY2" s="97"/>
      <c r="PVZ2" s="97"/>
      <c r="PWA2" s="97"/>
      <c r="PWB2" s="97"/>
      <c r="PWC2" s="97"/>
      <c r="PWD2" s="97"/>
      <c r="PWE2" s="97"/>
      <c r="PWF2" s="97"/>
      <c r="PWG2" s="97"/>
      <c r="PWH2" s="97"/>
      <c r="PWI2" s="97"/>
      <c r="PWJ2" s="97"/>
      <c r="PWK2" s="97"/>
      <c r="PWL2" s="97"/>
      <c r="PWM2" s="97"/>
      <c r="PWN2" s="97"/>
      <c r="PWO2" s="97"/>
      <c r="PWP2" s="97"/>
      <c r="PWQ2" s="97"/>
      <c r="PWR2" s="97"/>
      <c r="PWS2" s="97"/>
      <c r="PWT2" s="97"/>
      <c r="PWU2" s="97"/>
      <c r="PWV2" s="97"/>
      <c r="PWW2" s="97"/>
      <c r="PWX2" s="97"/>
      <c r="PWY2" s="97"/>
      <c r="PWZ2" s="97"/>
      <c r="PXA2" s="97"/>
      <c r="PXB2" s="97"/>
      <c r="PXC2" s="97"/>
      <c r="PXD2" s="97"/>
      <c r="PXE2" s="97"/>
      <c r="PXF2" s="97"/>
      <c r="PXG2" s="97"/>
      <c r="PXH2" s="97"/>
      <c r="PXI2" s="97"/>
      <c r="PXJ2" s="97"/>
      <c r="PXK2" s="97"/>
      <c r="PXL2" s="97"/>
      <c r="PXM2" s="97"/>
      <c r="PXN2" s="97"/>
      <c r="PXO2" s="97"/>
      <c r="PXP2" s="97"/>
      <c r="PXQ2" s="97"/>
      <c r="PXR2" s="97"/>
      <c r="PXS2" s="97"/>
      <c r="PXT2" s="97"/>
      <c r="PXU2" s="97"/>
      <c r="PXV2" s="97"/>
      <c r="PXW2" s="97"/>
      <c r="PXX2" s="97"/>
      <c r="PXY2" s="97"/>
      <c r="PXZ2" s="97"/>
      <c r="PYA2" s="97"/>
      <c r="PYB2" s="97"/>
      <c r="PYC2" s="97"/>
      <c r="PYD2" s="97"/>
      <c r="PYE2" s="97"/>
      <c r="PYF2" s="97"/>
      <c r="PYG2" s="97"/>
      <c r="PYH2" s="97"/>
      <c r="PYI2" s="97"/>
      <c r="PYJ2" s="97"/>
      <c r="PYK2" s="97"/>
      <c r="PYL2" s="97"/>
      <c r="PYM2" s="97"/>
      <c r="PYN2" s="97"/>
      <c r="PYO2" s="97"/>
      <c r="PYP2" s="97"/>
      <c r="PYQ2" s="97"/>
      <c r="PYR2" s="97"/>
      <c r="PYS2" s="97"/>
      <c r="PYT2" s="97"/>
      <c r="PYU2" s="97"/>
      <c r="PYV2" s="97"/>
      <c r="PYW2" s="97"/>
      <c r="PYX2" s="97"/>
      <c r="PYY2" s="97"/>
      <c r="PYZ2" s="97"/>
      <c r="PZA2" s="97"/>
      <c r="PZB2" s="97"/>
      <c r="PZC2" s="97"/>
      <c r="PZD2" s="97"/>
      <c r="PZE2" s="97"/>
      <c r="PZF2" s="97"/>
      <c r="PZG2" s="97"/>
      <c r="PZH2" s="97"/>
      <c r="PZI2" s="97"/>
      <c r="PZJ2" s="97"/>
      <c r="PZK2" s="97"/>
      <c r="PZL2" s="97"/>
      <c r="PZM2" s="97"/>
      <c r="PZN2" s="97"/>
      <c r="PZO2" s="97"/>
      <c r="PZP2" s="97"/>
      <c r="PZQ2" s="97"/>
      <c r="PZR2" s="97"/>
      <c r="PZS2" s="97"/>
      <c r="PZT2" s="97"/>
      <c r="PZU2" s="97"/>
      <c r="PZV2" s="97"/>
      <c r="PZW2" s="97"/>
      <c r="PZX2" s="97"/>
      <c r="PZY2" s="97"/>
      <c r="PZZ2" s="97"/>
      <c r="QAA2" s="97"/>
      <c r="QAB2" s="97"/>
      <c r="QAC2" s="97"/>
      <c r="QAD2" s="97"/>
      <c r="QAE2" s="97"/>
      <c r="QAF2" s="97"/>
      <c r="QAG2" s="97"/>
      <c r="QAH2" s="97"/>
      <c r="QAI2" s="97"/>
      <c r="QAJ2" s="97"/>
      <c r="QAK2" s="97"/>
      <c r="QAL2" s="97"/>
      <c r="QAM2" s="97"/>
      <c r="QAN2" s="97"/>
      <c r="QAO2" s="97"/>
      <c r="QAP2" s="97"/>
      <c r="QAQ2" s="97"/>
      <c r="QAR2" s="97"/>
      <c r="QAS2" s="97"/>
      <c r="QAT2" s="97"/>
      <c r="QAU2" s="97"/>
      <c r="QAV2" s="97"/>
      <c r="QAW2" s="97"/>
      <c r="QAX2" s="97"/>
      <c r="QAY2" s="97"/>
      <c r="QAZ2" s="97"/>
      <c r="QBA2" s="97"/>
      <c r="QBB2" s="97"/>
      <c r="QBC2" s="97"/>
      <c r="QBD2" s="97"/>
      <c r="QBE2" s="97"/>
      <c r="QBF2" s="97"/>
      <c r="QBG2" s="97"/>
      <c r="QBH2" s="97"/>
      <c r="QBI2" s="97"/>
      <c r="QBJ2" s="97"/>
      <c r="QBK2" s="97"/>
      <c r="QBL2" s="97"/>
      <c r="QBM2" s="97"/>
      <c r="QBN2" s="97"/>
      <c r="QBO2" s="97"/>
      <c r="QBP2" s="97"/>
      <c r="QBQ2" s="97"/>
      <c r="QBR2" s="97"/>
      <c r="QBS2" s="97"/>
      <c r="QBT2" s="97"/>
      <c r="QBU2" s="97"/>
      <c r="QBV2" s="97"/>
      <c r="QBW2" s="97"/>
      <c r="QBX2" s="97"/>
      <c r="QBY2" s="97"/>
      <c r="QBZ2" s="97"/>
      <c r="QCA2" s="97"/>
      <c r="QCB2" s="97"/>
      <c r="QCC2" s="97"/>
      <c r="QCD2" s="97"/>
      <c r="QCE2" s="97"/>
      <c r="QCF2" s="97"/>
      <c r="QCG2" s="97"/>
      <c r="QCH2" s="97"/>
      <c r="QCI2" s="97"/>
      <c r="QCJ2" s="97"/>
      <c r="QCK2" s="97"/>
      <c r="QCL2" s="97"/>
      <c r="QCM2" s="97"/>
      <c r="QCN2" s="97"/>
      <c r="QCO2" s="97"/>
      <c r="QCP2" s="97"/>
      <c r="QCQ2" s="97"/>
      <c r="QCR2" s="97"/>
      <c r="QCS2" s="97"/>
      <c r="QCT2" s="97"/>
      <c r="QCU2" s="97"/>
      <c r="QCV2" s="97"/>
      <c r="QCW2" s="97"/>
      <c r="QCX2" s="97"/>
      <c r="QCY2" s="97"/>
      <c r="QCZ2" s="97"/>
      <c r="QDA2" s="97"/>
      <c r="QDB2" s="97"/>
      <c r="QDC2" s="97"/>
      <c r="QDD2" s="97"/>
      <c r="QDE2" s="97"/>
      <c r="QDF2" s="97"/>
      <c r="QDG2" s="97"/>
      <c r="QDH2" s="97"/>
      <c r="QDI2" s="97"/>
      <c r="QDJ2" s="97"/>
      <c r="QDK2" s="97"/>
      <c r="QDL2" s="97"/>
      <c r="QDM2" s="97"/>
      <c r="QDN2" s="97"/>
      <c r="QDO2" s="97"/>
      <c r="QDP2" s="97"/>
      <c r="QDQ2" s="97"/>
      <c r="QDR2" s="97"/>
      <c r="QDS2" s="97"/>
      <c r="QDT2" s="97"/>
      <c r="QDU2" s="97"/>
      <c r="QDV2" s="97"/>
      <c r="QDW2" s="97"/>
      <c r="QDX2" s="97"/>
      <c r="QDY2" s="97"/>
      <c r="QDZ2" s="97"/>
      <c r="QEA2" s="97"/>
      <c r="QEB2" s="97"/>
      <c r="QEC2" s="97"/>
      <c r="QED2" s="97"/>
      <c r="QEE2" s="97"/>
      <c r="QEF2" s="97"/>
      <c r="QEG2" s="97"/>
      <c r="QEH2" s="97"/>
      <c r="QEI2" s="97"/>
      <c r="QEJ2" s="97"/>
      <c r="QEK2" s="97"/>
      <c r="QEL2" s="97"/>
      <c r="QEM2" s="97"/>
      <c r="QEN2" s="97"/>
      <c r="QEO2" s="97"/>
      <c r="QEP2" s="97"/>
      <c r="QEQ2" s="97"/>
      <c r="QER2" s="97"/>
      <c r="QES2" s="97"/>
      <c r="QET2" s="97"/>
      <c r="QEU2" s="97"/>
      <c r="QEV2" s="97"/>
      <c r="QEW2" s="97"/>
      <c r="QEX2" s="97"/>
      <c r="QEY2" s="97"/>
      <c r="QEZ2" s="97"/>
      <c r="QFA2" s="97"/>
      <c r="QFB2" s="97"/>
      <c r="QFC2" s="97"/>
      <c r="QFD2" s="97"/>
      <c r="QFE2" s="97"/>
      <c r="QFF2" s="97"/>
      <c r="QFG2" s="97"/>
      <c r="QFH2" s="97"/>
      <c r="QFI2" s="97"/>
      <c r="QFJ2" s="97"/>
      <c r="QFK2" s="97"/>
      <c r="QFL2" s="97"/>
      <c r="QFM2" s="97"/>
      <c r="QFN2" s="97"/>
      <c r="QFO2" s="97"/>
      <c r="QFP2" s="97"/>
      <c r="QFQ2" s="97"/>
      <c r="QFR2" s="97"/>
      <c r="QFS2" s="97"/>
      <c r="QFT2" s="97"/>
      <c r="QFU2" s="97"/>
      <c r="QFV2" s="97"/>
      <c r="QFW2" s="97"/>
      <c r="QFX2" s="97"/>
      <c r="QFY2" s="97"/>
      <c r="QFZ2" s="97"/>
      <c r="QGA2" s="97"/>
      <c r="QGB2" s="97"/>
      <c r="QGC2" s="97"/>
      <c r="QGD2" s="97"/>
      <c r="QGE2" s="97"/>
      <c r="QGF2" s="97"/>
      <c r="QGG2" s="97"/>
      <c r="QGH2" s="97"/>
      <c r="QGI2" s="97"/>
      <c r="QGJ2" s="97"/>
      <c r="QGK2" s="97"/>
      <c r="QGL2" s="97"/>
      <c r="QGM2" s="97"/>
      <c r="QGN2" s="97"/>
      <c r="QGO2" s="97"/>
      <c r="QGP2" s="97"/>
      <c r="QGQ2" s="97"/>
      <c r="QGR2" s="97"/>
      <c r="QGS2" s="97"/>
      <c r="QGT2" s="97"/>
      <c r="QGU2" s="97"/>
      <c r="QGV2" s="97"/>
      <c r="QGW2" s="97"/>
      <c r="QGX2" s="97"/>
      <c r="QGY2" s="97"/>
      <c r="QGZ2" s="97"/>
      <c r="QHA2" s="97"/>
      <c r="QHB2" s="97"/>
      <c r="QHC2" s="97"/>
      <c r="QHD2" s="97"/>
      <c r="QHE2" s="97"/>
      <c r="QHF2" s="97"/>
      <c r="QHG2" s="97"/>
      <c r="QHH2" s="97"/>
      <c r="QHI2" s="97"/>
      <c r="QHJ2" s="97"/>
      <c r="QHK2" s="97"/>
      <c r="QHL2" s="97"/>
      <c r="QHM2" s="97"/>
      <c r="QHN2" s="97"/>
      <c r="QHO2" s="97"/>
      <c r="QHP2" s="97"/>
      <c r="QHQ2" s="97"/>
      <c r="QHR2" s="97"/>
      <c r="QHS2" s="97"/>
      <c r="QHT2" s="97"/>
      <c r="QHU2" s="97"/>
      <c r="QHV2" s="97"/>
      <c r="QHW2" s="97"/>
      <c r="QHX2" s="97"/>
      <c r="QHY2" s="97"/>
      <c r="QHZ2" s="97"/>
      <c r="QIA2" s="97"/>
      <c r="QIB2" s="97"/>
      <c r="QIC2" s="97"/>
      <c r="QID2" s="97"/>
      <c r="QIE2" s="97"/>
      <c r="QIF2" s="97"/>
      <c r="QIG2" s="97"/>
      <c r="QIH2" s="97"/>
      <c r="QII2" s="97"/>
      <c r="QIJ2" s="97"/>
      <c r="QIK2" s="97"/>
      <c r="QIL2" s="97"/>
      <c r="QIM2" s="97"/>
      <c r="QIN2" s="97"/>
      <c r="QIO2" s="97"/>
      <c r="QIP2" s="97"/>
      <c r="QIQ2" s="97"/>
      <c r="QIR2" s="97"/>
      <c r="QIS2" s="97"/>
      <c r="QIT2" s="97"/>
      <c r="QIU2" s="97"/>
      <c r="QIV2" s="97"/>
      <c r="QIW2" s="97"/>
      <c r="QIX2" s="97"/>
      <c r="QIY2" s="97"/>
      <c r="QIZ2" s="97"/>
      <c r="QJA2" s="97"/>
      <c r="QJB2" s="97"/>
      <c r="QJC2" s="97"/>
      <c r="QJD2" s="97"/>
      <c r="QJE2" s="97"/>
      <c r="QJF2" s="97"/>
      <c r="QJG2" s="97"/>
      <c r="QJH2" s="97"/>
      <c r="QJI2" s="97"/>
      <c r="QJJ2" s="97"/>
      <c r="QJK2" s="97"/>
      <c r="QJL2" s="97"/>
      <c r="QJM2" s="97"/>
      <c r="QJN2" s="97"/>
      <c r="QJO2" s="97"/>
      <c r="QJP2" s="97"/>
      <c r="QJQ2" s="97"/>
      <c r="QJR2" s="97"/>
      <c r="QJS2" s="97"/>
      <c r="QJT2" s="97"/>
      <c r="QJU2" s="97"/>
      <c r="QJV2" s="97"/>
      <c r="QJW2" s="97"/>
      <c r="QJX2" s="97"/>
      <c r="QJY2" s="97"/>
      <c r="QJZ2" s="97"/>
      <c r="QKA2" s="97"/>
      <c r="QKB2" s="97"/>
      <c r="QKC2" s="97"/>
      <c r="QKD2" s="97"/>
      <c r="QKE2" s="97"/>
      <c r="QKF2" s="97"/>
      <c r="QKG2" s="97"/>
      <c r="QKH2" s="97"/>
      <c r="QKI2" s="97"/>
      <c r="QKJ2" s="97"/>
      <c r="QKK2" s="97"/>
      <c r="QKL2" s="97"/>
      <c r="QKM2" s="97"/>
      <c r="QKN2" s="97"/>
      <c r="QKO2" s="97"/>
      <c r="QKP2" s="97"/>
      <c r="QKQ2" s="97"/>
      <c r="QKR2" s="97"/>
      <c r="QKS2" s="97"/>
      <c r="QKT2" s="97"/>
      <c r="QKU2" s="97"/>
      <c r="QKV2" s="97"/>
      <c r="QKW2" s="97"/>
      <c r="QKX2" s="97"/>
      <c r="QKY2" s="97"/>
      <c r="QKZ2" s="97"/>
      <c r="QLA2" s="97"/>
      <c r="QLB2" s="97"/>
      <c r="QLC2" s="97"/>
      <c r="QLD2" s="97"/>
      <c r="QLE2" s="97"/>
      <c r="QLF2" s="97"/>
      <c r="QLG2" s="97"/>
      <c r="QLH2" s="97"/>
      <c r="QLI2" s="97"/>
      <c r="QLJ2" s="97"/>
      <c r="QLK2" s="97"/>
      <c r="QLL2" s="97"/>
      <c r="QLM2" s="97"/>
      <c r="QLN2" s="97"/>
      <c r="QLO2" s="97"/>
      <c r="QLP2" s="97"/>
      <c r="QLQ2" s="97"/>
      <c r="QLR2" s="97"/>
      <c r="QLS2" s="97"/>
      <c r="QLT2" s="97"/>
      <c r="QLU2" s="97"/>
      <c r="QLV2" s="97"/>
      <c r="QLW2" s="97"/>
      <c r="QLX2" s="97"/>
      <c r="QLY2" s="97"/>
      <c r="QLZ2" s="97"/>
      <c r="QMA2" s="97"/>
      <c r="QMB2" s="97"/>
      <c r="QMC2" s="97"/>
      <c r="QMD2" s="97"/>
      <c r="QME2" s="97"/>
      <c r="QMF2" s="97"/>
      <c r="QMG2" s="97"/>
      <c r="QMH2" s="97"/>
      <c r="QMI2" s="97"/>
      <c r="QMJ2" s="97"/>
      <c r="QMK2" s="97"/>
      <c r="QML2" s="97"/>
      <c r="QMM2" s="97"/>
      <c r="QMN2" s="97"/>
      <c r="QMO2" s="97"/>
      <c r="QMP2" s="97"/>
      <c r="QMQ2" s="97"/>
      <c r="QMR2" s="97"/>
      <c r="QMS2" s="97"/>
      <c r="QMT2" s="97"/>
      <c r="QMU2" s="97"/>
      <c r="QMV2" s="97"/>
      <c r="QMW2" s="97"/>
      <c r="QMX2" s="97"/>
      <c r="QMY2" s="97"/>
      <c r="QMZ2" s="97"/>
      <c r="QNA2" s="97"/>
      <c r="QNB2" s="97"/>
      <c r="QNC2" s="97"/>
      <c r="QND2" s="97"/>
      <c r="QNE2" s="97"/>
      <c r="QNF2" s="97"/>
      <c r="QNG2" s="97"/>
      <c r="QNH2" s="97"/>
      <c r="QNI2" s="97"/>
      <c r="QNJ2" s="97"/>
      <c r="QNK2" s="97"/>
      <c r="QNL2" s="97"/>
      <c r="QNM2" s="97"/>
      <c r="QNN2" s="97"/>
      <c r="QNO2" s="97"/>
      <c r="QNP2" s="97"/>
      <c r="QNQ2" s="97"/>
      <c r="QNR2" s="97"/>
      <c r="QNS2" s="97"/>
      <c r="QNT2" s="97"/>
      <c r="QNU2" s="97"/>
      <c r="QNV2" s="97"/>
      <c r="QNW2" s="97"/>
      <c r="QNX2" s="97"/>
      <c r="QNY2" s="97"/>
      <c r="QNZ2" s="97"/>
      <c r="QOA2" s="97"/>
      <c r="QOB2" s="97"/>
      <c r="QOC2" s="97"/>
      <c r="QOD2" s="97"/>
      <c r="QOE2" s="97"/>
      <c r="QOF2" s="97"/>
      <c r="QOG2" s="97"/>
      <c r="QOH2" s="97"/>
      <c r="QOI2" s="97"/>
      <c r="QOJ2" s="97"/>
      <c r="QOK2" s="97"/>
      <c r="QOL2" s="97"/>
      <c r="QOM2" s="97"/>
      <c r="QON2" s="97"/>
      <c r="QOO2" s="97"/>
      <c r="QOP2" s="97"/>
      <c r="QOQ2" s="97"/>
      <c r="QOR2" s="97"/>
      <c r="QOS2" s="97"/>
      <c r="QOT2" s="97"/>
      <c r="QOU2" s="97"/>
      <c r="QOV2" s="97"/>
      <c r="QOW2" s="97"/>
      <c r="QOX2" s="97"/>
      <c r="QOY2" s="97"/>
      <c r="QOZ2" s="97"/>
      <c r="QPA2" s="97"/>
      <c r="QPB2" s="97"/>
      <c r="QPC2" s="97"/>
      <c r="QPD2" s="97"/>
      <c r="QPE2" s="97"/>
      <c r="QPF2" s="97"/>
      <c r="QPG2" s="97"/>
      <c r="QPH2" s="97"/>
      <c r="QPI2" s="97"/>
      <c r="QPJ2" s="97"/>
      <c r="QPK2" s="97"/>
      <c r="QPL2" s="97"/>
      <c r="QPM2" s="97"/>
      <c r="QPN2" s="97"/>
      <c r="QPO2" s="97"/>
      <c r="QPP2" s="97"/>
      <c r="QPQ2" s="97"/>
      <c r="QPR2" s="97"/>
      <c r="QPS2" s="97"/>
      <c r="QPT2" s="97"/>
      <c r="QPU2" s="97"/>
      <c r="QPV2" s="97"/>
      <c r="QPW2" s="97"/>
      <c r="QPX2" s="97"/>
      <c r="QPY2" s="97"/>
      <c r="QPZ2" s="97"/>
      <c r="QQA2" s="97"/>
      <c r="QQB2" s="97"/>
      <c r="QQC2" s="97"/>
      <c r="QQD2" s="97"/>
      <c r="QQE2" s="97"/>
      <c r="QQF2" s="97"/>
      <c r="QQG2" s="97"/>
      <c r="QQH2" s="97"/>
      <c r="QQI2" s="97"/>
      <c r="QQJ2" s="97"/>
      <c r="QQK2" s="97"/>
      <c r="QQL2" s="97"/>
      <c r="QQM2" s="97"/>
      <c r="QQN2" s="97"/>
      <c r="QQO2" s="97"/>
      <c r="QQP2" s="97"/>
      <c r="QQQ2" s="97"/>
      <c r="QQR2" s="97"/>
      <c r="QQS2" s="97"/>
      <c r="QQT2" s="97"/>
      <c r="QQU2" s="97"/>
      <c r="QQV2" s="97"/>
      <c r="QQW2" s="97"/>
      <c r="QQX2" s="97"/>
      <c r="QQY2" s="97"/>
      <c r="QQZ2" s="97"/>
      <c r="QRA2" s="97"/>
      <c r="QRB2" s="97"/>
      <c r="QRC2" s="97"/>
      <c r="QRD2" s="97"/>
      <c r="QRE2" s="97"/>
      <c r="QRF2" s="97"/>
      <c r="QRG2" s="97"/>
      <c r="QRH2" s="97"/>
      <c r="QRI2" s="97"/>
      <c r="QRJ2" s="97"/>
      <c r="QRK2" s="97"/>
      <c r="QRL2" s="97"/>
      <c r="QRM2" s="97"/>
      <c r="QRN2" s="97"/>
      <c r="QRO2" s="97"/>
      <c r="QRP2" s="97"/>
      <c r="QRQ2" s="97"/>
      <c r="QRR2" s="97"/>
      <c r="QRS2" s="97"/>
      <c r="QRT2" s="97"/>
      <c r="QRU2" s="97"/>
      <c r="QRV2" s="97"/>
      <c r="QRW2" s="97"/>
      <c r="QRX2" s="97"/>
      <c r="QRY2" s="97"/>
      <c r="QRZ2" s="97"/>
      <c r="QSA2" s="97"/>
      <c r="QSB2" s="97"/>
      <c r="QSC2" s="97"/>
      <c r="QSD2" s="97"/>
      <c r="QSE2" s="97"/>
      <c r="QSF2" s="97"/>
      <c r="QSG2" s="97"/>
      <c r="QSH2" s="97"/>
      <c r="QSI2" s="97"/>
      <c r="QSJ2" s="97"/>
      <c r="QSK2" s="97"/>
      <c r="QSL2" s="97"/>
      <c r="QSM2" s="97"/>
      <c r="QSN2" s="97"/>
      <c r="QSO2" s="97"/>
      <c r="QSP2" s="97"/>
      <c r="QSQ2" s="97"/>
      <c r="QSR2" s="97"/>
      <c r="QSS2" s="97"/>
      <c r="QST2" s="97"/>
      <c r="QSU2" s="97"/>
      <c r="QSV2" s="97"/>
      <c r="QSW2" s="97"/>
      <c r="QSX2" s="97"/>
      <c r="QSY2" s="97"/>
      <c r="QSZ2" s="97"/>
      <c r="QTA2" s="97"/>
      <c r="QTB2" s="97"/>
      <c r="QTC2" s="97"/>
      <c r="QTD2" s="97"/>
      <c r="QTE2" s="97"/>
      <c r="QTF2" s="97"/>
      <c r="QTG2" s="97"/>
      <c r="QTH2" s="97"/>
      <c r="QTI2" s="97"/>
      <c r="QTJ2" s="97"/>
      <c r="QTK2" s="97"/>
      <c r="QTL2" s="97"/>
      <c r="QTM2" s="97"/>
      <c r="QTN2" s="97"/>
      <c r="QTO2" s="97"/>
      <c r="QTP2" s="97"/>
      <c r="QTQ2" s="97"/>
      <c r="QTR2" s="97"/>
      <c r="QTS2" s="97"/>
      <c r="QTT2" s="97"/>
      <c r="QTU2" s="97"/>
      <c r="QTV2" s="97"/>
      <c r="QTW2" s="97"/>
      <c r="QTX2" s="97"/>
      <c r="QTY2" s="97"/>
      <c r="QTZ2" s="97"/>
      <c r="QUA2" s="97"/>
      <c r="QUB2" s="97"/>
      <c r="QUC2" s="97"/>
      <c r="QUD2" s="97"/>
      <c r="QUE2" s="97"/>
      <c r="QUF2" s="97"/>
      <c r="QUG2" s="97"/>
      <c r="QUH2" s="97"/>
      <c r="QUI2" s="97"/>
      <c r="QUJ2" s="97"/>
      <c r="QUK2" s="97"/>
      <c r="QUL2" s="97"/>
      <c r="QUM2" s="97"/>
      <c r="QUN2" s="97"/>
      <c r="QUO2" s="97"/>
      <c r="QUP2" s="97"/>
      <c r="QUQ2" s="97"/>
      <c r="QUR2" s="97"/>
      <c r="QUS2" s="97"/>
      <c r="QUT2" s="97"/>
      <c r="QUU2" s="97"/>
      <c r="QUV2" s="97"/>
      <c r="QUW2" s="97"/>
      <c r="QUX2" s="97"/>
      <c r="QUY2" s="97"/>
      <c r="QUZ2" s="97"/>
      <c r="QVA2" s="97"/>
      <c r="QVB2" s="97"/>
      <c r="QVC2" s="97"/>
      <c r="QVD2" s="97"/>
      <c r="QVE2" s="97"/>
      <c r="QVF2" s="97"/>
      <c r="QVG2" s="97"/>
      <c r="QVH2" s="97"/>
      <c r="QVI2" s="97"/>
      <c r="QVJ2" s="97"/>
      <c r="QVK2" s="97"/>
      <c r="QVL2" s="97"/>
      <c r="QVM2" s="97"/>
      <c r="QVN2" s="97"/>
      <c r="QVO2" s="97"/>
      <c r="QVP2" s="97"/>
      <c r="QVQ2" s="97"/>
      <c r="QVR2" s="97"/>
      <c r="QVS2" s="97"/>
      <c r="QVT2" s="97"/>
      <c r="QVU2" s="97"/>
      <c r="QVV2" s="97"/>
      <c r="QVW2" s="97"/>
      <c r="QVX2" s="97"/>
      <c r="QVY2" s="97"/>
      <c r="QVZ2" s="97"/>
      <c r="QWA2" s="97"/>
      <c r="QWB2" s="97"/>
      <c r="QWC2" s="97"/>
      <c r="QWD2" s="97"/>
      <c r="QWE2" s="97"/>
      <c r="QWF2" s="97"/>
      <c r="QWG2" s="97"/>
      <c r="QWH2" s="97"/>
      <c r="QWI2" s="97"/>
      <c r="QWJ2" s="97"/>
      <c r="QWK2" s="97"/>
      <c r="QWL2" s="97"/>
      <c r="QWM2" s="97"/>
      <c r="QWN2" s="97"/>
      <c r="QWO2" s="97"/>
      <c r="QWP2" s="97"/>
      <c r="QWQ2" s="97"/>
      <c r="QWR2" s="97"/>
      <c r="QWS2" s="97"/>
      <c r="QWT2" s="97"/>
      <c r="QWU2" s="97"/>
      <c r="QWV2" s="97"/>
      <c r="QWW2" s="97"/>
      <c r="QWX2" s="97"/>
      <c r="QWY2" s="97"/>
      <c r="QWZ2" s="97"/>
      <c r="QXA2" s="97"/>
      <c r="QXB2" s="97"/>
      <c r="QXC2" s="97"/>
      <c r="QXD2" s="97"/>
      <c r="QXE2" s="97"/>
      <c r="QXF2" s="97"/>
      <c r="QXG2" s="97"/>
      <c r="QXH2" s="97"/>
      <c r="QXI2" s="97"/>
      <c r="QXJ2" s="97"/>
      <c r="QXK2" s="97"/>
      <c r="QXL2" s="97"/>
      <c r="QXM2" s="97"/>
      <c r="QXN2" s="97"/>
      <c r="QXO2" s="97"/>
      <c r="QXP2" s="97"/>
      <c r="QXQ2" s="97"/>
      <c r="QXR2" s="97"/>
      <c r="QXS2" s="97"/>
      <c r="QXT2" s="97"/>
      <c r="QXU2" s="97"/>
      <c r="QXV2" s="97"/>
      <c r="QXW2" s="97"/>
      <c r="QXX2" s="97"/>
      <c r="QXY2" s="97"/>
      <c r="QXZ2" s="97"/>
      <c r="QYA2" s="97"/>
      <c r="QYB2" s="97"/>
      <c r="QYC2" s="97"/>
      <c r="QYD2" s="97"/>
      <c r="QYE2" s="97"/>
      <c r="QYF2" s="97"/>
      <c r="QYG2" s="97"/>
      <c r="QYH2" s="97"/>
      <c r="QYI2" s="97"/>
      <c r="QYJ2" s="97"/>
      <c r="QYK2" s="97"/>
      <c r="QYL2" s="97"/>
      <c r="QYM2" s="97"/>
      <c r="QYN2" s="97"/>
      <c r="QYO2" s="97"/>
      <c r="QYP2" s="97"/>
      <c r="QYQ2" s="97"/>
      <c r="QYR2" s="97"/>
      <c r="QYS2" s="97"/>
      <c r="QYT2" s="97"/>
      <c r="QYU2" s="97"/>
      <c r="QYV2" s="97"/>
      <c r="QYW2" s="97"/>
      <c r="QYX2" s="97"/>
      <c r="QYY2" s="97"/>
      <c r="QYZ2" s="97"/>
      <c r="QZA2" s="97"/>
      <c r="QZB2" s="97"/>
      <c r="QZC2" s="97"/>
      <c r="QZD2" s="97"/>
      <c r="QZE2" s="97"/>
      <c r="QZF2" s="97"/>
      <c r="QZG2" s="97"/>
      <c r="QZH2" s="97"/>
      <c r="QZI2" s="97"/>
      <c r="QZJ2" s="97"/>
      <c r="QZK2" s="97"/>
      <c r="QZL2" s="97"/>
      <c r="QZM2" s="97"/>
      <c r="QZN2" s="97"/>
      <c r="QZO2" s="97"/>
      <c r="QZP2" s="97"/>
      <c r="QZQ2" s="97"/>
      <c r="QZR2" s="97"/>
      <c r="QZS2" s="97"/>
      <c r="QZT2" s="97"/>
      <c r="QZU2" s="97"/>
      <c r="QZV2" s="97"/>
      <c r="QZW2" s="97"/>
      <c r="QZX2" s="97"/>
      <c r="QZY2" s="97"/>
      <c r="QZZ2" s="97"/>
      <c r="RAA2" s="97"/>
      <c r="RAB2" s="97"/>
      <c r="RAC2" s="97"/>
      <c r="RAD2" s="97"/>
      <c r="RAE2" s="97"/>
      <c r="RAF2" s="97"/>
      <c r="RAG2" s="97"/>
      <c r="RAH2" s="97"/>
      <c r="RAI2" s="97"/>
      <c r="RAJ2" s="97"/>
      <c r="RAK2" s="97"/>
      <c r="RAL2" s="97"/>
      <c r="RAM2" s="97"/>
      <c r="RAN2" s="97"/>
      <c r="RAO2" s="97"/>
      <c r="RAP2" s="97"/>
      <c r="RAQ2" s="97"/>
      <c r="RAR2" s="97"/>
      <c r="RAS2" s="97"/>
      <c r="RAT2" s="97"/>
      <c r="RAU2" s="97"/>
      <c r="RAV2" s="97"/>
      <c r="RAW2" s="97"/>
      <c r="RAX2" s="97"/>
      <c r="RAY2" s="97"/>
      <c r="RAZ2" s="97"/>
      <c r="RBA2" s="97"/>
      <c r="RBB2" s="97"/>
      <c r="RBC2" s="97"/>
      <c r="RBD2" s="97"/>
      <c r="RBE2" s="97"/>
      <c r="RBF2" s="97"/>
      <c r="RBG2" s="97"/>
      <c r="RBH2" s="97"/>
      <c r="RBI2" s="97"/>
      <c r="RBJ2" s="97"/>
      <c r="RBK2" s="97"/>
      <c r="RBL2" s="97"/>
      <c r="RBM2" s="97"/>
      <c r="RBN2" s="97"/>
      <c r="RBO2" s="97"/>
      <c r="RBP2" s="97"/>
      <c r="RBQ2" s="97"/>
      <c r="RBR2" s="97"/>
      <c r="RBS2" s="97"/>
      <c r="RBT2" s="97"/>
      <c r="RBU2" s="97"/>
      <c r="RBV2" s="97"/>
      <c r="RBW2" s="97"/>
      <c r="RBX2" s="97"/>
      <c r="RBY2" s="97"/>
      <c r="RBZ2" s="97"/>
      <c r="RCA2" s="97"/>
      <c r="RCB2" s="97"/>
      <c r="RCC2" s="97"/>
      <c r="RCD2" s="97"/>
      <c r="RCE2" s="97"/>
      <c r="RCF2" s="97"/>
      <c r="RCG2" s="97"/>
      <c r="RCH2" s="97"/>
      <c r="RCI2" s="97"/>
      <c r="RCJ2" s="97"/>
      <c r="RCK2" s="97"/>
      <c r="RCL2" s="97"/>
      <c r="RCM2" s="97"/>
      <c r="RCN2" s="97"/>
      <c r="RCO2" s="97"/>
      <c r="RCP2" s="97"/>
      <c r="RCQ2" s="97"/>
      <c r="RCR2" s="97"/>
      <c r="RCS2" s="97"/>
      <c r="RCT2" s="97"/>
      <c r="RCU2" s="97"/>
      <c r="RCV2" s="97"/>
      <c r="RCW2" s="97"/>
      <c r="RCX2" s="97"/>
      <c r="RCY2" s="97"/>
      <c r="RCZ2" s="97"/>
      <c r="RDA2" s="97"/>
      <c r="RDB2" s="97"/>
      <c r="RDC2" s="97"/>
      <c r="RDD2" s="97"/>
      <c r="RDE2" s="97"/>
      <c r="RDF2" s="97"/>
      <c r="RDG2" s="97"/>
      <c r="RDH2" s="97"/>
      <c r="RDI2" s="97"/>
      <c r="RDJ2" s="97"/>
      <c r="RDK2" s="97"/>
      <c r="RDL2" s="97"/>
      <c r="RDM2" s="97"/>
      <c r="RDN2" s="97"/>
      <c r="RDO2" s="97"/>
      <c r="RDP2" s="97"/>
      <c r="RDQ2" s="97"/>
      <c r="RDR2" s="97"/>
      <c r="RDS2" s="97"/>
      <c r="RDT2" s="97"/>
      <c r="RDU2" s="97"/>
      <c r="RDV2" s="97"/>
      <c r="RDW2" s="97"/>
      <c r="RDX2" s="97"/>
      <c r="RDY2" s="97"/>
      <c r="RDZ2" s="97"/>
      <c r="REA2" s="97"/>
      <c r="REB2" s="97"/>
      <c r="REC2" s="97"/>
      <c r="RED2" s="97"/>
      <c r="REE2" s="97"/>
      <c r="REF2" s="97"/>
      <c r="REG2" s="97"/>
      <c r="REH2" s="97"/>
      <c r="REI2" s="97"/>
      <c r="REJ2" s="97"/>
      <c r="REK2" s="97"/>
      <c r="REL2" s="97"/>
      <c r="REM2" s="97"/>
      <c r="REN2" s="97"/>
      <c r="REO2" s="97"/>
      <c r="REP2" s="97"/>
      <c r="REQ2" s="97"/>
      <c r="RER2" s="97"/>
      <c r="RES2" s="97"/>
      <c r="RET2" s="97"/>
      <c r="REU2" s="97"/>
      <c r="REV2" s="97"/>
      <c r="REW2" s="97"/>
      <c r="REX2" s="97"/>
      <c r="REY2" s="97"/>
      <c r="REZ2" s="97"/>
      <c r="RFA2" s="97"/>
      <c r="RFB2" s="97"/>
      <c r="RFC2" s="97"/>
      <c r="RFD2" s="97"/>
      <c r="RFE2" s="97"/>
      <c r="RFF2" s="97"/>
      <c r="RFG2" s="97"/>
      <c r="RFH2" s="97"/>
      <c r="RFI2" s="97"/>
      <c r="RFJ2" s="97"/>
      <c r="RFK2" s="97"/>
      <c r="RFL2" s="97"/>
      <c r="RFM2" s="97"/>
      <c r="RFN2" s="97"/>
      <c r="RFO2" s="97"/>
      <c r="RFP2" s="97"/>
      <c r="RFQ2" s="97"/>
      <c r="RFR2" s="97"/>
      <c r="RFS2" s="97"/>
      <c r="RFT2" s="97"/>
      <c r="RFU2" s="97"/>
      <c r="RFV2" s="97"/>
      <c r="RFW2" s="97"/>
      <c r="RFX2" s="97"/>
      <c r="RFY2" s="97"/>
      <c r="RFZ2" s="97"/>
      <c r="RGA2" s="97"/>
      <c r="RGB2" s="97"/>
      <c r="RGC2" s="97"/>
      <c r="RGD2" s="97"/>
      <c r="RGE2" s="97"/>
      <c r="RGF2" s="97"/>
      <c r="RGG2" s="97"/>
      <c r="RGH2" s="97"/>
      <c r="RGI2" s="97"/>
      <c r="RGJ2" s="97"/>
      <c r="RGK2" s="97"/>
      <c r="RGL2" s="97"/>
      <c r="RGM2" s="97"/>
      <c r="RGN2" s="97"/>
      <c r="RGO2" s="97"/>
      <c r="RGP2" s="97"/>
      <c r="RGQ2" s="97"/>
      <c r="RGR2" s="97"/>
      <c r="RGS2" s="97"/>
      <c r="RGT2" s="97"/>
      <c r="RGU2" s="97"/>
      <c r="RGV2" s="97"/>
      <c r="RGW2" s="97"/>
      <c r="RGX2" s="97"/>
      <c r="RGY2" s="97"/>
      <c r="RGZ2" s="97"/>
      <c r="RHA2" s="97"/>
      <c r="RHB2" s="97"/>
      <c r="RHC2" s="97"/>
      <c r="RHD2" s="97"/>
      <c r="RHE2" s="97"/>
      <c r="RHF2" s="97"/>
      <c r="RHG2" s="97"/>
      <c r="RHH2" s="97"/>
      <c r="RHI2" s="97"/>
      <c r="RHJ2" s="97"/>
      <c r="RHK2" s="97"/>
      <c r="RHL2" s="97"/>
      <c r="RHM2" s="97"/>
      <c r="RHN2" s="97"/>
      <c r="RHO2" s="97"/>
      <c r="RHP2" s="97"/>
      <c r="RHQ2" s="97"/>
      <c r="RHR2" s="97"/>
      <c r="RHS2" s="97"/>
      <c r="RHT2" s="97"/>
      <c r="RHU2" s="97"/>
      <c r="RHV2" s="97"/>
      <c r="RHW2" s="97"/>
      <c r="RHX2" s="97"/>
      <c r="RHY2" s="97"/>
      <c r="RHZ2" s="97"/>
      <c r="RIA2" s="97"/>
      <c r="RIB2" s="97"/>
      <c r="RIC2" s="97"/>
      <c r="RID2" s="97"/>
      <c r="RIE2" s="97"/>
      <c r="RIF2" s="97"/>
      <c r="RIG2" s="97"/>
      <c r="RIH2" s="97"/>
      <c r="RII2" s="97"/>
      <c r="RIJ2" s="97"/>
      <c r="RIK2" s="97"/>
      <c r="RIL2" s="97"/>
      <c r="RIM2" s="97"/>
      <c r="RIN2" s="97"/>
      <c r="RIO2" s="97"/>
      <c r="RIP2" s="97"/>
      <c r="RIQ2" s="97"/>
      <c r="RIR2" s="97"/>
      <c r="RIS2" s="97"/>
      <c r="RIT2" s="97"/>
      <c r="RIU2" s="97"/>
      <c r="RIV2" s="97"/>
      <c r="RIW2" s="97"/>
      <c r="RIX2" s="97"/>
      <c r="RIY2" s="97"/>
      <c r="RIZ2" s="97"/>
      <c r="RJA2" s="97"/>
      <c r="RJB2" s="97"/>
      <c r="RJC2" s="97"/>
      <c r="RJD2" s="97"/>
      <c r="RJE2" s="97"/>
      <c r="RJF2" s="97"/>
      <c r="RJG2" s="97"/>
      <c r="RJH2" s="97"/>
      <c r="RJI2" s="97"/>
      <c r="RJJ2" s="97"/>
      <c r="RJK2" s="97"/>
      <c r="RJL2" s="97"/>
      <c r="RJM2" s="97"/>
      <c r="RJN2" s="97"/>
      <c r="RJO2" s="97"/>
      <c r="RJP2" s="97"/>
      <c r="RJQ2" s="97"/>
      <c r="RJR2" s="97"/>
      <c r="RJS2" s="97"/>
      <c r="RJT2" s="97"/>
      <c r="RJU2" s="97"/>
      <c r="RJV2" s="97"/>
      <c r="RJW2" s="97"/>
      <c r="RJX2" s="97"/>
      <c r="RJY2" s="97"/>
      <c r="RJZ2" s="97"/>
      <c r="RKA2" s="97"/>
      <c r="RKB2" s="97"/>
      <c r="RKC2" s="97"/>
      <c r="RKD2" s="97"/>
      <c r="RKE2" s="97"/>
      <c r="RKF2" s="97"/>
      <c r="RKG2" s="97"/>
      <c r="RKH2" s="97"/>
      <c r="RKI2" s="97"/>
      <c r="RKJ2" s="97"/>
      <c r="RKK2" s="97"/>
      <c r="RKL2" s="97"/>
      <c r="RKM2" s="97"/>
      <c r="RKN2" s="97"/>
      <c r="RKO2" s="97"/>
      <c r="RKP2" s="97"/>
      <c r="RKQ2" s="97"/>
      <c r="RKR2" s="97"/>
      <c r="RKS2" s="97"/>
      <c r="RKT2" s="97"/>
      <c r="RKU2" s="97"/>
      <c r="RKV2" s="97"/>
      <c r="RKW2" s="97"/>
      <c r="RKX2" s="97"/>
      <c r="RKY2" s="97"/>
      <c r="RKZ2" s="97"/>
      <c r="RLA2" s="97"/>
      <c r="RLB2" s="97"/>
      <c r="RLC2" s="97"/>
      <c r="RLD2" s="97"/>
      <c r="RLE2" s="97"/>
      <c r="RLF2" s="97"/>
      <c r="RLG2" s="97"/>
      <c r="RLH2" s="97"/>
      <c r="RLI2" s="97"/>
      <c r="RLJ2" s="97"/>
      <c r="RLK2" s="97"/>
      <c r="RLL2" s="97"/>
      <c r="RLM2" s="97"/>
      <c r="RLN2" s="97"/>
      <c r="RLO2" s="97"/>
      <c r="RLP2" s="97"/>
      <c r="RLQ2" s="97"/>
      <c r="RLR2" s="97"/>
      <c r="RLS2" s="97"/>
      <c r="RLT2" s="97"/>
      <c r="RLU2" s="97"/>
      <c r="RLV2" s="97"/>
      <c r="RLW2" s="97"/>
      <c r="RLX2" s="97"/>
      <c r="RLY2" s="97"/>
      <c r="RLZ2" s="97"/>
      <c r="RMA2" s="97"/>
      <c r="RMB2" s="97"/>
      <c r="RMC2" s="97"/>
      <c r="RMD2" s="97"/>
      <c r="RME2" s="97"/>
      <c r="RMF2" s="97"/>
      <c r="RMG2" s="97"/>
      <c r="RMH2" s="97"/>
      <c r="RMI2" s="97"/>
      <c r="RMJ2" s="97"/>
      <c r="RMK2" s="97"/>
      <c r="RML2" s="97"/>
      <c r="RMM2" s="97"/>
      <c r="RMN2" s="97"/>
      <c r="RMO2" s="97"/>
      <c r="RMP2" s="97"/>
      <c r="RMQ2" s="97"/>
      <c r="RMR2" s="97"/>
      <c r="RMS2" s="97"/>
      <c r="RMT2" s="97"/>
      <c r="RMU2" s="97"/>
      <c r="RMV2" s="97"/>
      <c r="RMW2" s="97"/>
      <c r="RMX2" s="97"/>
      <c r="RMY2" s="97"/>
      <c r="RMZ2" s="97"/>
      <c r="RNA2" s="97"/>
      <c r="RNB2" s="97"/>
      <c r="RNC2" s="97"/>
      <c r="RND2" s="97"/>
      <c r="RNE2" s="97"/>
      <c r="RNF2" s="97"/>
      <c r="RNG2" s="97"/>
      <c r="RNH2" s="97"/>
      <c r="RNI2" s="97"/>
      <c r="RNJ2" s="97"/>
      <c r="RNK2" s="97"/>
      <c r="RNL2" s="97"/>
      <c r="RNM2" s="97"/>
      <c r="RNN2" s="97"/>
      <c r="RNO2" s="97"/>
      <c r="RNP2" s="97"/>
      <c r="RNQ2" s="97"/>
      <c r="RNR2" s="97"/>
      <c r="RNS2" s="97"/>
      <c r="RNT2" s="97"/>
      <c r="RNU2" s="97"/>
      <c r="RNV2" s="97"/>
      <c r="RNW2" s="97"/>
      <c r="RNX2" s="97"/>
      <c r="RNY2" s="97"/>
      <c r="RNZ2" s="97"/>
      <c r="ROA2" s="97"/>
      <c r="ROB2" s="97"/>
      <c r="ROC2" s="97"/>
      <c r="ROD2" s="97"/>
      <c r="ROE2" s="97"/>
      <c r="ROF2" s="97"/>
      <c r="ROG2" s="97"/>
      <c r="ROH2" s="97"/>
      <c r="ROI2" s="97"/>
      <c r="ROJ2" s="97"/>
      <c r="ROK2" s="97"/>
      <c r="ROL2" s="97"/>
      <c r="ROM2" s="97"/>
      <c r="RON2" s="97"/>
      <c r="ROO2" s="97"/>
      <c r="ROP2" s="97"/>
      <c r="ROQ2" s="97"/>
      <c r="ROR2" s="97"/>
      <c r="ROS2" s="97"/>
      <c r="ROT2" s="97"/>
      <c r="ROU2" s="97"/>
      <c r="ROV2" s="97"/>
      <c r="ROW2" s="97"/>
      <c r="ROX2" s="97"/>
      <c r="ROY2" s="97"/>
      <c r="ROZ2" s="97"/>
      <c r="RPA2" s="97"/>
      <c r="RPB2" s="97"/>
      <c r="RPC2" s="97"/>
      <c r="RPD2" s="97"/>
      <c r="RPE2" s="97"/>
      <c r="RPF2" s="97"/>
      <c r="RPG2" s="97"/>
      <c r="RPH2" s="97"/>
      <c r="RPI2" s="97"/>
      <c r="RPJ2" s="97"/>
      <c r="RPK2" s="97"/>
      <c r="RPL2" s="97"/>
      <c r="RPM2" s="97"/>
      <c r="RPN2" s="97"/>
      <c r="RPO2" s="97"/>
      <c r="RPP2" s="97"/>
      <c r="RPQ2" s="97"/>
      <c r="RPR2" s="97"/>
      <c r="RPS2" s="97"/>
      <c r="RPT2" s="97"/>
      <c r="RPU2" s="97"/>
      <c r="RPV2" s="97"/>
      <c r="RPW2" s="97"/>
      <c r="RPX2" s="97"/>
      <c r="RPY2" s="97"/>
      <c r="RPZ2" s="97"/>
      <c r="RQA2" s="97"/>
      <c r="RQB2" s="97"/>
      <c r="RQC2" s="97"/>
      <c r="RQD2" s="97"/>
      <c r="RQE2" s="97"/>
      <c r="RQF2" s="97"/>
      <c r="RQG2" s="97"/>
      <c r="RQH2" s="97"/>
      <c r="RQI2" s="97"/>
      <c r="RQJ2" s="97"/>
      <c r="RQK2" s="97"/>
      <c r="RQL2" s="97"/>
      <c r="RQM2" s="97"/>
      <c r="RQN2" s="97"/>
      <c r="RQO2" s="97"/>
      <c r="RQP2" s="97"/>
      <c r="RQQ2" s="97"/>
      <c r="RQR2" s="97"/>
      <c r="RQS2" s="97"/>
      <c r="RQT2" s="97"/>
      <c r="RQU2" s="97"/>
      <c r="RQV2" s="97"/>
      <c r="RQW2" s="97"/>
      <c r="RQX2" s="97"/>
      <c r="RQY2" s="97"/>
      <c r="RQZ2" s="97"/>
      <c r="RRA2" s="97"/>
      <c r="RRB2" s="97"/>
      <c r="RRC2" s="97"/>
      <c r="RRD2" s="97"/>
      <c r="RRE2" s="97"/>
      <c r="RRF2" s="97"/>
      <c r="RRG2" s="97"/>
      <c r="RRH2" s="97"/>
      <c r="RRI2" s="97"/>
      <c r="RRJ2" s="97"/>
      <c r="RRK2" s="97"/>
      <c r="RRL2" s="97"/>
      <c r="RRM2" s="97"/>
      <c r="RRN2" s="97"/>
      <c r="RRO2" s="97"/>
      <c r="RRP2" s="97"/>
      <c r="RRQ2" s="97"/>
      <c r="RRR2" s="97"/>
      <c r="RRS2" s="97"/>
      <c r="RRT2" s="97"/>
      <c r="RRU2" s="97"/>
      <c r="RRV2" s="97"/>
      <c r="RRW2" s="97"/>
      <c r="RRX2" s="97"/>
      <c r="RRY2" s="97"/>
      <c r="RRZ2" s="97"/>
      <c r="RSA2" s="97"/>
      <c r="RSB2" s="97"/>
      <c r="RSC2" s="97"/>
      <c r="RSD2" s="97"/>
      <c r="RSE2" s="97"/>
      <c r="RSF2" s="97"/>
      <c r="RSG2" s="97"/>
      <c r="RSH2" s="97"/>
      <c r="RSI2" s="97"/>
      <c r="RSJ2" s="97"/>
      <c r="RSK2" s="97"/>
      <c r="RSL2" s="97"/>
      <c r="RSM2" s="97"/>
      <c r="RSN2" s="97"/>
      <c r="RSO2" s="97"/>
      <c r="RSP2" s="97"/>
      <c r="RSQ2" s="97"/>
      <c r="RSR2" s="97"/>
      <c r="RSS2" s="97"/>
      <c r="RST2" s="97"/>
      <c r="RSU2" s="97"/>
      <c r="RSV2" s="97"/>
      <c r="RSW2" s="97"/>
      <c r="RSX2" s="97"/>
      <c r="RSY2" s="97"/>
      <c r="RSZ2" s="97"/>
      <c r="RTA2" s="97"/>
      <c r="RTB2" s="97"/>
      <c r="RTC2" s="97"/>
      <c r="RTD2" s="97"/>
      <c r="RTE2" s="97"/>
      <c r="RTF2" s="97"/>
      <c r="RTG2" s="97"/>
      <c r="RTH2" s="97"/>
      <c r="RTI2" s="97"/>
      <c r="RTJ2" s="97"/>
      <c r="RTK2" s="97"/>
      <c r="RTL2" s="97"/>
      <c r="RTM2" s="97"/>
      <c r="RTN2" s="97"/>
      <c r="RTO2" s="97"/>
      <c r="RTP2" s="97"/>
      <c r="RTQ2" s="97"/>
      <c r="RTR2" s="97"/>
      <c r="RTS2" s="97"/>
      <c r="RTT2" s="97"/>
      <c r="RTU2" s="97"/>
      <c r="RTV2" s="97"/>
      <c r="RTW2" s="97"/>
      <c r="RTX2" s="97"/>
      <c r="RTY2" s="97"/>
      <c r="RTZ2" s="97"/>
      <c r="RUA2" s="97"/>
      <c r="RUB2" s="97"/>
      <c r="RUC2" s="97"/>
      <c r="RUD2" s="97"/>
      <c r="RUE2" s="97"/>
      <c r="RUF2" s="97"/>
      <c r="RUG2" s="97"/>
      <c r="RUH2" s="97"/>
      <c r="RUI2" s="97"/>
      <c r="RUJ2" s="97"/>
      <c r="RUK2" s="97"/>
      <c r="RUL2" s="97"/>
      <c r="RUM2" s="97"/>
      <c r="RUN2" s="97"/>
      <c r="RUO2" s="97"/>
      <c r="RUP2" s="97"/>
      <c r="RUQ2" s="97"/>
      <c r="RUR2" s="97"/>
      <c r="RUS2" s="97"/>
      <c r="RUT2" s="97"/>
      <c r="RUU2" s="97"/>
      <c r="RUV2" s="97"/>
      <c r="RUW2" s="97"/>
      <c r="RUX2" s="97"/>
      <c r="RUY2" s="97"/>
      <c r="RUZ2" s="97"/>
      <c r="RVA2" s="97"/>
      <c r="RVB2" s="97"/>
      <c r="RVC2" s="97"/>
      <c r="RVD2" s="97"/>
      <c r="RVE2" s="97"/>
      <c r="RVF2" s="97"/>
      <c r="RVG2" s="97"/>
      <c r="RVH2" s="97"/>
      <c r="RVI2" s="97"/>
      <c r="RVJ2" s="97"/>
      <c r="RVK2" s="97"/>
      <c r="RVL2" s="97"/>
      <c r="RVM2" s="97"/>
      <c r="RVN2" s="97"/>
      <c r="RVO2" s="97"/>
      <c r="RVP2" s="97"/>
      <c r="RVQ2" s="97"/>
      <c r="RVR2" s="97"/>
      <c r="RVS2" s="97"/>
      <c r="RVT2" s="97"/>
      <c r="RVU2" s="97"/>
      <c r="RVV2" s="97"/>
      <c r="RVW2" s="97"/>
      <c r="RVX2" s="97"/>
      <c r="RVY2" s="97"/>
      <c r="RVZ2" s="97"/>
      <c r="RWA2" s="97"/>
      <c r="RWB2" s="97"/>
      <c r="RWC2" s="97"/>
      <c r="RWD2" s="97"/>
      <c r="RWE2" s="97"/>
      <c r="RWF2" s="97"/>
      <c r="RWG2" s="97"/>
      <c r="RWH2" s="97"/>
      <c r="RWI2" s="97"/>
      <c r="RWJ2" s="97"/>
      <c r="RWK2" s="97"/>
      <c r="RWL2" s="97"/>
      <c r="RWM2" s="97"/>
      <c r="RWN2" s="97"/>
      <c r="RWO2" s="97"/>
      <c r="RWP2" s="97"/>
      <c r="RWQ2" s="97"/>
      <c r="RWR2" s="97"/>
      <c r="RWS2" s="97"/>
      <c r="RWT2" s="97"/>
      <c r="RWU2" s="97"/>
      <c r="RWV2" s="97"/>
      <c r="RWW2" s="97"/>
      <c r="RWX2" s="97"/>
      <c r="RWY2" s="97"/>
      <c r="RWZ2" s="97"/>
      <c r="RXA2" s="97"/>
      <c r="RXB2" s="97"/>
      <c r="RXC2" s="97"/>
      <c r="RXD2" s="97"/>
      <c r="RXE2" s="97"/>
      <c r="RXF2" s="97"/>
      <c r="RXG2" s="97"/>
      <c r="RXH2" s="97"/>
      <c r="RXI2" s="97"/>
      <c r="RXJ2" s="97"/>
      <c r="RXK2" s="97"/>
      <c r="RXL2" s="97"/>
      <c r="RXM2" s="97"/>
      <c r="RXN2" s="97"/>
      <c r="RXO2" s="97"/>
      <c r="RXP2" s="97"/>
      <c r="RXQ2" s="97"/>
      <c r="RXR2" s="97"/>
      <c r="RXS2" s="97"/>
      <c r="RXT2" s="97"/>
      <c r="RXU2" s="97"/>
      <c r="RXV2" s="97"/>
      <c r="RXW2" s="97"/>
      <c r="RXX2" s="97"/>
      <c r="RXY2" s="97"/>
      <c r="RXZ2" s="97"/>
      <c r="RYA2" s="97"/>
      <c r="RYB2" s="97"/>
      <c r="RYC2" s="97"/>
      <c r="RYD2" s="97"/>
      <c r="RYE2" s="97"/>
      <c r="RYF2" s="97"/>
      <c r="RYG2" s="97"/>
      <c r="RYH2" s="97"/>
      <c r="RYI2" s="97"/>
      <c r="RYJ2" s="97"/>
      <c r="RYK2" s="97"/>
      <c r="RYL2" s="97"/>
      <c r="RYM2" s="97"/>
      <c r="RYN2" s="97"/>
      <c r="RYO2" s="97"/>
      <c r="RYP2" s="97"/>
      <c r="RYQ2" s="97"/>
      <c r="RYR2" s="97"/>
      <c r="RYS2" s="97"/>
      <c r="RYT2" s="97"/>
      <c r="RYU2" s="97"/>
      <c r="RYV2" s="97"/>
      <c r="RYW2" s="97"/>
      <c r="RYX2" s="97"/>
      <c r="RYY2" s="97"/>
      <c r="RYZ2" s="97"/>
      <c r="RZA2" s="97"/>
      <c r="RZB2" s="97"/>
      <c r="RZC2" s="97"/>
      <c r="RZD2" s="97"/>
      <c r="RZE2" s="97"/>
      <c r="RZF2" s="97"/>
      <c r="RZG2" s="97"/>
      <c r="RZH2" s="97"/>
      <c r="RZI2" s="97"/>
      <c r="RZJ2" s="97"/>
      <c r="RZK2" s="97"/>
      <c r="RZL2" s="97"/>
      <c r="RZM2" s="97"/>
      <c r="RZN2" s="97"/>
      <c r="RZO2" s="97"/>
      <c r="RZP2" s="97"/>
      <c r="RZQ2" s="97"/>
      <c r="RZR2" s="97"/>
      <c r="RZS2" s="97"/>
      <c r="RZT2" s="97"/>
      <c r="RZU2" s="97"/>
      <c r="RZV2" s="97"/>
      <c r="RZW2" s="97"/>
      <c r="RZX2" s="97"/>
      <c r="RZY2" s="97"/>
      <c r="RZZ2" s="97"/>
      <c r="SAA2" s="97"/>
      <c r="SAB2" s="97"/>
      <c r="SAC2" s="97"/>
      <c r="SAD2" s="97"/>
      <c r="SAE2" s="97"/>
      <c r="SAF2" s="97"/>
      <c r="SAG2" s="97"/>
      <c r="SAH2" s="97"/>
      <c r="SAI2" s="97"/>
      <c r="SAJ2" s="97"/>
      <c r="SAK2" s="97"/>
      <c r="SAL2" s="97"/>
      <c r="SAM2" s="97"/>
      <c r="SAN2" s="97"/>
      <c r="SAO2" s="97"/>
      <c r="SAP2" s="97"/>
      <c r="SAQ2" s="97"/>
      <c r="SAR2" s="97"/>
      <c r="SAS2" s="97"/>
      <c r="SAT2" s="97"/>
      <c r="SAU2" s="97"/>
      <c r="SAV2" s="97"/>
      <c r="SAW2" s="97"/>
      <c r="SAX2" s="97"/>
      <c r="SAY2" s="97"/>
      <c r="SAZ2" s="97"/>
      <c r="SBA2" s="97"/>
      <c r="SBB2" s="97"/>
      <c r="SBC2" s="97"/>
      <c r="SBD2" s="97"/>
      <c r="SBE2" s="97"/>
      <c r="SBF2" s="97"/>
      <c r="SBG2" s="97"/>
      <c r="SBH2" s="97"/>
      <c r="SBI2" s="97"/>
      <c r="SBJ2" s="97"/>
      <c r="SBK2" s="97"/>
      <c r="SBL2" s="97"/>
      <c r="SBM2" s="97"/>
      <c r="SBN2" s="97"/>
      <c r="SBO2" s="97"/>
      <c r="SBP2" s="97"/>
      <c r="SBQ2" s="97"/>
      <c r="SBR2" s="97"/>
      <c r="SBS2" s="97"/>
      <c r="SBT2" s="97"/>
      <c r="SBU2" s="97"/>
      <c r="SBV2" s="97"/>
      <c r="SBW2" s="97"/>
      <c r="SBX2" s="97"/>
      <c r="SBY2" s="97"/>
      <c r="SBZ2" s="97"/>
      <c r="SCA2" s="97"/>
      <c r="SCB2" s="97"/>
      <c r="SCC2" s="97"/>
      <c r="SCD2" s="97"/>
      <c r="SCE2" s="97"/>
      <c r="SCF2" s="97"/>
      <c r="SCG2" s="97"/>
      <c r="SCH2" s="97"/>
      <c r="SCI2" s="97"/>
      <c r="SCJ2" s="97"/>
      <c r="SCK2" s="97"/>
      <c r="SCL2" s="97"/>
      <c r="SCM2" s="97"/>
      <c r="SCN2" s="97"/>
      <c r="SCO2" s="97"/>
      <c r="SCP2" s="97"/>
      <c r="SCQ2" s="97"/>
      <c r="SCR2" s="97"/>
      <c r="SCS2" s="97"/>
      <c r="SCT2" s="97"/>
      <c r="SCU2" s="97"/>
      <c r="SCV2" s="97"/>
      <c r="SCW2" s="97"/>
      <c r="SCX2" s="97"/>
      <c r="SCY2" s="97"/>
      <c r="SCZ2" s="97"/>
      <c r="SDA2" s="97"/>
      <c r="SDB2" s="97"/>
      <c r="SDC2" s="97"/>
      <c r="SDD2" s="97"/>
      <c r="SDE2" s="97"/>
      <c r="SDF2" s="97"/>
      <c r="SDG2" s="97"/>
      <c r="SDH2" s="97"/>
      <c r="SDI2" s="97"/>
      <c r="SDJ2" s="97"/>
      <c r="SDK2" s="97"/>
      <c r="SDL2" s="97"/>
      <c r="SDM2" s="97"/>
      <c r="SDN2" s="97"/>
      <c r="SDO2" s="97"/>
      <c r="SDP2" s="97"/>
      <c r="SDQ2" s="97"/>
      <c r="SDR2" s="97"/>
      <c r="SDS2" s="97"/>
      <c r="SDT2" s="97"/>
      <c r="SDU2" s="97"/>
      <c r="SDV2" s="97"/>
      <c r="SDW2" s="97"/>
      <c r="SDX2" s="97"/>
      <c r="SDY2" s="97"/>
      <c r="SDZ2" s="97"/>
      <c r="SEA2" s="97"/>
      <c r="SEB2" s="97"/>
      <c r="SEC2" s="97"/>
      <c r="SED2" s="97"/>
      <c r="SEE2" s="97"/>
      <c r="SEF2" s="97"/>
      <c r="SEG2" s="97"/>
      <c r="SEH2" s="97"/>
      <c r="SEI2" s="97"/>
      <c r="SEJ2" s="97"/>
      <c r="SEK2" s="97"/>
      <c r="SEL2" s="97"/>
      <c r="SEM2" s="97"/>
      <c r="SEN2" s="97"/>
      <c r="SEO2" s="97"/>
      <c r="SEP2" s="97"/>
      <c r="SEQ2" s="97"/>
      <c r="SER2" s="97"/>
      <c r="SES2" s="97"/>
      <c r="SET2" s="97"/>
      <c r="SEU2" s="97"/>
      <c r="SEV2" s="97"/>
      <c r="SEW2" s="97"/>
      <c r="SEX2" s="97"/>
      <c r="SEY2" s="97"/>
      <c r="SEZ2" s="97"/>
      <c r="SFA2" s="97"/>
      <c r="SFB2" s="97"/>
      <c r="SFC2" s="97"/>
      <c r="SFD2" s="97"/>
      <c r="SFE2" s="97"/>
      <c r="SFF2" s="97"/>
      <c r="SFG2" s="97"/>
      <c r="SFH2" s="97"/>
      <c r="SFI2" s="97"/>
      <c r="SFJ2" s="97"/>
      <c r="SFK2" s="97"/>
      <c r="SFL2" s="97"/>
      <c r="SFM2" s="97"/>
      <c r="SFN2" s="97"/>
      <c r="SFO2" s="97"/>
      <c r="SFP2" s="97"/>
      <c r="SFQ2" s="97"/>
      <c r="SFR2" s="97"/>
      <c r="SFS2" s="97"/>
      <c r="SFT2" s="97"/>
      <c r="SFU2" s="97"/>
      <c r="SFV2" s="97"/>
      <c r="SFW2" s="97"/>
      <c r="SFX2" s="97"/>
      <c r="SFY2" s="97"/>
      <c r="SFZ2" s="97"/>
      <c r="SGA2" s="97"/>
      <c r="SGB2" s="97"/>
      <c r="SGC2" s="97"/>
      <c r="SGD2" s="97"/>
      <c r="SGE2" s="97"/>
      <c r="SGF2" s="97"/>
      <c r="SGG2" s="97"/>
      <c r="SGH2" s="97"/>
      <c r="SGI2" s="97"/>
      <c r="SGJ2" s="97"/>
      <c r="SGK2" s="97"/>
      <c r="SGL2" s="97"/>
      <c r="SGM2" s="97"/>
      <c r="SGN2" s="97"/>
      <c r="SGO2" s="97"/>
      <c r="SGP2" s="97"/>
      <c r="SGQ2" s="97"/>
      <c r="SGR2" s="97"/>
      <c r="SGS2" s="97"/>
      <c r="SGT2" s="97"/>
      <c r="SGU2" s="97"/>
      <c r="SGV2" s="97"/>
      <c r="SGW2" s="97"/>
      <c r="SGX2" s="97"/>
      <c r="SGY2" s="97"/>
      <c r="SGZ2" s="97"/>
      <c r="SHA2" s="97"/>
      <c r="SHB2" s="97"/>
      <c r="SHC2" s="97"/>
      <c r="SHD2" s="97"/>
      <c r="SHE2" s="97"/>
      <c r="SHF2" s="97"/>
      <c r="SHG2" s="97"/>
      <c r="SHH2" s="97"/>
      <c r="SHI2" s="97"/>
      <c r="SHJ2" s="97"/>
      <c r="SHK2" s="97"/>
      <c r="SHL2" s="97"/>
      <c r="SHM2" s="97"/>
      <c r="SHN2" s="97"/>
      <c r="SHO2" s="97"/>
      <c r="SHP2" s="97"/>
      <c r="SHQ2" s="97"/>
      <c r="SHR2" s="97"/>
      <c r="SHS2" s="97"/>
      <c r="SHT2" s="97"/>
      <c r="SHU2" s="97"/>
      <c r="SHV2" s="97"/>
      <c r="SHW2" s="97"/>
      <c r="SHX2" s="97"/>
      <c r="SHY2" s="97"/>
      <c r="SHZ2" s="97"/>
      <c r="SIA2" s="97"/>
      <c r="SIB2" s="97"/>
      <c r="SIC2" s="97"/>
      <c r="SID2" s="97"/>
      <c r="SIE2" s="97"/>
      <c r="SIF2" s="97"/>
      <c r="SIG2" s="97"/>
      <c r="SIH2" s="97"/>
      <c r="SII2" s="97"/>
      <c r="SIJ2" s="97"/>
      <c r="SIK2" s="97"/>
      <c r="SIL2" s="97"/>
      <c r="SIM2" s="97"/>
      <c r="SIN2" s="97"/>
      <c r="SIO2" s="97"/>
      <c r="SIP2" s="97"/>
      <c r="SIQ2" s="97"/>
      <c r="SIR2" s="97"/>
      <c r="SIS2" s="97"/>
      <c r="SIT2" s="97"/>
      <c r="SIU2" s="97"/>
      <c r="SIV2" s="97"/>
      <c r="SIW2" s="97"/>
      <c r="SIX2" s="97"/>
      <c r="SIY2" s="97"/>
      <c r="SIZ2" s="97"/>
      <c r="SJA2" s="97"/>
      <c r="SJB2" s="97"/>
      <c r="SJC2" s="97"/>
      <c r="SJD2" s="97"/>
      <c r="SJE2" s="97"/>
      <c r="SJF2" s="97"/>
      <c r="SJG2" s="97"/>
      <c r="SJH2" s="97"/>
      <c r="SJI2" s="97"/>
      <c r="SJJ2" s="97"/>
      <c r="SJK2" s="97"/>
      <c r="SJL2" s="97"/>
      <c r="SJM2" s="97"/>
      <c r="SJN2" s="97"/>
      <c r="SJO2" s="97"/>
      <c r="SJP2" s="97"/>
      <c r="SJQ2" s="97"/>
      <c r="SJR2" s="97"/>
      <c r="SJS2" s="97"/>
      <c r="SJT2" s="97"/>
      <c r="SJU2" s="97"/>
      <c r="SJV2" s="97"/>
      <c r="SJW2" s="97"/>
      <c r="SJX2" s="97"/>
      <c r="SJY2" s="97"/>
      <c r="SJZ2" s="97"/>
      <c r="SKA2" s="97"/>
      <c r="SKB2" s="97"/>
      <c r="SKC2" s="97"/>
      <c r="SKD2" s="97"/>
      <c r="SKE2" s="97"/>
      <c r="SKF2" s="97"/>
      <c r="SKG2" s="97"/>
      <c r="SKH2" s="97"/>
      <c r="SKI2" s="97"/>
      <c r="SKJ2" s="97"/>
      <c r="SKK2" s="97"/>
      <c r="SKL2" s="97"/>
      <c r="SKM2" s="97"/>
      <c r="SKN2" s="97"/>
      <c r="SKO2" s="97"/>
      <c r="SKP2" s="97"/>
      <c r="SKQ2" s="97"/>
      <c r="SKR2" s="97"/>
      <c r="SKS2" s="97"/>
      <c r="SKT2" s="97"/>
      <c r="SKU2" s="97"/>
      <c r="SKV2" s="97"/>
      <c r="SKW2" s="97"/>
      <c r="SKX2" s="97"/>
      <c r="SKY2" s="97"/>
      <c r="SKZ2" s="97"/>
      <c r="SLA2" s="97"/>
      <c r="SLB2" s="97"/>
      <c r="SLC2" s="97"/>
      <c r="SLD2" s="97"/>
      <c r="SLE2" s="97"/>
      <c r="SLF2" s="97"/>
      <c r="SLG2" s="97"/>
      <c r="SLH2" s="97"/>
      <c r="SLI2" s="97"/>
      <c r="SLJ2" s="97"/>
      <c r="SLK2" s="97"/>
      <c r="SLL2" s="97"/>
      <c r="SLM2" s="97"/>
      <c r="SLN2" s="97"/>
      <c r="SLO2" s="97"/>
      <c r="SLP2" s="97"/>
      <c r="SLQ2" s="97"/>
      <c r="SLR2" s="97"/>
      <c r="SLS2" s="97"/>
      <c r="SLT2" s="97"/>
      <c r="SLU2" s="97"/>
      <c r="SLV2" s="97"/>
      <c r="SLW2" s="97"/>
      <c r="SLX2" s="97"/>
      <c r="SLY2" s="97"/>
      <c r="SLZ2" s="97"/>
      <c r="SMA2" s="97"/>
      <c r="SMB2" s="97"/>
      <c r="SMC2" s="97"/>
      <c r="SMD2" s="97"/>
      <c r="SME2" s="97"/>
      <c r="SMF2" s="97"/>
      <c r="SMG2" s="97"/>
      <c r="SMH2" s="97"/>
      <c r="SMI2" s="97"/>
      <c r="SMJ2" s="97"/>
      <c r="SMK2" s="97"/>
      <c r="SML2" s="97"/>
      <c r="SMM2" s="97"/>
      <c r="SMN2" s="97"/>
      <c r="SMO2" s="97"/>
      <c r="SMP2" s="97"/>
      <c r="SMQ2" s="97"/>
      <c r="SMR2" s="97"/>
      <c r="SMS2" s="97"/>
      <c r="SMT2" s="97"/>
      <c r="SMU2" s="97"/>
      <c r="SMV2" s="97"/>
      <c r="SMW2" s="97"/>
      <c r="SMX2" s="97"/>
      <c r="SMY2" s="97"/>
      <c r="SMZ2" s="97"/>
      <c r="SNA2" s="97"/>
      <c r="SNB2" s="97"/>
      <c r="SNC2" s="97"/>
      <c r="SND2" s="97"/>
      <c r="SNE2" s="97"/>
      <c r="SNF2" s="97"/>
      <c r="SNG2" s="97"/>
      <c r="SNH2" s="97"/>
      <c r="SNI2" s="97"/>
      <c r="SNJ2" s="97"/>
      <c r="SNK2" s="97"/>
      <c r="SNL2" s="97"/>
      <c r="SNM2" s="97"/>
      <c r="SNN2" s="97"/>
      <c r="SNO2" s="97"/>
      <c r="SNP2" s="97"/>
      <c r="SNQ2" s="97"/>
      <c r="SNR2" s="97"/>
      <c r="SNS2" s="97"/>
      <c r="SNT2" s="97"/>
      <c r="SNU2" s="97"/>
      <c r="SNV2" s="97"/>
      <c r="SNW2" s="97"/>
      <c r="SNX2" s="97"/>
      <c r="SNY2" s="97"/>
      <c r="SNZ2" s="97"/>
      <c r="SOA2" s="97"/>
      <c r="SOB2" s="97"/>
      <c r="SOC2" s="97"/>
      <c r="SOD2" s="97"/>
      <c r="SOE2" s="97"/>
      <c r="SOF2" s="97"/>
      <c r="SOG2" s="97"/>
      <c r="SOH2" s="97"/>
      <c r="SOI2" s="97"/>
      <c r="SOJ2" s="97"/>
      <c r="SOK2" s="97"/>
      <c r="SOL2" s="97"/>
      <c r="SOM2" s="97"/>
      <c r="SON2" s="97"/>
      <c r="SOO2" s="97"/>
      <c r="SOP2" s="97"/>
      <c r="SOQ2" s="97"/>
      <c r="SOR2" s="97"/>
      <c r="SOS2" s="97"/>
      <c r="SOT2" s="97"/>
      <c r="SOU2" s="97"/>
      <c r="SOV2" s="97"/>
      <c r="SOW2" s="97"/>
      <c r="SOX2" s="97"/>
      <c r="SOY2" s="97"/>
      <c r="SOZ2" s="97"/>
      <c r="SPA2" s="97"/>
      <c r="SPB2" s="97"/>
      <c r="SPC2" s="97"/>
      <c r="SPD2" s="97"/>
      <c r="SPE2" s="97"/>
      <c r="SPF2" s="97"/>
      <c r="SPG2" s="97"/>
      <c r="SPH2" s="97"/>
      <c r="SPI2" s="97"/>
      <c r="SPJ2" s="97"/>
      <c r="SPK2" s="97"/>
      <c r="SPL2" s="97"/>
      <c r="SPM2" s="97"/>
      <c r="SPN2" s="97"/>
      <c r="SPO2" s="97"/>
      <c r="SPP2" s="97"/>
      <c r="SPQ2" s="97"/>
      <c r="SPR2" s="97"/>
      <c r="SPS2" s="97"/>
      <c r="SPT2" s="97"/>
      <c r="SPU2" s="97"/>
      <c r="SPV2" s="97"/>
      <c r="SPW2" s="97"/>
      <c r="SPX2" s="97"/>
      <c r="SPY2" s="97"/>
      <c r="SPZ2" s="97"/>
      <c r="SQA2" s="97"/>
      <c r="SQB2" s="97"/>
      <c r="SQC2" s="97"/>
      <c r="SQD2" s="97"/>
      <c r="SQE2" s="97"/>
      <c r="SQF2" s="97"/>
      <c r="SQG2" s="97"/>
      <c r="SQH2" s="97"/>
      <c r="SQI2" s="97"/>
      <c r="SQJ2" s="97"/>
      <c r="SQK2" s="97"/>
      <c r="SQL2" s="97"/>
      <c r="SQM2" s="97"/>
      <c r="SQN2" s="97"/>
      <c r="SQO2" s="97"/>
      <c r="SQP2" s="97"/>
      <c r="SQQ2" s="97"/>
      <c r="SQR2" s="97"/>
      <c r="SQS2" s="97"/>
      <c r="SQT2" s="97"/>
      <c r="SQU2" s="97"/>
      <c r="SQV2" s="97"/>
      <c r="SQW2" s="97"/>
      <c r="SQX2" s="97"/>
      <c r="SQY2" s="97"/>
      <c r="SQZ2" s="97"/>
      <c r="SRA2" s="97"/>
      <c r="SRB2" s="97"/>
      <c r="SRC2" s="97"/>
      <c r="SRD2" s="97"/>
      <c r="SRE2" s="97"/>
      <c r="SRF2" s="97"/>
      <c r="SRG2" s="97"/>
      <c r="SRH2" s="97"/>
      <c r="SRI2" s="97"/>
      <c r="SRJ2" s="97"/>
      <c r="SRK2" s="97"/>
      <c r="SRL2" s="97"/>
      <c r="SRM2" s="97"/>
      <c r="SRN2" s="97"/>
      <c r="SRO2" s="97"/>
      <c r="SRP2" s="97"/>
      <c r="SRQ2" s="97"/>
      <c r="SRR2" s="97"/>
      <c r="SRS2" s="97"/>
      <c r="SRT2" s="97"/>
      <c r="SRU2" s="97"/>
      <c r="SRV2" s="97"/>
      <c r="SRW2" s="97"/>
      <c r="SRX2" s="97"/>
      <c r="SRY2" s="97"/>
      <c r="SRZ2" s="97"/>
      <c r="SSA2" s="97"/>
      <c r="SSB2" s="97"/>
      <c r="SSC2" s="97"/>
      <c r="SSD2" s="97"/>
      <c r="SSE2" s="97"/>
      <c r="SSF2" s="97"/>
      <c r="SSG2" s="97"/>
      <c r="SSH2" s="97"/>
      <c r="SSI2" s="97"/>
      <c r="SSJ2" s="97"/>
      <c r="SSK2" s="97"/>
      <c r="SSL2" s="97"/>
      <c r="SSM2" s="97"/>
      <c r="SSN2" s="97"/>
      <c r="SSO2" s="97"/>
      <c r="SSP2" s="97"/>
      <c r="SSQ2" s="97"/>
      <c r="SSR2" s="97"/>
      <c r="SSS2" s="97"/>
      <c r="SST2" s="97"/>
      <c r="SSU2" s="97"/>
      <c r="SSV2" s="97"/>
      <c r="SSW2" s="97"/>
      <c r="SSX2" s="97"/>
      <c r="SSY2" s="97"/>
      <c r="SSZ2" s="97"/>
      <c r="STA2" s="97"/>
      <c r="STB2" s="97"/>
      <c r="STC2" s="97"/>
      <c r="STD2" s="97"/>
      <c r="STE2" s="97"/>
      <c r="STF2" s="97"/>
      <c r="STG2" s="97"/>
      <c r="STH2" s="97"/>
      <c r="STI2" s="97"/>
      <c r="STJ2" s="97"/>
      <c r="STK2" s="97"/>
      <c r="STL2" s="97"/>
      <c r="STM2" s="97"/>
      <c r="STN2" s="97"/>
      <c r="STO2" s="97"/>
      <c r="STP2" s="97"/>
      <c r="STQ2" s="97"/>
      <c r="STR2" s="97"/>
      <c r="STS2" s="97"/>
      <c r="STT2" s="97"/>
      <c r="STU2" s="97"/>
      <c r="STV2" s="97"/>
      <c r="STW2" s="97"/>
      <c r="STX2" s="97"/>
      <c r="STY2" s="97"/>
      <c r="STZ2" s="97"/>
      <c r="SUA2" s="97"/>
      <c r="SUB2" s="97"/>
      <c r="SUC2" s="97"/>
      <c r="SUD2" s="97"/>
      <c r="SUE2" s="97"/>
      <c r="SUF2" s="97"/>
      <c r="SUG2" s="97"/>
      <c r="SUH2" s="97"/>
      <c r="SUI2" s="97"/>
      <c r="SUJ2" s="97"/>
      <c r="SUK2" s="97"/>
      <c r="SUL2" s="97"/>
      <c r="SUM2" s="97"/>
      <c r="SUN2" s="97"/>
      <c r="SUO2" s="97"/>
      <c r="SUP2" s="97"/>
      <c r="SUQ2" s="97"/>
      <c r="SUR2" s="97"/>
      <c r="SUS2" s="97"/>
      <c r="SUT2" s="97"/>
      <c r="SUU2" s="97"/>
      <c r="SUV2" s="97"/>
      <c r="SUW2" s="97"/>
      <c r="SUX2" s="97"/>
      <c r="SUY2" s="97"/>
      <c r="SUZ2" s="97"/>
      <c r="SVA2" s="97"/>
      <c r="SVB2" s="97"/>
      <c r="SVC2" s="97"/>
      <c r="SVD2" s="97"/>
      <c r="SVE2" s="97"/>
      <c r="SVF2" s="97"/>
      <c r="SVG2" s="97"/>
      <c r="SVH2" s="97"/>
      <c r="SVI2" s="97"/>
      <c r="SVJ2" s="97"/>
      <c r="SVK2" s="97"/>
      <c r="SVL2" s="97"/>
      <c r="SVM2" s="97"/>
      <c r="SVN2" s="97"/>
      <c r="SVO2" s="97"/>
      <c r="SVP2" s="97"/>
      <c r="SVQ2" s="97"/>
      <c r="SVR2" s="97"/>
      <c r="SVS2" s="97"/>
      <c r="SVT2" s="97"/>
      <c r="SVU2" s="97"/>
      <c r="SVV2" s="97"/>
      <c r="SVW2" s="97"/>
      <c r="SVX2" s="97"/>
      <c r="SVY2" s="97"/>
      <c r="SVZ2" s="97"/>
      <c r="SWA2" s="97"/>
      <c r="SWB2" s="97"/>
      <c r="SWC2" s="97"/>
      <c r="SWD2" s="97"/>
      <c r="SWE2" s="97"/>
      <c r="SWF2" s="97"/>
      <c r="SWG2" s="97"/>
      <c r="SWH2" s="97"/>
      <c r="SWI2" s="97"/>
      <c r="SWJ2" s="97"/>
      <c r="SWK2" s="97"/>
      <c r="SWL2" s="97"/>
      <c r="SWM2" s="97"/>
      <c r="SWN2" s="97"/>
      <c r="SWO2" s="97"/>
      <c r="SWP2" s="97"/>
      <c r="SWQ2" s="97"/>
      <c r="SWR2" s="97"/>
      <c r="SWS2" s="97"/>
      <c r="SWT2" s="97"/>
      <c r="SWU2" s="97"/>
      <c r="SWV2" s="97"/>
      <c r="SWW2" s="97"/>
      <c r="SWX2" s="97"/>
      <c r="SWY2" s="97"/>
      <c r="SWZ2" s="97"/>
      <c r="SXA2" s="97"/>
      <c r="SXB2" s="97"/>
      <c r="SXC2" s="97"/>
      <c r="SXD2" s="97"/>
      <c r="SXE2" s="97"/>
      <c r="SXF2" s="97"/>
      <c r="SXG2" s="97"/>
      <c r="SXH2" s="97"/>
      <c r="SXI2" s="97"/>
      <c r="SXJ2" s="97"/>
      <c r="SXK2" s="97"/>
      <c r="SXL2" s="97"/>
      <c r="SXM2" s="97"/>
      <c r="SXN2" s="97"/>
      <c r="SXO2" s="97"/>
      <c r="SXP2" s="97"/>
      <c r="SXQ2" s="97"/>
      <c r="SXR2" s="97"/>
      <c r="SXS2" s="97"/>
      <c r="SXT2" s="97"/>
      <c r="SXU2" s="97"/>
      <c r="SXV2" s="97"/>
      <c r="SXW2" s="97"/>
      <c r="SXX2" s="97"/>
      <c r="SXY2" s="97"/>
      <c r="SXZ2" s="97"/>
      <c r="SYA2" s="97"/>
      <c r="SYB2" s="97"/>
      <c r="SYC2" s="97"/>
      <c r="SYD2" s="97"/>
      <c r="SYE2" s="97"/>
      <c r="SYF2" s="97"/>
      <c r="SYG2" s="97"/>
      <c r="SYH2" s="97"/>
      <c r="SYI2" s="97"/>
      <c r="SYJ2" s="97"/>
      <c r="SYK2" s="97"/>
      <c r="SYL2" s="97"/>
      <c r="SYM2" s="97"/>
      <c r="SYN2" s="97"/>
      <c r="SYO2" s="97"/>
      <c r="SYP2" s="97"/>
      <c r="SYQ2" s="97"/>
      <c r="SYR2" s="97"/>
      <c r="SYS2" s="97"/>
      <c r="SYT2" s="97"/>
      <c r="SYU2" s="97"/>
      <c r="SYV2" s="97"/>
      <c r="SYW2" s="97"/>
      <c r="SYX2" s="97"/>
      <c r="SYY2" s="97"/>
      <c r="SYZ2" s="97"/>
      <c r="SZA2" s="97"/>
      <c r="SZB2" s="97"/>
      <c r="SZC2" s="97"/>
      <c r="SZD2" s="97"/>
      <c r="SZE2" s="97"/>
      <c r="SZF2" s="97"/>
      <c r="SZG2" s="97"/>
      <c r="SZH2" s="97"/>
      <c r="SZI2" s="97"/>
      <c r="SZJ2" s="97"/>
      <c r="SZK2" s="97"/>
      <c r="SZL2" s="97"/>
      <c r="SZM2" s="97"/>
      <c r="SZN2" s="97"/>
      <c r="SZO2" s="97"/>
      <c r="SZP2" s="97"/>
      <c r="SZQ2" s="97"/>
      <c r="SZR2" s="97"/>
      <c r="SZS2" s="97"/>
      <c r="SZT2" s="97"/>
      <c r="SZU2" s="97"/>
      <c r="SZV2" s="97"/>
      <c r="SZW2" s="97"/>
      <c r="SZX2" s="97"/>
      <c r="SZY2" s="97"/>
      <c r="SZZ2" s="97"/>
      <c r="TAA2" s="97"/>
      <c r="TAB2" s="97"/>
      <c r="TAC2" s="97"/>
      <c r="TAD2" s="97"/>
      <c r="TAE2" s="97"/>
      <c r="TAF2" s="97"/>
      <c r="TAG2" s="97"/>
      <c r="TAH2" s="97"/>
      <c r="TAI2" s="97"/>
      <c r="TAJ2" s="97"/>
      <c r="TAK2" s="97"/>
      <c r="TAL2" s="97"/>
      <c r="TAM2" s="97"/>
      <c r="TAN2" s="97"/>
      <c r="TAO2" s="97"/>
      <c r="TAP2" s="97"/>
      <c r="TAQ2" s="97"/>
      <c r="TAR2" s="97"/>
      <c r="TAS2" s="97"/>
      <c r="TAT2" s="97"/>
      <c r="TAU2" s="97"/>
      <c r="TAV2" s="97"/>
      <c r="TAW2" s="97"/>
      <c r="TAX2" s="97"/>
      <c r="TAY2" s="97"/>
      <c r="TAZ2" s="97"/>
      <c r="TBA2" s="97"/>
      <c r="TBB2" s="97"/>
      <c r="TBC2" s="97"/>
      <c r="TBD2" s="97"/>
      <c r="TBE2" s="97"/>
      <c r="TBF2" s="97"/>
      <c r="TBG2" s="97"/>
      <c r="TBH2" s="97"/>
      <c r="TBI2" s="97"/>
      <c r="TBJ2" s="97"/>
      <c r="TBK2" s="97"/>
      <c r="TBL2" s="97"/>
      <c r="TBM2" s="97"/>
      <c r="TBN2" s="97"/>
      <c r="TBO2" s="97"/>
      <c r="TBP2" s="97"/>
      <c r="TBQ2" s="97"/>
      <c r="TBR2" s="97"/>
      <c r="TBS2" s="97"/>
      <c r="TBT2" s="97"/>
      <c r="TBU2" s="97"/>
      <c r="TBV2" s="97"/>
      <c r="TBW2" s="97"/>
      <c r="TBX2" s="97"/>
      <c r="TBY2" s="97"/>
      <c r="TBZ2" s="97"/>
      <c r="TCA2" s="97"/>
      <c r="TCB2" s="97"/>
      <c r="TCC2" s="97"/>
      <c r="TCD2" s="97"/>
      <c r="TCE2" s="97"/>
      <c r="TCF2" s="97"/>
      <c r="TCG2" s="97"/>
      <c r="TCH2" s="97"/>
      <c r="TCI2" s="97"/>
      <c r="TCJ2" s="97"/>
      <c r="TCK2" s="97"/>
      <c r="TCL2" s="97"/>
      <c r="TCM2" s="97"/>
      <c r="TCN2" s="97"/>
      <c r="TCO2" s="97"/>
      <c r="TCP2" s="97"/>
      <c r="TCQ2" s="97"/>
      <c r="TCR2" s="97"/>
      <c r="TCS2" s="97"/>
      <c r="TCT2" s="97"/>
      <c r="TCU2" s="97"/>
      <c r="TCV2" s="97"/>
      <c r="TCW2" s="97"/>
      <c r="TCX2" s="97"/>
      <c r="TCY2" s="97"/>
      <c r="TCZ2" s="97"/>
      <c r="TDA2" s="97"/>
      <c r="TDB2" s="97"/>
      <c r="TDC2" s="97"/>
      <c r="TDD2" s="97"/>
      <c r="TDE2" s="97"/>
      <c r="TDF2" s="97"/>
      <c r="TDG2" s="97"/>
      <c r="TDH2" s="97"/>
      <c r="TDI2" s="97"/>
      <c r="TDJ2" s="97"/>
      <c r="TDK2" s="97"/>
      <c r="TDL2" s="97"/>
      <c r="TDM2" s="97"/>
      <c r="TDN2" s="97"/>
      <c r="TDO2" s="97"/>
      <c r="TDP2" s="97"/>
      <c r="TDQ2" s="97"/>
      <c r="TDR2" s="97"/>
      <c r="TDS2" s="97"/>
      <c r="TDT2" s="97"/>
      <c r="TDU2" s="97"/>
      <c r="TDV2" s="97"/>
      <c r="TDW2" s="97"/>
      <c r="TDX2" s="97"/>
      <c r="TDY2" s="97"/>
      <c r="TDZ2" s="97"/>
      <c r="TEA2" s="97"/>
      <c r="TEB2" s="97"/>
      <c r="TEC2" s="97"/>
      <c r="TED2" s="97"/>
      <c r="TEE2" s="97"/>
      <c r="TEF2" s="97"/>
      <c r="TEG2" s="97"/>
      <c r="TEH2" s="97"/>
      <c r="TEI2" s="97"/>
      <c r="TEJ2" s="97"/>
      <c r="TEK2" s="97"/>
      <c r="TEL2" s="97"/>
      <c r="TEM2" s="97"/>
      <c r="TEN2" s="97"/>
      <c r="TEO2" s="97"/>
      <c r="TEP2" s="97"/>
      <c r="TEQ2" s="97"/>
      <c r="TER2" s="97"/>
      <c r="TES2" s="97"/>
      <c r="TET2" s="97"/>
      <c r="TEU2" s="97"/>
      <c r="TEV2" s="97"/>
      <c r="TEW2" s="97"/>
      <c r="TEX2" s="97"/>
      <c r="TEY2" s="97"/>
      <c r="TEZ2" s="97"/>
      <c r="TFA2" s="97"/>
      <c r="TFB2" s="97"/>
      <c r="TFC2" s="97"/>
      <c r="TFD2" s="97"/>
      <c r="TFE2" s="97"/>
      <c r="TFF2" s="97"/>
      <c r="TFG2" s="97"/>
      <c r="TFH2" s="97"/>
      <c r="TFI2" s="97"/>
      <c r="TFJ2" s="97"/>
      <c r="TFK2" s="97"/>
      <c r="TFL2" s="97"/>
      <c r="TFM2" s="97"/>
      <c r="TFN2" s="97"/>
      <c r="TFO2" s="97"/>
      <c r="TFP2" s="97"/>
      <c r="TFQ2" s="97"/>
      <c r="TFR2" s="97"/>
      <c r="TFS2" s="97"/>
      <c r="TFT2" s="97"/>
      <c r="TFU2" s="97"/>
      <c r="TFV2" s="97"/>
      <c r="TFW2" s="97"/>
      <c r="TFX2" s="97"/>
      <c r="TFY2" s="97"/>
      <c r="TFZ2" s="97"/>
      <c r="TGA2" s="97"/>
      <c r="TGB2" s="97"/>
      <c r="TGC2" s="97"/>
      <c r="TGD2" s="97"/>
      <c r="TGE2" s="97"/>
      <c r="TGF2" s="97"/>
      <c r="TGG2" s="97"/>
      <c r="TGH2" s="97"/>
      <c r="TGI2" s="97"/>
      <c r="TGJ2" s="97"/>
      <c r="TGK2" s="97"/>
      <c r="TGL2" s="97"/>
      <c r="TGM2" s="97"/>
      <c r="TGN2" s="97"/>
      <c r="TGO2" s="97"/>
      <c r="TGP2" s="97"/>
      <c r="TGQ2" s="97"/>
      <c r="TGR2" s="97"/>
      <c r="TGS2" s="97"/>
      <c r="TGT2" s="97"/>
      <c r="TGU2" s="97"/>
      <c r="TGV2" s="97"/>
      <c r="TGW2" s="97"/>
      <c r="TGX2" s="97"/>
      <c r="TGY2" s="97"/>
      <c r="TGZ2" s="97"/>
      <c r="THA2" s="97"/>
      <c r="THB2" s="97"/>
      <c r="THC2" s="97"/>
      <c r="THD2" s="97"/>
      <c r="THE2" s="97"/>
      <c r="THF2" s="97"/>
      <c r="THG2" s="97"/>
      <c r="THH2" s="97"/>
      <c r="THI2" s="97"/>
      <c r="THJ2" s="97"/>
      <c r="THK2" s="97"/>
      <c r="THL2" s="97"/>
      <c r="THM2" s="97"/>
      <c r="THN2" s="97"/>
      <c r="THO2" s="97"/>
      <c r="THP2" s="97"/>
      <c r="THQ2" s="97"/>
      <c r="THR2" s="97"/>
      <c r="THS2" s="97"/>
      <c r="THT2" s="97"/>
      <c r="THU2" s="97"/>
      <c r="THV2" s="97"/>
      <c r="THW2" s="97"/>
      <c r="THX2" s="97"/>
      <c r="THY2" s="97"/>
      <c r="THZ2" s="97"/>
      <c r="TIA2" s="97"/>
      <c r="TIB2" s="97"/>
      <c r="TIC2" s="97"/>
      <c r="TID2" s="97"/>
      <c r="TIE2" s="97"/>
      <c r="TIF2" s="97"/>
      <c r="TIG2" s="97"/>
      <c r="TIH2" s="97"/>
      <c r="TII2" s="97"/>
      <c r="TIJ2" s="97"/>
      <c r="TIK2" s="97"/>
      <c r="TIL2" s="97"/>
      <c r="TIM2" s="97"/>
      <c r="TIN2" s="97"/>
      <c r="TIO2" s="97"/>
      <c r="TIP2" s="97"/>
      <c r="TIQ2" s="97"/>
      <c r="TIR2" s="97"/>
      <c r="TIS2" s="97"/>
      <c r="TIT2" s="97"/>
      <c r="TIU2" s="97"/>
      <c r="TIV2" s="97"/>
      <c r="TIW2" s="97"/>
      <c r="TIX2" s="97"/>
      <c r="TIY2" s="97"/>
      <c r="TIZ2" s="97"/>
      <c r="TJA2" s="97"/>
      <c r="TJB2" s="97"/>
      <c r="TJC2" s="97"/>
      <c r="TJD2" s="97"/>
      <c r="TJE2" s="97"/>
      <c r="TJF2" s="97"/>
      <c r="TJG2" s="97"/>
      <c r="TJH2" s="97"/>
      <c r="TJI2" s="97"/>
      <c r="TJJ2" s="97"/>
      <c r="TJK2" s="97"/>
      <c r="TJL2" s="97"/>
      <c r="TJM2" s="97"/>
      <c r="TJN2" s="97"/>
      <c r="TJO2" s="97"/>
      <c r="TJP2" s="97"/>
      <c r="TJQ2" s="97"/>
      <c r="TJR2" s="97"/>
      <c r="TJS2" s="97"/>
      <c r="TJT2" s="97"/>
      <c r="TJU2" s="97"/>
      <c r="TJV2" s="97"/>
      <c r="TJW2" s="97"/>
      <c r="TJX2" s="97"/>
      <c r="TJY2" s="97"/>
      <c r="TJZ2" s="97"/>
      <c r="TKA2" s="97"/>
      <c r="TKB2" s="97"/>
      <c r="TKC2" s="97"/>
      <c r="TKD2" s="97"/>
      <c r="TKE2" s="97"/>
      <c r="TKF2" s="97"/>
      <c r="TKG2" s="97"/>
      <c r="TKH2" s="97"/>
      <c r="TKI2" s="97"/>
      <c r="TKJ2" s="97"/>
      <c r="TKK2" s="97"/>
      <c r="TKL2" s="97"/>
      <c r="TKM2" s="97"/>
      <c r="TKN2" s="97"/>
      <c r="TKO2" s="97"/>
      <c r="TKP2" s="97"/>
      <c r="TKQ2" s="97"/>
      <c r="TKR2" s="97"/>
      <c r="TKS2" s="97"/>
      <c r="TKT2" s="97"/>
      <c r="TKU2" s="97"/>
      <c r="TKV2" s="97"/>
      <c r="TKW2" s="97"/>
      <c r="TKX2" s="97"/>
      <c r="TKY2" s="97"/>
      <c r="TKZ2" s="97"/>
      <c r="TLA2" s="97"/>
      <c r="TLB2" s="97"/>
      <c r="TLC2" s="97"/>
      <c r="TLD2" s="97"/>
      <c r="TLE2" s="97"/>
      <c r="TLF2" s="97"/>
      <c r="TLG2" s="97"/>
      <c r="TLH2" s="97"/>
      <c r="TLI2" s="97"/>
      <c r="TLJ2" s="97"/>
      <c r="TLK2" s="97"/>
      <c r="TLL2" s="97"/>
      <c r="TLM2" s="97"/>
      <c r="TLN2" s="97"/>
      <c r="TLO2" s="97"/>
      <c r="TLP2" s="97"/>
      <c r="TLQ2" s="97"/>
      <c r="TLR2" s="97"/>
      <c r="TLS2" s="97"/>
      <c r="TLT2" s="97"/>
      <c r="TLU2" s="97"/>
      <c r="TLV2" s="97"/>
      <c r="TLW2" s="97"/>
      <c r="TLX2" s="97"/>
      <c r="TLY2" s="97"/>
      <c r="TLZ2" s="97"/>
      <c r="TMA2" s="97"/>
      <c r="TMB2" s="97"/>
      <c r="TMC2" s="97"/>
      <c r="TMD2" s="97"/>
      <c r="TME2" s="97"/>
      <c r="TMF2" s="97"/>
      <c r="TMG2" s="97"/>
      <c r="TMH2" s="97"/>
      <c r="TMI2" s="97"/>
      <c r="TMJ2" s="97"/>
      <c r="TMK2" s="97"/>
      <c r="TML2" s="97"/>
      <c r="TMM2" s="97"/>
      <c r="TMN2" s="97"/>
      <c r="TMO2" s="97"/>
      <c r="TMP2" s="97"/>
      <c r="TMQ2" s="97"/>
      <c r="TMR2" s="97"/>
      <c r="TMS2" s="97"/>
      <c r="TMT2" s="97"/>
      <c r="TMU2" s="97"/>
      <c r="TMV2" s="97"/>
      <c r="TMW2" s="97"/>
      <c r="TMX2" s="97"/>
      <c r="TMY2" s="97"/>
      <c r="TMZ2" s="97"/>
      <c r="TNA2" s="97"/>
      <c r="TNB2" s="97"/>
      <c r="TNC2" s="97"/>
      <c r="TND2" s="97"/>
      <c r="TNE2" s="97"/>
      <c r="TNF2" s="97"/>
      <c r="TNG2" s="97"/>
      <c r="TNH2" s="97"/>
      <c r="TNI2" s="97"/>
      <c r="TNJ2" s="97"/>
      <c r="TNK2" s="97"/>
      <c r="TNL2" s="97"/>
      <c r="TNM2" s="97"/>
      <c r="TNN2" s="97"/>
      <c r="TNO2" s="97"/>
      <c r="TNP2" s="97"/>
      <c r="TNQ2" s="97"/>
      <c r="TNR2" s="97"/>
      <c r="TNS2" s="97"/>
      <c r="TNT2" s="97"/>
      <c r="TNU2" s="97"/>
      <c r="TNV2" s="97"/>
      <c r="TNW2" s="97"/>
      <c r="TNX2" s="97"/>
      <c r="TNY2" s="97"/>
      <c r="TNZ2" s="97"/>
      <c r="TOA2" s="97"/>
      <c r="TOB2" s="97"/>
      <c r="TOC2" s="97"/>
      <c r="TOD2" s="97"/>
      <c r="TOE2" s="97"/>
      <c r="TOF2" s="97"/>
      <c r="TOG2" s="97"/>
      <c r="TOH2" s="97"/>
      <c r="TOI2" s="97"/>
      <c r="TOJ2" s="97"/>
      <c r="TOK2" s="97"/>
      <c r="TOL2" s="97"/>
      <c r="TOM2" s="97"/>
      <c r="TON2" s="97"/>
      <c r="TOO2" s="97"/>
      <c r="TOP2" s="97"/>
      <c r="TOQ2" s="97"/>
      <c r="TOR2" s="97"/>
      <c r="TOS2" s="97"/>
      <c r="TOT2" s="97"/>
      <c r="TOU2" s="97"/>
      <c r="TOV2" s="97"/>
      <c r="TOW2" s="97"/>
      <c r="TOX2" s="97"/>
      <c r="TOY2" s="97"/>
      <c r="TOZ2" s="97"/>
      <c r="TPA2" s="97"/>
      <c r="TPB2" s="97"/>
      <c r="TPC2" s="97"/>
      <c r="TPD2" s="97"/>
      <c r="TPE2" s="97"/>
      <c r="TPF2" s="97"/>
      <c r="TPG2" s="97"/>
      <c r="TPH2" s="97"/>
      <c r="TPI2" s="97"/>
      <c r="TPJ2" s="97"/>
      <c r="TPK2" s="97"/>
      <c r="TPL2" s="97"/>
      <c r="TPM2" s="97"/>
      <c r="TPN2" s="97"/>
      <c r="TPO2" s="97"/>
      <c r="TPP2" s="97"/>
      <c r="TPQ2" s="97"/>
      <c r="TPR2" s="97"/>
      <c r="TPS2" s="97"/>
      <c r="TPT2" s="97"/>
      <c r="TPU2" s="97"/>
      <c r="TPV2" s="97"/>
      <c r="TPW2" s="97"/>
      <c r="TPX2" s="97"/>
      <c r="TPY2" s="97"/>
      <c r="TPZ2" s="97"/>
      <c r="TQA2" s="97"/>
      <c r="TQB2" s="97"/>
      <c r="TQC2" s="97"/>
      <c r="TQD2" s="97"/>
      <c r="TQE2" s="97"/>
      <c r="TQF2" s="97"/>
      <c r="TQG2" s="97"/>
      <c r="TQH2" s="97"/>
      <c r="TQI2" s="97"/>
      <c r="TQJ2" s="97"/>
      <c r="TQK2" s="97"/>
      <c r="TQL2" s="97"/>
      <c r="TQM2" s="97"/>
      <c r="TQN2" s="97"/>
      <c r="TQO2" s="97"/>
      <c r="TQP2" s="97"/>
      <c r="TQQ2" s="97"/>
      <c r="TQR2" s="97"/>
      <c r="TQS2" s="97"/>
      <c r="TQT2" s="97"/>
      <c r="TQU2" s="97"/>
      <c r="TQV2" s="97"/>
      <c r="TQW2" s="97"/>
      <c r="TQX2" s="97"/>
      <c r="TQY2" s="97"/>
      <c r="TQZ2" s="97"/>
      <c r="TRA2" s="97"/>
      <c r="TRB2" s="97"/>
      <c r="TRC2" s="97"/>
      <c r="TRD2" s="97"/>
      <c r="TRE2" s="97"/>
      <c r="TRF2" s="97"/>
      <c r="TRG2" s="97"/>
      <c r="TRH2" s="97"/>
      <c r="TRI2" s="97"/>
      <c r="TRJ2" s="97"/>
      <c r="TRK2" s="97"/>
      <c r="TRL2" s="97"/>
      <c r="TRM2" s="97"/>
      <c r="TRN2" s="97"/>
      <c r="TRO2" s="97"/>
      <c r="TRP2" s="97"/>
      <c r="TRQ2" s="97"/>
      <c r="TRR2" s="97"/>
      <c r="TRS2" s="97"/>
      <c r="TRT2" s="97"/>
      <c r="TRU2" s="97"/>
      <c r="TRV2" s="97"/>
      <c r="TRW2" s="97"/>
      <c r="TRX2" s="97"/>
      <c r="TRY2" s="97"/>
      <c r="TRZ2" s="97"/>
      <c r="TSA2" s="97"/>
      <c r="TSB2" s="97"/>
      <c r="TSC2" s="97"/>
      <c r="TSD2" s="97"/>
      <c r="TSE2" s="97"/>
      <c r="TSF2" s="97"/>
      <c r="TSG2" s="97"/>
      <c r="TSH2" s="97"/>
      <c r="TSI2" s="97"/>
      <c r="TSJ2" s="97"/>
      <c r="TSK2" s="97"/>
      <c r="TSL2" s="97"/>
      <c r="TSM2" s="97"/>
      <c r="TSN2" s="97"/>
      <c r="TSO2" s="97"/>
      <c r="TSP2" s="97"/>
      <c r="TSQ2" s="97"/>
      <c r="TSR2" s="97"/>
      <c r="TSS2" s="97"/>
      <c r="TST2" s="97"/>
      <c r="TSU2" s="97"/>
      <c r="TSV2" s="97"/>
      <c r="TSW2" s="97"/>
      <c r="TSX2" s="97"/>
      <c r="TSY2" s="97"/>
      <c r="TSZ2" s="97"/>
      <c r="TTA2" s="97"/>
      <c r="TTB2" s="97"/>
      <c r="TTC2" s="97"/>
      <c r="TTD2" s="97"/>
      <c r="TTE2" s="97"/>
      <c r="TTF2" s="97"/>
      <c r="TTG2" s="97"/>
      <c r="TTH2" s="97"/>
      <c r="TTI2" s="97"/>
      <c r="TTJ2" s="97"/>
      <c r="TTK2" s="97"/>
      <c r="TTL2" s="97"/>
      <c r="TTM2" s="97"/>
      <c r="TTN2" s="97"/>
      <c r="TTO2" s="97"/>
      <c r="TTP2" s="97"/>
      <c r="TTQ2" s="97"/>
      <c r="TTR2" s="97"/>
      <c r="TTS2" s="97"/>
      <c r="TTT2" s="97"/>
      <c r="TTU2" s="97"/>
      <c r="TTV2" s="97"/>
      <c r="TTW2" s="97"/>
      <c r="TTX2" s="97"/>
      <c r="TTY2" s="97"/>
      <c r="TTZ2" s="97"/>
      <c r="TUA2" s="97"/>
      <c r="TUB2" s="97"/>
      <c r="TUC2" s="97"/>
      <c r="TUD2" s="97"/>
      <c r="TUE2" s="97"/>
      <c r="TUF2" s="97"/>
      <c r="TUG2" s="97"/>
      <c r="TUH2" s="97"/>
      <c r="TUI2" s="97"/>
      <c r="TUJ2" s="97"/>
      <c r="TUK2" s="97"/>
      <c r="TUL2" s="97"/>
      <c r="TUM2" s="97"/>
      <c r="TUN2" s="97"/>
      <c r="TUO2" s="97"/>
      <c r="TUP2" s="97"/>
      <c r="TUQ2" s="97"/>
      <c r="TUR2" s="97"/>
      <c r="TUS2" s="97"/>
      <c r="TUT2" s="97"/>
      <c r="TUU2" s="97"/>
      <c r="TUV2" s="97"/>
      <c r="TUW2" s="97"/>
      <c r="TUX2" s="97"/>
      <c r="TUY2" s="97"/>
      <c r="TUZ2" s="97"/>
      <c r="TVA2" s="97"/>
      <c r="TVB2" s="97"/>
      <c r="TVC2" s="97"/>
      <c r="TVD2" s="97"/>
      <c r="TVE2" s="97"/>
      <c r="TVF2" s="97"/>
      <c r="TVG2" s="97"/>
      <c r="TVH2" s="97"/>
      <c r="TVI2" s="97"/>
      <c r="TVJ2" s="97"/>
      <c r="TVK2" s="97"/>
      <c r="TVL2" s="97"/>
      <c r="TVM2" s="97"/>
      <c r="TVN2" s="97"/>
      <c r="TVO2" s="97"/>
      <c r="TVP2" s="97"/>
      <c r="TVQ2" s="97"/>
      <c r="TVR2" s="97"/>
      <c r="TVS2" s="97"/>
      <c r="TVT2" s="97"/>
      <c r="TVU2" s="97"/>
      <c r="TVV2" s="97"/>
      <c r="TVW2" s="97"/>
      <c r="TVX2" s="97"/>
      <c r="TVY2" s="97"/>
      <c r="TVZ2" s="97"/>
      <c r="TWA2" s="97"/>
      <c r="TWB2" s="97"/>
      <c r="TWC2" s="97"/>
      <c r="TWD2" s="97"/>
      <c r="TWE2" s="97"/>
      <c r="TWF2" s="97"/>
      <c r="TWG2" s="97"/>
      <c r="TWH2" s="97"/>
      <c r="TWI2" s="97"/>
      <c r="TWJ2" s="97"/>
      <c r="TWK2" s="97"/>
      <c r="TWL2" s="97"/>
      <c r="TWM2" s="97"/>
      <c r="TWN2" s="97"/>
      <c r="TWO2" s="97"/>
      <c r="TWP2" s="97"/>
      <c r="TWQ2" s="97"/>
      <c r="TWR2" s="97"/>
      <c r="TWS2" s="97"/>
      <c r="TWT2" s="97"/>
      <c r="TWU2" s="97"/>
      <c r="TWV2" s="97"/>
      <c r="TWW2" s="97"/>
      <c r="TWX2" s="97"/>
      <c r="TWY2" s="97"/>
      <c r="TWZ2" s="97"/>
      <c r="TXA2" s="97"/>
      <c r="TXB2" s="97"/>
      <c r="TXC2" s="97"/>
      <c r="TXD2" s="97"/>
      <c r="TXE2" s="97"/>
      <c r="TXF2" s="97"/>
      <c r="TXG2" s="97"/>
      <c r="TXH2" s="97"/>
      <c r="TXI2" s="97"/>
      <c r="TXJ2" s="97"/>
      <c r="TXK2" s="97"/>
      <c r="TXL2" s="97"/>
      <c r="TXM2" s="97"/>
      <c r="TXN2" s="97"/>
      <c r="TXO2" s="97"/>
      <c r="TXP2" s="97"/>
      <c r="TXQ2" s="97"/>
      <c r="TXR2" s="97"/>
      <c r="TXS2" s="97"/>
      <c r="TXT2" s="97"/>
      <c r="TXU2" s="97"/>
      <c r="TXV2" s="97"/>
      <c r="TXW2" s="97"/>
      <c r="TXX2" s="97"/>
      <c r="TXY2" s="97"/>
      <c r="TXZ2" s="97"/>
      <c r="TYA2" s="97"/>
      <c r="TYB2" s="97"/>
      <c r="TYC2" s="97"/>
      <c r="TYD2" s="97"/>
      <c r="TYE2" s="97"/>
      <c r="TYF2" s="97"/>
      <c r="TYG2" s="97"/>
      <c r="TYH2" s="97"/>
      <c r="TYI2" s="97"/>
      <c r="TYJ2" s="97"/>
      <c r="TYK2" s="97"/>
      <c r="TYL2" s="97"/>
      <c r="TYM2" s="97"/>
      <c r="TYN2" s="97"/>
      <c r="TYO2" s="97"/>
      <c r="TYP2" s="97"/>
      <c r="TYQ2" s="97"/>
      <c r="TYR2" s="97"/>
      <c r="TYS2" s="97"/>
      <c r="TYT2" s="97"/>
      <c r="TYU2" s="97"/>
      <c r="TYV2" s="97"/>
      <c r="TYW2" s="97"/>
      <c r="TYX2" s="97"/>
      <c r="TYY2" s="97"/>
      <c r="TYZ2" s="97"/>
      <c r="TZA2" s="97"/>
      <c r="TZB2" s="97"/>
      <c r="TZC2" s="97"/>
      <c r="TZD2" s="97"/>
      <c r="TZE2" s="97"/>
      <c r="TZF2" s="97"/>
      <c r="TZG2" s="97"/>
      <c r="TZH2" s="97"/>
      <c r="TZI2" s="97"/>
      <c r="TZJ2" s="97"/>
      <c r="TZK2" s="97"/>
      <c r="TZL2" s="97"/>
      <c r="TZM2" s="97"/>
      <c r="TZN2" s="97"/>
      <c r="TZO2" s="97"/>
      <c r="TZP2" s="97"/>
      <c r="TZQ2" s="97"/>
      <c r="TZR2" s="97"/>
      <c r="TZS2" s="97"/>
      <c r="TZT2" s="97"/>
      <c r="TZU2" s="97"/>
      <c r="TZV2" s="97"/>
      <c r="TZW2" s="97"/>
      <c r="TZX2" s="97"/>
      <c r="TZY2" s="97"/>
      <c r="TZZ2" s="97"/>
      <c r="UAA2" s="97"/>
      <c r="UAB2" s="97"/>
      <c r="UAC2" s="97"/>
      <c r="UAD2" s="97"/>
      <c r="UAE2" s="97"/>
      <c r="UAF2" s="97"/>
      <c r="UAG2" s="97"/>
      <c r="UAH2" s="97"/>
      <c r="UAI2" s="97"/>
      <c r="UAJ2" s="97"/>
      <c r="UAK2" s="97"/>
      <c r="UAL2" s="97"/>
      <c r="UAM2" s="97"/>
      <c r="UAN2" s="97"/>
      <c r="UAO2" s="97"/>
      <c r="UAP2" s="97"/>
      <c r="UAQ2" s="97"/>
      <c r="UAR2" s="97"/>
      <c r="UAS2" s="97"/>
      <c r="UAT2" s="97"/>
      <c r="UAU2" s="97"/>
      <c r="UAV2" s="97"/>
      <c r="UAW2" s="97"/>
      <c r="UAX2" s="97"/>
      <c r="UAY2" s="97"/>
      <c r="UAZ2" s="97"/>
      <c r="UBA2" s="97"/>
      <c r="UBB2" s="97"/>
      <c r="UBC2" s="97"/>
      <c r="UBD2" s="97"/>
      <c r="UBE2" s="97"/>
      <c r="UBF2" s="97"/>
      <c r="UBG2" s="97"/>
      <c r="UBH2" s="97"/>
      <c r="UBI2" s="97"/>
      <c r="UBJ2" s="97"/>
      <c r="UBK2" s="97"/>
      <c r="UBL2" s="97"/>
      <c r="UBM2" s="97"/>
      <c r="UBN2" s="97"/>
      <c r="UBO2" s="97"/>
      <c r="UBP2" s="97"/>
      <c r="UBQ2" s="97"/>
      <c r="UBR2" s="97"/>
      <c r="UBS2" s="97"/>
      <c r="UBT2" s="97"/>
      <c r="UBU2" s="97"/>
      <c r="UBV2" s="97"/>
      <c r="UBW2" s="97"/>
      <c r="UBX2" s="97"/>
      <c r="UBY2" s="97"/>
      <c r="UBZ2" s="97"/>
      <c r="UCA2" s="97"/>
      <c r="UCB2" s="97"/>
      <c r="UCC2" s="97"/>
      <c r="UCD2" s="97"/>
      <c r="UCE2" s="97"/>
      <c r="UCF2" s="97"/>
      <c r="UCG2" s="97"/>
      <c r="UCH2" s="97"/>
      <c r="UCI2" s="97"/>
      <c r="UCJ2" s="97"/>
      <c r="UCK2" s="97"/>
      <c r="UCL2" s="97"/>
      <c r="UCM2" s="97"/>
      <c r="UCN2" s="97"/>
      <c r="UCO2" s="97"/>
      <c r="UCP2" s="97"/>
      <c r="UCQ2" s="97"/>
      <c r="UCR2" s="97"/>
      <c r="UCS2" s="97"/>
      <c r="UCT2" s="97"/>
      <c r="UCU2" s="97"/>
      <c r="UCV2" s="97"/>
      <c r="UCW2" s="97"/>
      <c r="UCX2" s="97"/>
      <c r="UCY2" s="97"/>
      <c r="UCZ2" s="97"/>
      <c r="UDA2" s="97"/>
      <c r="UDB2" s="97"/>
      <c r="UDC2" s="97"/>
      <c r="UDD2" s="97"/>
      <c r="UDE2" s="97"/>
      <c r="UDF2" s="97"/>
      <c r="UDG2" s="97"/>
      <c r="UDH2" s="97"/>
      <c r="UDI2" s="97"/>
      <c r="UDJ2" s="97"/>
      <c r="UDK2" s="97"/>
      <c r="UDL2" s="97"/>
      <c r="UDM2" s="97"/>
      <c r="UDN2" s="97"/>
      <c r="UDO2" s="97"/>
      <c r="UDP2" s="97"/>
      <c r="UDQ2" s="97"/>
      <c r="UDR2" s="97"/>
      <c r="UDS2" s="97"/>
      <c r="UDT2" s="97"/>
      <c r="UDU2" s="97"/>
      <c r="UDV2" s="97"/>
      <c r="UDW2" s="97"/>
      <c r="UDX2" s="97"/>
      <c r="UDY2" s="97"/>
      <c r="UDZ2" s="97"/>
      <c r="UEA2" s="97"/>
      <c r="UEB2" s="97"/>
      <c r="UEC2" s="97"/>
      <c r="UED2" s="97"/>
      <c r="UEE2" s="97"/>
      <c r="UEF2" s="97"/>
      <c r="UEG2" s="97"/>
      <c r="UEH2" s="97"/>
      <c r="UEI2" s="97"/>
      <c r="UEJ2" s="97"/>
      <c r="UEK2" s="97"/>
      <c r="UEL2" s="97"/>
      <c r="UEM2" s="97"/>
      <c r="UEN2" s="97"/>
      <c r="UEO2" s="97"/>
      <c r="UEP2" s="97"/>
      <c r="UEQ2" s="97"/>
      <c r="UER2" s="97"/>
      <c r="UES2" s="97"/>
      <c r="UET2" s="97"/>
      <c r="UEU2" s="97"/>
      <c r="UEV2" s="97"/>
      <c r="UEW2" s="97"/>
      <c r="UEX2" s="97"/>
      <c r="UEY2" s="97"/>
      <c r="UEZ2" s="97"/>
      <c r="UFA2" s="97"/>
      <c r="UFB2" s="97"/>
      <c r="UFC2" s="97"/>
      <c r="UFD2" s="97"/>
      <c r="UFE2" s="97"/>
      <c r="UFF2" s="97"/>
      <c r="UFG2" s="97"/>
      <c r="UFH2" s="97"/>
      <c r="UFI2" s="97"/>
      <c r="UFJ2" s="97"/>
      <c r="UFK2" s="97"/>
      <c r="UFL2" s="97"/>
      <c r="UFM2" s="97"/>
      <c r="UFN2" s="97"/>
      <c r="UFO2" s="97"/>
      <c r="UFP2" s="97"/>
      <c r="UFQ2" s="97"/>
      <c r="UFR2" s="97"/>
      <c r="UFS2" s="97"/>
      <c r="UFT2" s="97"/>
      <c r="UFU2" s="97"/>
      <c r="UFV2" s="97"/>
      <c r="UFW2" s="97"/>
      <c r="UFX2" s="97"/>
      <c r="UFY2" s="97"/>
      <c r="UFZ2" s="97"/>
      <c r="UGA2" s="97"/>
      <c r="UGB2" s="97"/>
      <c r="UGC2" s="97"/>
      <c r="UGD2" s="97"/>
      <c r="UGE2" s="97"/>
      <c r="UGF2" s="97"/>
      <c r="UGG2" s="97"/>
      <c r="UGH2" s="97"/>
      <c r="UGI2" s="97"/>
      <c r="UGJ2" s="97"/>
      <c r="UGK2" s="97"/>
      <c r="UGL2" s="97"/>
      <c r="UGM2" s="97"/>
      <c r="UGN2" s="97"/>
      <c r="UGO2" s="97"/>
      <c r="UGP2" s="97"/>
      <c r="UGQ2" s="97"/>
      <c r="UGR2" s="97"/>
      <c r="UGS2" s="97"/>
      <c r="UGT2" s="97"/>
      <c r="UGU2" s="97"/>
      <c r="UGV2" s="97"/>
      <c r="UGW2" s="97"/>
      <c r="UGX2" s="97"/>
      <c r="UGY2" s="97"/>
      <c r="UGZ2" s="97"/>
      <c r="UHA2" s="97"/>
      <c r="UHB2" s="97"/>
      <c r="UHC2" s="97"/>
      <c r="UHD2" s="97"/>
      <c r="UHE2" s="97"/>
      <c r="UHF2" s="97"/>
      <c r="UHG2" s="97"/>
      <c r="UHH2" s="97"/>
      <c r="UHI2" s="97"/>
      <c r="UHJ2" s="97"/>
      <c r="UHK2" s="97"/>
      <c r="UHL2" s="97"/>
      <c r="UHM2" s="97"/>
      <c r="UHN2" s="97"/>
      <c r="UHO2" s="97"/>
      <c r="UHP2" s="97"/>
      <c r="UHQ2" s="97"/>
      <c r="UHR2" s="97"/>
      <c r="UHS2" s="97"/>
      <c r="UHT2" s="97"/>
      <c r="UHU2" s="97"/>
      <c r="UHV2" s="97"/>
      <c r="UHW2" s="97"/>
      <c r="UHX2" s="97"/>
      <c r="UHY2" s="97"/>
      <c r="UHZ2" s="97"/>
      <c r="UIA2" s="97"/>
      <c r="UIB2" s="97"/>
      <c r="UIC2" s="97"/>
      <c r="UID2" s="97"/>
      <c r="UIE2" s="97"/>
      <c r="UIF2" s="97"/>
      <c r="UIG2" s="97"/>
      <c r="UIH2" s="97"/>
      <c r="UII2" s="97"/>
      <c r="UIJ2" s="97"/>
      <c r="UIK2" s="97"/>
      <c r="UIL2" s="97"/>
      <c r="UIM2" s="97"/>
      <c r="UIN2" s="97"/>
      <c r="UIO2" s="97"/>
      <c r="UIP2" s="97"/>
      <c r="UIQ2" s="97"/>
      <c r="UIR2" s="97"/>
      <c r="UIS2" s="97"/>
      <c r="UIT2" s="97"/>
      <c r="UIU2" s="97"/>
      <c r="UIV2" s="97"/>
      <c r="UIW2" s="97"/>
      <c r="UIX2" s="97"/>
      <c r="UIY2" s="97"/>
      <c r="UIZ2" s="97"/>
      <c r="UJA2" s="97"/>
      <c r="UJB2" s="97"/>
      <c r="UJC2" s="97"/>
      <c r="UJD2" s="97"/>
      <c r="UJE2" s="97"/>
      <c r="UJF2" s="97"/>
      <c r="UJG2" s="97"/>
      <c r="UJH2" s="97"/>
      <c r="UJI2" s="97"/>
      <c r="UJJ2" s="97"/>
      <c r="UJK2" s="97"/>
      <c r="UJL2" s="97"/>
      <c r="UJM2" s="97"/>
      <c r="UJN2" s="97"/>
      <c r="UJO2" s="97"/>
      <c r="UJP2" s="97"/>
      <c r="UJQ2" s="97"/>
      <c r="UJR2" s="97"/>
      <c r="UJS2" s="97"/>
      <c r="UJT2" s="97"/>
      <c r="UJU2" s="97"/>
      <c r="UJV2" s="97"/>
      <c r="UJW2" s="97"/>
      <c r="UJX2" s="97"/>
      <c r="UJY2" s="97"/>
      <c r="UJZ2" s="97"/>
      <c r="UKA2" s="97"/>
      <c r="UKB2" s="97"/>
      <c r="UKC2" s="97"/>
      <c r="UKD2" s="97"/>
      <c r="UKE2" s="97"/>
      <c r="UKF2" s="97"/>
      <c r="UKG2" s="97"/>
      <c r="UKH2" s="97"/>
      <c r="UKI2" s="97"/>
      <c r="UKJ2" s="97"/>
      <c r="UKK2" s="97"/>
      <c r="UKL2" s="97"/>
      <c r="UKM2" s="97"/>
      <c r="UKN2" s="97"/>
      <c r="UKO2" s="97"/>
      <c r="UKP2" s="97"/>
      <c r="UKQ2" s="97"/>
      <c r="UKR2" s="97"/>
      <c r="UKS2" s="97"/>
      <c r="UKT2" s="97"/>
      <c r="UKU2" s="97"/>
      <c r="UKV2" s="97"/>
      <c r="UKW2" s="97"/>
      <c r="UKX2" s="97"/>
      <c r="UKY2" s="97"/>
      <c r="UKZ2" s="97"/>
      <c r="ULA2" s="97"/>
      <c r="ULB2" s="97"/>
      <c r="ULC2" s="97"/>
      <c r="ULD2" s="97"/>
      <c r="ULE2" s="97"/>
      <c r="ULF2" s="97"/>
      <c r="ULG2" s="97"/>
      <c r="ULH2" s="97"/>
      <c r="ULI2" s="97"/>
      <c r="ULJ2" s="97"/>
      <c r="ULK2" s="97"/>
      <c r="ULL2" s="97"/>
      <c r="ULM2" s="97"/>
      <c r="ULN2" s="97"/>
      <c r="ULO2" s="97"/>
      <c r="ULP2" s="97"/>
      <c r="ULQ2" s="97"/>
      <c r="ULR2" s="97"/>
      <c r="ULS2" s="97"/>
      <c r="ULT2" s="97"/>
      <c r="ULU2" s="97"/>
      <c r="ULV2" s="97"/>
      <c r="ULW2" s="97"/>
      <c r="ULX2" s="97"/>
      <c r="ULY2" s="97"/>
      <c r="ULZ2" s="97"/>
      <c r="UMA2" s="97"/>
      <c r="UMB2" s="97"/>
      <c r="UMC2" s="97"/>
      <c r="UMD2" s="97"/>
      <c r="UME2" s="97"/>
      <c r="UMF2" s="97"/>
      <c r="UMG2" s="97"/>
      <c r="UMH2" s="97"/>
      <c r="UMI2" s="97"/>
      <c r="UMJ2" s="97"/>
      <c r="UMK2" s="97"/>
      <c r="UML2" s="97"/>
      <c r="UMM2" s="97"/>
      <c r="UMN2" s="97"/>
      <c r="UMO2" s="97"/>
      <c r="UMP2" s="97"/>
      <c r="UMQ2" s="97"/>
      <c r="UMR2" s="97"/>
      <c r="UMS2" s="97"/>
      <c r="UMT2" s="97"/>
      <c r="UMU2" s="97"/>
      <c r="UMV2" s="97"/>
      <c r="UMW2" s="97"/>
      <c r="UMX2" s="97"/>
      <c r="UMY2" s="97"/>
      <c r="UMZ2" s="97"/>
      <c r="UNA2" s="97"/>
      <c r="UNB2" s="97"/>
      <c r="UNC2" s="97"/>
      <c r="UND2" s="97"/>
      <c r="UNE2" s="97"/>
      <c r="UNF2" s="97"/>
      <c r="UNG2" s="97"/>
      <c r="UNH2" s="97"/>
      <c r="UNI2" s="97"/>
      <c r="UNJ2" s="97"/>
      <c r="UNK2" s="97"/>
      <c r="UNL2" s="97"/>
      <c r="UNM2" s="97"/>
      <c r="UNN2" s="97"/>
      <c r="UNO2" s="97"/>
      <c r="UNP2" s="97"/>
      <c r="UNQ2" s="97"/>
      <c r="UNR2" s="97"/>
      <c r="UNS2" s="97"/>
      <c r="UNT2" s="97"/>
      <c r="UNU2" s="97"/>
      <c r="UNV2" s="97"/>
      <c r="UNW2" s="97"/>
      <c r="UNX2" s="97"/>
      <c r="UNY2" s="97"/>
      <c r="UNZ2" s="97"/>
      <c r="UOA2" s="97"/>
      <c r="UOB2" s="97"/>
      <c r="UOC2" s="97"/>
      <c r="UOD2" s="97"/>
      <c r="UOE2" s="97"/>
      <c r="UOF2" s="97"/>
      <c r="UOG2" s="97"/>
      <c r="UOH2" s="97"/>
      <c r="UOI2" s="97"/>
      <c r="UOJ2" s="97"/>
      <c r="UOK2" s="97"/>
      <c r="UOL2" s="97"/>
      <c r="UOM2" s="97"/>
      <c r="UON2" s="97"/>
      <c r="UOO2" s="97"/>
      <c r="UOP2" s="97"/>
      <c r="UOQ2" s="97"/>
      <c r="UOR2" s="97"/>
      <c r="UOS2" s="97"/>
      <c r="UOT2" s="97"/>
      <c r="UOU2" s="97"/>
      <c r="UOV2" s="97"/>
      <c r="UOW2" s="97"/>
      <c r="UOX2" s="97"/>
      <c r="UOY2" s="97"/>
      <c r="UOZ2" s="97"/>
      <c r="UPA2" s="97"/>
      <c r="UPB2" s="97"/>
      <c r="UPC2" s="97"/>
      <c r="UPD2" s="97"/>
      <c r="UPE2" s="97"/>
      <c r="UPF2" s="97"/>
      <c r="UPG2" s="97"/>
      <c r="UPH2" s="97"/>
      <c r="UPI2" s="97"/>
      <c r="UPJ2" s="97"/>
      <c r="UPK2" s="97"/>
      <c r="UPL2" s="97"/>
      <c r="UPM2" s="97"/>
      <c r="UPN2" s="97"/>
      <c r="UPO2" s="97"/>
      <c r="UPP2" s="97"/>
      <c r="UPQ2" s="97"/>
      <c r="UPR2" s="97"/>
      <c r="UPS2" s="97"/>
      <c r="UPT2" s="97"/>
      <c r="UPU2" s="97"/>
      <c r="UPV2" s="97"/>
      <c r="UPW2" s="97"/>
      <c r="UPX2" s="97"/>
      <c r="UPY2" s="97"/>
      <c r="UPZ2" s="97"/>
      <c r="UQA2" s="97"/>
      <c r="UQB2" s="97"/>
      <c r="UQC2" s="97"/>
      <c r="UQD2" s="97"/>
      <c r="UQE2" s="97"/>
      <c r="UQF2" s="97"/>
      <c r="UQG2" s="97"/>
      <c r="UQH2" s="97"/>
      <c r="UQI2" s="97"/>
      <c r="UQJ2" s="97"/>
      <c r="UQK2" s="97"/>
      <c r="UQL2" s="97"/>
      <c r="UQM2" s="97"/>
      <c r="UQN2" s="97"/>
      <c r="UQO2" s="97"/>
      <c r="UQP2" s="97"/>
      <c r="UQQ2" s="97"/>
      <c r="UQR2" s="97"/>
      <c r="UQS2" s="97"/>
      <c r="UQT2" s="97"/>
      <c r="UQU2" s="97"/>
      <c r="UQV2" s="97"/>
      <c r="UQW2" s="97"/>
      <c r="UQX2" s="97"/>
      <c r="UQY2" s="97"/>
      <c r="UQZ2" s="97"/>
      <c r="URA2" s="97"/>
      <c r="URB2" s="97"/>
      <c r="URC2" s="97"/>
      <c r="URD2" s="97"/>
      <c r="URE2" s="97"/>
      <c r="URF2" s="97"/>
      <c r="URG2" s="97"/>
      <c r="URH2" s="97"/>
      <c r="URI2" s="97"/>
      <c r="URJ2" s="97"/>
      <c r="URK2" s="97"/>
      <c r="URL2" s="97"/>
      <c r="URM2" s="97"/>
      <c r="URN2" s="97"/>
      <c r="URO2" s="97"/>
      <c r="URP2" s="97"/>
      <c r="URQ2" s="97"/>
      <c r="URR2" s="97"/>
      <c r="URS2" s="97"/>
      <c r="URT2" s="97"/>
      <c r="URU2" s="97"/>
      <c r="URV2" s="97"/>
      <c r="URW2" s="97"/>
      <c r="URX2" s="97"/>
      <c r="URY2" s="97"/>
      <c r="URZ2" s="97"/>
      <c r="USA2" s="97"/>
      <c r="USB2" s="97"/>
      <c r="USC2" s="97"/>
      <c r="USD2" s="97"/>
      <c r="USE2" s="97"/>
      <c r="USF2" s="97"/>
      <c r="USG2" s="97"/>
      <c r="USH2" s="97"/>
      <c r="USI2" s="97"/>
      <c r="USJ2" s="97"/>
      <c r="USK2" s="97"/>
      <c r="USL2" s="97"/>
      <c r="USM2" s="97"/>
      <c r="USN2" s="97"/>
      <c r="USO2" s="97"/>
      <c r="USP2" s="97"/>
      <c r="USQ2" s="97"/>
      <c r="USR2" s="97"/>
      <c r="USS2" s="97"/>
      <c r="UST2" s="97"/>
      <c r="USU2" s="97"/>
      <c r="USV2" s="97"/>
      <c r="USW2" s="97"/>
      <c r="USX2" s="97"/>
      <c r="USY2" s="97"/>
      <c r="USZ2" s="97"/>
      <c r="UTA2" s="97"/>
      <c r="UTB2" s="97"/>
      <c r="UTC2" s="97"/>
      <c r="UTD2" s="97"/>
      <c r="UTE2" s="97"/>
      <c r="UTF2" s="97"/>
      <c r="UTG2" s="97"/>
      <c r="UTH2" s="97"/>
      <c r="UTI2" s="97"/>
      <c r="UTJ2" s="97"/>
      <c r="UTK2" s="97"/>
      <c r="UTL2" s="97"/>
      <c r="UTM2" s="97"/>
      <c r="UTN2" s="97"/>
      <c r="UTO2" s="97"/>
      <c r="UTP2" s="97"/>
      <c r="UTQ2" s="97"/>
      <c r="UTR2" s="97"/>
      <c r="UTS2" s="97"/>
      <c r="UTT2" s="97"/>
      <c r="UTU2" s="97"/>
      <c r="UTV2" s="97"/>
      <c r="UTW2" s="97"/>
      <c r="UTX2" s="97"/>
      <c r="UTY2" s="97"/>
      <c r="UTZ2" s="97"/>
      <c r="UUA2" s="97"/>
      <c r="UUB2" s="97"/>
      <c r="UUC2" s="97"/>
      <c r="UUD2" s="97"/>
      <c r="UUE2" s="97"/>
      <c r="UUF2" s="97"/>
      <c r="UUG2" s="97"/>
      <c r="UUH2" s="97"/>
      <c r="UUI2" s="97"/>
      <c r="UUJ2" s="97"/>
      <c r="UUK2" s="97"/>
      <c r="UUL2" s="97"/>
      <c r="UUM2" s="97"/>
      <c r="UUN2" s="97"/>
      <c r="UUO2" s="97"/>
      <c r="UUP2" s="97"/>
      <c r="UUQ2" s="97"/>
      <c r="UUR2" s="97"/>
      <c r="UUS2" s="97"/>
      <c r="UUT2" s="97"/>
      <c r="UUU2" s="97"/>
      <c r="UUV2" s="97"/>
      <c r="UUW2" s="97"/>
      <c r="UUX2" s="97"/>
      <c r="UUY2" s="97"/>
      <c r="UUZ2" s="97"/>
      <c r="UVA2" s="97"/>
      <c r="UVB2" s="97"/>
      <c r="UVC2" s="97"/>
      <c r="UVD2" s="97"/>
      <c r="UVE2" s="97"/>
      <c r="UVF2" s="97"/>
      <c r="UVG2" s="97"/>
      <c r="UVH2" s="97"/>
      <c r="UVI2" s="97"/>
      <c r="UVJ2" s="97"/>
      <c r="UVK2" s="97"/>
      <c r="UVL2" s="97"/>
      <c r="UVM2" s="97"/>
      <c r="UVN2" s="97"/>
      <c r="UVO2" s="97"/>
      <c r="UVP2" s="97"/>
      <c r="UVQ2" s="97"/>
      <c r="UVR2" s="97"/>
      <c r="UVS2" s="97"/>
      <c r="UVT2" s="97"/>
      <c r="UVU2" s="97"/>
      <c r="UVV2" s="97"/>
      <c r="UVW2" s="97"/>
      <c r="UVX2" s="97"/>
      <c r="UVY2" s="97"/>
      <c r="UVZ2" s="97"/>
      <c r="UWA2" s="97"/>
      <c r="UWB2" s="97"/>
      <c r="UWC2" s="97"/>
      <c r="UWD2" s="97"/>
      <c r="UWE2" s="97"/>
      <c r="UWF2" s="97"/>
      <c r="UWG2" s="97"/>
      <c r="UWH2" s="97"/>
      <c r="UWI2" s="97"/>
      <c r="UWJ2" s="97"/>
      <c r="UWK2" s="97"/>
      <c r="UWL2" s="97"/>
      <c r="UWM2" s="97"/>
      <c r="UWN2" s="97"/>
      <c r="UWO2" s="97"/>
      <c r="UWP2" s="97"/>
      <c r="UWQ2" s="97"/>
      <c r="UWR2" s="97"/>
      <c r="UWS2" s="97"/>
      <c r="UWT2" s="97"/>
      <c r="UWU2" s="97"/>
      <c r="UWV2" s="97"/>
      <c r="UWW2" s="97"/>
      <c r="UWX2" s="97"/>
      <c r="UWY2" s="97"/>
      <c r="UWZ2" s="97"/>
      <c r="UXA2" s="97"/>
      <c r="UXB2" s="97"/>
      <c r="UXC2" s="97"/>
      <c r="UXD2" s="97"/>
      <c r="UXE2" s="97"/>
      <c r="UXF2" s="97"/>
      <c r="UXG2" s="97"/>
      <c r="UXH2" s="97"/>
      <c r="UXI2" s="97"/>
      <c r="UXJ2" s="97"/>
      <c r="UXK2" s="97"/>
      <c r="UXL2" s="97"/>
      <c r="UXM2" s="97"/>
      <c r="UXN2" s="97"/>
      <c r="UXO2" s="97"/>
      <c r="UXP2" s="97"/>
      <c r="UXQ2" s="97"/>
      <c r="UXR2" s="97"/>
      <c r="UXS2" s="97"/>
      <c r="UXT2" s="97"/>
      <c r="UXU2" s="97"/>
      <c r="UXV2" s="97"/>
      <c r="UXW2" s="97"/>
      <c r="UXX2" s="97"/>
      <c r="UXY2" s="97"/>
      <c r="UXZ2" s="97"/>
      <c r="UYA2" s="97"/>
      <c r="UYB2" s="97"/>
      <c r="UYC2" s="97"/>
      <c r="UYD2" s="97"/>
      <c r="UYE2" s="97"/>
      <c r="UYF2" s="97"/>
      <c r="UYG2" s="97"/>
      <c r="UYH2" s="97"/>
      <c r="UYI2" s="97"/>
      <c r="UYJ2" s="97"/>
      <c r="UYK2" s="97"/>
      <c r="UYL2" s="97"/>
      <c r="UYM2" s="97"/>
      <c r="UYN2" s="97"/>
      <c r="UYO2" s="97"/>
      <c r="UYP2" s="97"/>
      <c r="UYQ2" s="97"/>
      <c r="UYR2" s="97"/>
      <c r="UYS2" s="97"/>
      <c r="UYT2" s="97"/>
      <c r="UYU2" s="97"/>
      <c r="UYV2" s="97"/>
      <c r="UYW2" s="97"/>
      <c r="UYX2" s="97"/>
      <c r="UYY2" s="97"/>
      <c r="UYZ2" s="97"/>
      <c r="UZA2" s="97"/>
      <c r="UZB2" s="97"/>
      <c r="UZC2" s="97"/>
      <c r="UZD2" s="97"/>
      <c r="UZE2" s="97"/>
      <c r="UZF2" s="97"/>
      <c r="UZG2" s="97"/>
      <c r="UZH2" s="97"/>
      <c r="UZI2" s="97"/>
      <c r="UZJ2" s="97"/>
      <c r="UZK2" s="97"/>
      <c r="UZL2" s="97"/>
      <c r="UZM2" s="97"/>
      <c r="UZN2" s="97"/>
      <c r="UZO2" s="97"/>
      <c r="UZP2" s="97"/>
      <c r="UZQ2" s="97"/>
      <c r="UZR2" s="97"/>
      <c r="UZS2" s="97"/>
      <c r="UZT2" s="97"/>
      <c r="UZU2" s="97"/>
      <c r="UZV2" s="97"/>
      <c r="UZW2" s="97"/>
      <c r="UZX2" s="97"/>
      <c r="UZY2" s="97"/>
      <c r="UZZ2" s="97"/>
      <c r="VAA2" s="97"/>
      <c r="VAB2" s="97"/>
      <c r="VAC2" s="97"/>
      <c r="VAD2" s="97"/>
      <c r="VAE2" s="97"/>
      <c r="VAF2" s="97"/>
      <c r="VAG2" s="97"/>
      <c r="VAH2" s="97"/>
      <c r="VAI2" s="97"/>
      <c r="VAJ2" s="97"/>
      <c r="VAK2" s="97"/>
      <c r="VAL2" s="97"/>
      <c r="VAM2" s="97"/>
      <c r="VAN2" s="97"/>
      <c r="VAO2" s="97"/>
      <c r="VAP2" s="97"/>
      <c r="VAQ2" s="97"/>
      <c r="VAR2" s="97"/>
      <c r="VAS2" s="97"/>
      <c r="VAT2" s="97"/>
      <c r="VAU2" s="97"/>
      <c r="VAV2" s="97"/>
      <c r="VAW2" s="97"/>
      <c r="VAX2" s="97"/>
      <c r="VAY2" s="97"/>
      <c r="VAZ2" s="97"/>
      <c r="VBA2" s="97"/>
      <c r="VBB2" s="97"/>
      <c r="VBC2" s="97"/>
      <c r="VBD2" s="97"/>
      <c r="VBE2" s="97"/>
      <c r="VBF2" s="97"/>
      <c r="VBG2" s="97"/>
      <c r="VBH2" s="97"/>
      <c r="VBI2" s="97"/>
      <c r="VBJ2" s="97"/>
      <c r="VBK2" s="97"/>
      <c r="VBL2" s="97"/>
      <c r="VBM2" s="97"/>
      <c r="VBN2" s="97"/>
      <c r="VBO2" s="97"/>
      <c r="VBP2" s="97"/>
      <c r="VBQ2" s="97"/>
      <c r="VBR2" s="97"/>
      <c r="VBS2" s="97"/>
      <c r="VBT2" s="97"/>
      <c r="VBU2" s="97"/>
      <c r="VBV2" s="97"/>
      <c r="VBW2" s="97"/>
      <c r="VBX2" s="97"/>
      <c r="VBY2" s="97"/>
      <c r="VBZ2" s="97"/>
      <c r="VCA2" s="97"/>
      <c r="VCB2" s="97"/>
      <c r="VCC2" s="97"/>
      <c r="VCD2" s="97"/>
      <c r="VCE2" s="97"/>
      <c r="VCF2" s="97"/>
      <c r="VCG2" s="97"/>
      <c r="VCH2" s="97"/>
      <c r="VCI2" s="97"/>
      <c r="VCJ2" s="97"/>
      <c r="VCK2" s="97"/>
      <c r="VCL2" s="97"/>
      <c r="VCM2" s="97"/>
      <c r="VCN2" s="97"/>
      <c r="VCO2" s="97"/>
      <c r="VCP2" s="97"/>
      <c r="VCQ2" s="97"/>
      <c r="VCR2" s="97"/>
      <c r="VCS2" s="97"/>
      <c r="VCT2" s="97"/>
      <c r="VCU2" s="97"/>
      <c r="VCV2" s="97"/>
      <c r="VCW2" s="97"/>
      <c r="VCX2" s="97"/>
      <c r="VCY2" s="97"/>
      <c r="VCZ2" s="97"/>
      <c r="VDA2" s="97"/>
      <c r="VDB2" s="97"/>
      <c r="VDC2" s="97"/>
      <c r="VDD2" s="97"/>
      <c r="VDE2" s="97"/>
      <c r="VDF2" s="97"/>
      <c r="VDG2" s="97"/>
      <c r="VDH2" s="97"/>
      <c r="VDI2" s="97"/>
      <c r="VDJ2" s="97"/>
      <c r="VDK2" s="97"/>
      <c r="VDL2" s="97"/>
      <c r="VDM2" s="97"/>
      <c r="VDN2" s="97"/>
      <c r="VDO2" s="97"/>
      <c r="VDP2" s="97"/>
      <c r="VDQ2" s="97"/>
      <c r="VDR2" s="97"/>
      <c r="VDS2" s="97"/>
      <c r="VDT2" s="97"/>
      <c r="VDU2" s="97"/>
      <c r="VDV2" s="97"/>
      <c r="VDW2" s="97"/>
      <c r="VDX2" s="97"/>
      <c r="VDY2" s="97"/>
      <c r="VDZ2" s="97"/>
      <c r="VEA2" s="97"/>
      <c r="VEB2" s="97"/>
      <c r="VEC2" s="97"/>
      <c r="VED2" s="97"/>
      <c r="VEE2" s="97"/>
      <c r="VEF2" s="97"/>
      <c r="VEG2" s="97"/>
      <c r="VEH2" s="97"/>
      <c r="VEI2" s="97"/>
      <c r="VEJ2" s="97"/>
      <c r="VEK2" s="97"/>
      <c r="VEL2" s="97"/>
      <c r="VEM2" s="97"/>
      <c r="VEN2" s="97"/>
      <c r="VEO2" s="97"/>
      <c r="VEP2" s="97"/>
      <c r="VEQ2" s="97"/>
      <c r="VER2" s="97"/>
      <c r="VES2" s="97"/>
      <c r="VET2" s="97"/>
      <c r="VEU2" s="97"/>
      <c r="VEV2" s="97"/>
      <c r="VEW2" s="97"/>
      <c r="VEX2" s="97"/>
      <c r="VEY2" s="97"/>
      <c r="VEZ2" s="97"/>
      <c r="VFA2" s="97"/>
      <c r="VFB2" s="97"/>
      <c r="VFC2" s="97"/>
      <c r="VFD2" s="97"/>
      <c r="VFE2" s="97"/>
      <c r="VFF2" s="97"/>
      <c r="VFG2" s="97"/>
      <c r="VFH2" s="97"/>
      <c r="VFI2" s="97"/>
      <c r="VFJ2" s="97"/>
      <c r="VFK2" s="97"/>
      <c r="VFL2" s="97"/>
      <c r="VFM2" s="97"/>
      <c r="VFN2" s="97"/>
      <c r="VFO2" s="97"/>
      <c r="VFP2" s="97"/>
      <c r="VFQ2" s="97"/>
      <c r="VFR2" s="97"/>
      <c r="VFS2" s="97"/>
      <c r="VFT2" s="97"/>
      <c r="VFU2" s="97"/>
      <c r="VFV2" s="97"/>
      <c r="VFW2" s="97"/>
      <c r="VFX2" s="97"/>
      <c r="VFY2" s="97"/>
      <c r="VFZ2" s="97"/>
      <c r="VGA2" s="97"/>
      <c r="VGB2" s="97"/>
      <c r="VGC2" s="97"/>
      <c r="VGD2" s="97"/>
      <c r="VGE2" s="97"/>
      <c r="VGF2" s="97"/>
      <c r="VGG2" s="97"/>
      <c r="VGH2" s="97"/>
      <c r="VGI2" s="97"/>
      <c r="VGJ2" s="97"/>
      <c r="VGK2" s="97"/>
      <c r="VGL2" s="97"/>
      <c r="VGM2" s="97"/>
      <c r="VGN2" s="97"/>
      <c r="VGO2" s="97"/>
      <c r="VGP2" s="97"/>
      <c r="VGQ2" s="97"/>
      <c r="VGR2" s="97"/>
      <c r="VGS2" s="97"/>
      <c r="VGT2" s="97"/>
      <c r="VGU2" s="97"/>
      <c r="VGV2" s="97"/>
      <c r="VGW2" s="97"/>
      <c r="VGX2" s="97"/>
      <c r="VGY2" s="97"/>
      <c r="VGZ2" s="97"/>
      <c r="VHA2" s="97"/>
      <c r="VHB2" s="97"/>
      <c r="VHC2" s="97"/>
      <c r="VHD2" s="97"/>
      <c r="VHE2" s="97"/>
      <c r="VHF2" s="97"/>
      <c r="VHG2" s="97"/>
      <c r="VHH2" s="97"/>
      <c r="VHI2" s="97"/>
      <c r="VHJ2" s="97"/>
      <c r="VHK2" s="97"/>
      <c r="VHL2" s="97"/>
      <c r="VHM2" s="97"/>
      <c r="VHN2" s="97"/>
      <c r="VHO2" s="97"/>
      <c r="VHP2" s="97"/>
      <c r="VHQ2" s="97"/>
      <c r="VHR2" s="97"/>
      <c r="VHS2" s="97"/>
      <c r="VHT2" s="97"/>
      <c r="VHU2" s="97"/>
      <c r="VHV2" s="97"/>
      <c r="VHW2" s="97"/>
      <c r="VHX2" s="97"/>
      <c r="VHY2" s="97"/>
      <c r="VHZ2" s="97"/>
      <c r="VIA2" s="97"/>
      <c r="VIB2" s="97"/>
      <c r="VIC2" s="97"/>
      <c r="VID2" s="97"/>
      <c r="VIE2" s="97"/>
      <c r="VIF2" s="97"/>
      <c r="VIG2" s="97"/>
      <c r="VIH2" s="97"/>
      <c r="VII2" s="97"/>
      <c r="VIJ2" s="97"/>
      <c r="VIK2" s="97"/>
      <c r="VIL2" s="97"/>
      <c r="VIM2" s="97"/>
      <c r="VIN2" s="97"/>
      <c r="VIO2" s="97"/>
      <c r="VIP2" s="97"/>
      <c r="VIQ2" s="97"/>
      <c r="VIR2" s="97"/>
      <c r="VIS2" s="97"/>
      <c r="VIT2" s="97"/>
      <c r="VIU2" s="97"/>
      <c r="VIV2" s="97"/>
      <c r="VIW2" s="97"/>
      <c r="VIX2" s="97"/>
      <c r="VIY2" s="97"/>
      <c r="VIZ2" s="97"/>
      <c r="VJA2" s="97"/>
      <c r="VJB2" s="97"/>
      <c r="VJC2" s="97"/>
      <c r="VJD2" s="97"/>
      <c r="VJE2" s="97"/>
      <c r="VJF2" s="97"/>
      <c r="VJG2" s="97"/>
      <c r="VJH2" s="97"/>
      <c r="VJI2" s="97"/>
      <c r="VJJ2" s="97"/>
      <c r="VJK2" s="97"/>
      <c r="VJL2" s="97"/>
      <c r="VJM2" s="97"/>
      <c r="VJN2" s="97"/>
      <c r="VJO2" s="97"/>
      <c r="VJP2" s="97"/>
      <c r="VJQ2" s="97"/>
      <c r="VJR2" s="97"/>
      <c r="VJS2" s="97"/>
      <c r="VJT2" s="97"/>
      <c r="VJU2" s="97"/>
      <c r="VJV2" s="97"/>
      <c r="VJW2" s="97"/>
      <c r="VJX2" s="97"/>
      <c r="VJY2" s="97"/>
      <c r="VJZ2" s="97"/>
      <c r="VKA2" s="97"/>
      <c r="VKB2" s="97"/>
      <c r="VKC2" s="97"/>
      <c r="VKD2" s="97"/>
      <c r="VKE2" s="97"/>
      <c r="VKF2" s="97"/>
      <c r="VKG2" s="97"/>
      <c r="VKH2" s="97"/>
      <c r="VKI2" s="97"/>
      <c r="VKJ2" s="97"/>
      <c r="VKK2" s="97"/>
      <c r="VKL2" s="97"/>
      <c r="VKM2" s="97"/>
      <c r="VKN2" s="97"/>
      <c r="VKO2" s="97"/>
      <c r="VKP2" s="97"/>
      <c r="VKQ2" s="97"/>
      <c r="VKR2" s="97"/>
      <c r="VKS2" s="97"/>
      <c r="VKT2" s="97"/>
      <c r="VKU2" s="97"/>
      <c r="VKV2" s="97"/>
      <c r="VKW2" s="97"/>
      <c r="VKX2" s="97"/>
      <c r="VKY2" s="97"/>
      <c r="VKZ2" s="97"/>
      <c r="VLA2" s="97"/>
      <c r="VLB2" s="97"/>
      <c r="VLC2" s="97"/>
      <c r="VLD2" s="97"/>
      <c r="VLE2" s="97"/>
      <c r="VLF2" s="97"/>
      <c r="VLG2" s="97"/>
      <c r="VLH2" s="97"/>
      <c r="VLI2" s="97"/>
      <c r="VLJ2" s="97"/>
      <c r="VLK2" s="97"/>
      <c r="VLL2" s="97"/>
      <c r="VLM2" s="97"/>
      <c r="VLN2" s="97"/>
      <c r="VLO2" s="97"/>
      <c r="VLP2" s="97"/>
      <c r="VLQ2" s="97"/>
      <c r="VLR2" s="97"/>
      <c r="VLS2" s="97"/>
      <c r="VLT2" s="97"/>
      <c r="VLU2" s="97"/>
      <c r="VLV2" s="97"/>
      <c r="VLW2" s="97"/>
      <c r="VLX2" s="97"/>
      <c r="VLY2" s="97"/>
      <c r="VLZ2" s="97"/>
      <c r="VMA2" s="97"/>
      <c r="VMB2" s="97"/>
      <c r="VMC2" s="97"/>
      <c r="VMD2" s="97"/>
      <c r="VME2" s="97"/>
      <c r="VMF2" s="97"/>
      <c r="VMG2" s="97"/>
      <c r="VMH2" s="97"/>
      <c r="VMI2" s="97"/>
      <c r="VMJ2" s="97"/>
      <c r="VMK2" s="97"/>
      <c r="VML2" s="97"/>
      <c r="VMM2" s="97"/>
      <c r="VMN2" s="97"/>
      <c r="VMO2" s="97"/>
      <c r="VMP2" s="97"/>
      <c r="VMQ2" s="97"/>
      <c r="VMR2" s="97"/>
      <c r="VMS2" s="97"/>
      <c r="VMT2" s="97"/>
      <c r="VMU2" s="97"/>
      <c r="VMV2" s="97"/>
      <c r="VMW2" s="97"/>
      <c r="VMX2" s="97"/>
      <c r="VMY2" s="97"/>
      <c r="VMZ2" s="97"/>
      <c r="VNA2" s="97"/>
      <c r="VNB2" s="97"/>
      <c r="VNC2" s="97"/>
      <c r="VND2" s="97"/>
      <c r="VNE2" s="97"/>
      <c r="VNF2" s="97"/>
      <c r="VNG2" s="97"/>
      <c r="VNH2" s="97"/>
      <c r="VNI2" s="97"/>
      <c r="VNJ2" s="97"/>
      <c r="VNK2" s="97"/>
      <c r="VNL2" s="97"/>
      <c r="VNM2" s="97"/>
      <c r="VNN2" s="97"/>
      <c r="VNO2" s="97"/>
      <c r="VNP2" s="97"/>
      <c r="VNQ2" s="97"/>
      <c r="VNR2" s="97"/>
      <c r="VNS2" s="97"/>
      <c r="VNT2" s="97"/>
      <c r="VNU2" s="97"/>
      <c r="VNV2" s="97"/>
      <c r="VNW2" s="97"/>
      <c r="VNX2" s="97"/>
      <c r="VNY2" s="97"/>
      <c r="VNZ2" s="97"/>
      <c r="VOA2" s="97"/>
      <c r="VOB2" s="97"/>
      <c r="VOC2" s="97"/>
      <c r="VOD2" s="97"/>
      <c r="VOE2" s="97"/>
      <c r="VOF2" s="97"/>
      <c r="VOG2" s="97"/>
      <c r="VOH2" s="97"/>
      <c r="VOI2" s="97"/>
      <c r="VOJ2" s="97"/>
      <c r="VOK2" s="97"/>
      <c r="VOL2" s="97"/>
      <c r="VOM2" s="97"/>
      <c r="VON2" s="97"/>
      <c r="VOO2" s="97"/>
      <c r="VOP2" s="97"/>
      <c r="VOQ2" s="97"/>
      <c r="VOR2" s="97"/>
      <c r="VOS2" s="97"/>
      <c r="VOT2" s="97"/>
      <c r="VOU2" s="97"/>
      <c r="VOV2" s="97"/>
      <c r="VOW2" s="97"/>
      <c r="VOX2" s="97"/>
      <c r="VOY2" s="97"/>
      <c r="VOZ2" s="97"/>
      <c r="VPA2" s="97"/>
      <c r="VPB2" s="97"/>
      <c r="VPC2" s="97"/>
      <c r="VPD2" s="97"/>
      <c r="VPE2" s="97"/>
      <c r="VPF2" s="97"/>
      <c r="VPG2" s="97"/>
      <c r="VPH2" s="97"/>
      <c r="VPI2" s="97"/>
      <c r="VPJ2" s="97"/>
      <c r="VPK2" s="97"/>
      <c r="VPL2" s="97"/>
      <c r="VPM2" s="97"/>
      <c r="VPN2" s="97"/>
      <c r="VPO2" s="97"/>
      <c r="VPP2" s="97"/>
      <c r="VPQ2" s="97"/>
      <c r="VPR2" s="97"/>
      <c r="VPS2" s="97"/>
      <c r="VPT2" s="97"/>
      <c r="VPU2" s="97"/>
      <c r="VPV2" s="97"/>
      <c r="VPW2" s="97"/>
      <c r="VPX2" s="97"/>
      <c r="VPY2" s="97"/>
      <c r="VPZ2" s="97"/>
      <c r="VQA2" s="97"/>
      <c r="VQB2" s="97"/>
      <c r="VQC2" s="97"/>
      <c r="VQD2" s="97"/>
      <c r="VQE2" s="97"/>
      <c r="VQF2" s="97"/>
      <c r="VQG2" s="97"/>
      <c r="VQH2" s="97"/>
      <c r="VQI2" s="97"/>
      <c r="VQJ2" s="97"/>
      <c r="VQK2" s="97"/>
      <c r="VQL2" s="97"/>
      <c r="VQM2" s="97"/>
      <c r="VQN2" s="97"/>
      <c r="VQO2" s="97"/>
      <c r="VQP2" s="97"/>
      <c r="VQQ2" s="97"/>
      <c r="VQR2" s="97"/>
      <c r="VQS2" s="97"/>
      <c r="VQT2" s="97"/>
      <c r="VQU2" s="97"/>
      <c r="VQV2" s="97"/>
      <c r="VQW2" s="97"/>
      <c r="VQX2" s="97"/>
      <c r="VQY2" s="97"/>
      <c r="VQZ2" s="97"/>
      <c r="VRA2" s="97"/>
      <c r="VRB2" s="97"/>
      <c r="VRC2" s="97"/>
      <c r="VRD2" s="97"/>
      <c r="VRE2" s="97"/>
      <c r="VRF2" s="97"/>
      <c r="VRG2" s="97"/>
      <c r="VRH2" s="97"/>
      <c r="VRI2" s="97"/>
      <c r="VRJ2" s="97"/>
      <c r="VRK2" s="97"/>
      <c r="VRL2" s="97"/>
      <c r="VRM2" s="97"/>
      <c r="VRN2" s="97"/>
      <c r="VRO2" s="97"/>
      <c r="VRP2" s="97"/>
      <c r="VRQ2" s="97"/>
      <c r="VRR2" s="97"/>
      <c r="VRS2" s="97"/>
      <c r="VRT2" s="97"/>
      <c r="VRU2" s="97"/>
      <c r="VRV2" s="97"/>
      <c r="VRW2" s="97"/>
      <c r="VRX2" s="97"/>
      <c r="VRY2" s="97"/>
      <c r="VRZ2" s="97"/>
      <c r="VSA2" s="97"/>
      <c r="VSB2" s="97"/>
      <c r="VSC2" s="97"/>
      <c r="VSD2" s="97"/>
      <c r="VSE2" s="97"/>
      <c r="VSF2" s="97"/>
      <c r="VSG2" s="97"/>
      <c r="VSH2" s="97"/>
      <c r="VSI2" s="97"/>
      <c r="VSJ2" s="97"/>
      <c r="VSK2" s="97"/>
      <c r="VSL2" s="97"/>
      <c r="VSM2" s="97"/>
      <c r="VSN2" s="97"/>
      <c r="VSO2" s="97"/>
      <c r="VSP2" s="97"/>
      <c r="VSQ2" s="97"/>
      <c r="VSR2" s="97"/>
      <c r="VSS2" s="97"/>
      <c r="VST2" s="97"/>
      <c r="VSU2" s="97"/>
      <c r="VSV2" s="97"/>
      <c r="VSW2" s="97"/>
      <c r="VSX2" s="97"/>
      <c r="VSY2" s="97"/>
      <c r="VSZ2" s="97"/>
      <c r="VTA2" s="97"/>
      <c r="VTB2" s="97"/>
      <c r="VTC2" s="97"/>
      <c r="VTD2" s="97"/>
      <c r="VTE2" s="97"/>
      <c r="VTF2" s="97"/>
      <c r="VTG2" s="97"/>
      <c r="VTH2" s="97"/>
      <c r="VTI2" s="97"/>
      <c r="VTJ2" s="97"/>
      <c r="VTK2" s="97"/>
      <c r="VTL2" s="97"/>
      <c r="VTM2" s="97"/>
      <c r="VTN2" s="97"/>
      <c r="VTO2" s="97"/>
      <c r="VTP2" s="97"/>
      <c r="VTQ2" s="97"/>
      <c r="VTR2" s="97"/>
      <c r="VTS2" s="97"/>
      <c r="VTT2" s="97"/>
      <c r="VTU2" s="97"/>
      <c r="VTV2" s="97"/>
      <c r="VTW2" s="97"/>
      <c r="VTX2" s="97"/>
      <c r="VTY2" s="97"/>
      <c r="VTZ2" s="97"/>
      <c r="VUA2" s="97"/>
      <c r="VUB2" s="97"/>
      <c r="VUC2" s="97"/>
      <c r="VUD2" s="97"/>
      <c r="VUE2" s="97"/>
      <c r="VUF2" s="97"/>
      <c r="VUG2" s="97"/>
      <c r="VUH2" s="97"/>
      <c r="VUI2" s="97"/>
      <c r="VUJ2" s="97"/>
      <c r="VUK2" s="97"/>
      <c r="VUL2" s="97"/>
      <c r="VUM2" s="97"/>
      <c r="VUN2" s="97"/>
      <c r="VUO2" s="97"/>
      <c r="VUP2" s="97"/>
      <c r="VUQ2" s="97"/>
      <c r="VUR2" s="97"/>
      <c r="VUS2" s="97"/>
      <c r="VUT2" s="97"/>
      <c r="VUU2" s="97"/>
      <c r="VUV2" s="97"/>
      <c r="VUW2" s="97"/>
      <c r="VUX2" s="97"/>
      <c r="VUY2" s="97"/>
      <c r="VUZ2" s="97"/>
      <c r="VVA2" s="97"/>
      <c r="VVB2" s="97"/>
      <c r="VVC2" s="97"/>
      <c r="VVD2" s="97"/>
      <c r="VVE2" s="97"/>
      <c r="VVF2" s="97"/>
      <c r="VVG2" s="97"/>
      <c r="VVH2" s="97"/>
      <c r="VVI2" s="97"/>
      <c r="VVJ2" s="97"/>
      <c r="VVK2" s="97"/>
      <c r="VVL2" s="97"/>
      <c r="VVM2" s="97"/>
      <c r="VVN2" s="97"/>
      <c r="VVO2" s="97"/>
      <c r="VVP2" s="97"/>
      <c r="VVQ2" s="97"/>
      <c r="VVR2" s="97"/>
      <c r="VVS2" s="97"/>
      <c r="VVT2" s="97"/>
      <c r="VVU2" s="97"/>
      <c r="VVV2" s="97"/>
      <c r="VVW2" s="97"/>
      <c r="VVX2" s="97"/>
      <c r="VVY2" s="97"/>
      <c r="VVZ2" s="97"/>
      <c r="VWA2" s="97"/>
      <c r="VWB2" s="97"/>
      <c r="VWC2" s="97"/>
      <c r="VWD2" s="97"/>
      <c r="VWE2" s="97"/>
      <c r="VWF2" s="97"/>
      <c r="VWG2" s="97"/>
      <c r="VWH2" s="97"/>
      <c r="VWI2" s="97"/>
      <c r="VWJ2" s="97"/>
      <c r="VWK2" s="97"/>
      <c r="VWL2" s="97"/>
      <c r="VWM2" s="97"/>
      <c r="VWN2" s="97"/>
      <c r="VWO2" s="97"/>
      <c r="VWP2" s="97"/>
      <c r="VWQ2" s="97"/>
      <c r="VWR2" s="97"/>
      <c r="VWS2" s="97"/>
      <c r="VWT2" s="97"/>
      <c r="VWU2" s="97"/>
      <c r="VWV2" s="97"/>
      <c r="VWW2" s="97"/>
      <c r="VWX2" s="97"/>
      <c r="VWY2" s="97"/>
      <c r="VWZ2" s="97"/>
      <c r="VXA2" s="97"/>
      <c r="VXB2" s="97"/>
      <c r="VXC2" s="97"/>
      <c r="VXD2" s="97"/>
      <c r="VXE2" s="97"/>
      <c r="VXF2" s="97"/>
      <c r="VXG2" s="97"/>
      <c r="VXH2" s="97"/>
      <c r="VXI2" s="97"/>
      <c r="VXJ2" s="97"/>
      <c r="VXK2" s="97"/>
      <c r="VXL2" s="97"/>
      <c r="VXM2" s="97"/>
      <c r="VXN2" s="97"/>
      <c r="VXO2" s="97"/>
      <c r="VXP2" s="97"/>
      <c r="VXQ2" s="97"/>
      <c r="VXR2" s="97"/>
      <c r="VXS2" s="97"/>
      <c r="VXT2" s="97"/>
      <c r="VXU2" s="97"/>
      <c r="VXV2" s="97"/>
      <c r="VXW2" s="97"/>
      <c r="VXX2" s="97"/>
      <c r="VXY2" s="97"/>
      <c r="VXZ2" s="97"/>
      <c r="VYA2" s="97"/>
      <c r="VYB2" s="97"/>
      <c r="VYC2" s="97"/>
      <c r="VYD2" s="97"/>
      <c r="VYE2" s="97"/>
      <c r="VYF2" s="97"/>
      <c r="VYG2" s="97"/>
      <c r="VYH2" s="97"/>
      <c r="VYI2" s="97"/>
      <c r="VYJ2" s="97"/>
      <c r="VYK2" s="97"/>
      <c r="VYL2" s="97"/>
      <c r="VYM2" s="97"/>
      <c r="VYN2" s="97"/>
      <c r="VYO2" s="97"/>
      <c r="VYP2" s="97"/>
      <c r="VYQ2" s="97"/>
      <c r="VYR2" s="97"/>
      <c r="VYS2" s="97"/>
      <c r="VYT2" s="97"/>
      <c r="VYU2" s="97"/>
      <c r="VYV2" s="97"/>
      <c r="VYW2" s="97"/>
      <c r="VYX2" s="97"/>
      <c r="VYY2" s="97"/>
      <c r="VYZ2" s="97"/>
      <c r="VZA2" s="97"/>
      <c r="VZB2" s="97"/>
      <c r="VZC2" s="97"/>
      <c r="VZD2" s="97"/>
      <c r="VZE2" s="97"/>
      <c r="VZF2" s="97"/>
      <c r="VZG2" s="97"/>
      <c r="VZH2" s="97"/>
      <c r="VZI2" s="97"/>
      <c r="VZJ2" s="97"/>
      <c r="VZK2" s="97"/>
      <c r="VZL2" s="97"/>
      <c r="VZM2" s="97"/>
      <c r="VZN2" s="97"/>
      <c r="VZO2" s="97"/>
      <c r="VZP2" s="97"/>
      <c r="VZQ2" s="97"/>
      <c r="VZR2" s="97"/>
      <c r="VZS2" s="97"/>
      <c r="VZT2" s="97"/>
      <c r="VZU2" s="97"/>
      <c r="VZV2" s="97"/>
      <c r="VZW2" s="97"/>
      <c r="VZX2" s="97"/>
      <c r="VZY2" s="97"/>
      <c r="VZZ2" s="97"/>
      <c r="WAA2" s="97"/>
      <c r="WAB2" s="97"/>
      <c r="WAC2" s="97"/>
      <c r="WAD2" s="97"/>
      <c r="WAE2" s="97"/>
      <c r="WAF2" s="97"/>
      <c r="WAG2" s="97"/>
      <c r="WAH2" s="97"/>
      <c r="WAI2" s="97"/>
      <c r="WAJ2" s="97"/>
      <c r="WAK2" s="97"/>
      <c r="WAL2" s="97"/>
      <c r="WAM2" s="97"/>
      <c r="WAN2" s="97"/>
      <c r="WAO2" s="97"/>
      <c r="WAP2" s="97"/>
      <c r="WAQ2" s="97"/>
      <c r="WAR2" s="97"/>
      <c r="WAS2" s="97"/>
      <c r="WAT2" s="97"/>
      <c r="WAU2" s="97"/>
      <c r="WAV2" s="97"/>
      <c r="WAW2" s="97"/>
      <c r="WAX2" s="97"/>
      <c r="WAY2" s="97"/>
      <c r="WAZ2" s="97"/>
      <c r="WBA2" s="97"/>
      <c r="WBB2" s="97"/>
      <c r="WBC2" s="97"/>
      <c r="WBD2" s="97"/>
      <c r="WBE2" s="97"/>
      <c r="WBF2" s="97"/>
      <c r="WBG2" s="97"/>
      <c r="WBH2" s="97"/>
      <c r="WBI2" s="97"/>
      <c r="WBJ2" s="97"/>
      <c r="WBK2" s="97"/>
      <c r="WBL2" s="97"/>
      <c r="WBM2" s="97"/>
      <c r="WBN2" s="97"/>
      <c r="WBO2" s="97"/>
      <c r="WBP2" s="97"/>
      <c r="WBQ2" s="97"/>
      <c r="WBR2" s="97"/>
      <c r="WBS2" s="97"/>
      <c r="WBT2" s="97"/>
      <c r="WBU2" s="97"/>
      <c r="WBV2" s="97"/>
      <c r="WBW2" s="97"/>
      <c r="WBX2" s="97"/>
      <c r="WBY2" s="97"/>
      <c r="WBZ2" s="97"/>
      <c r="WCA2" s="97"/>
      <c r="WCB2" s="97"/>
      <c r="WCC2" s="97"/>
      <c r="WCD2" s="97"/>
      <c r="WCE2" s="97"/>
      <c r="WCF2" s="97"/>
      <c r="WCG2" s="97"/>
      <c r="WCH2" s="97"/>
      <c r="WCI2" s="97"/>
      <c r="WCJ2" s="97"/>
      <c r="WCK2" s="97"/>
      <c r="WCL2" s="97"/>
      <c r="WCM2" s="97"/>
      <c r="WCN2" s="97"/>
      <c r="WCO2" s="97"/>
      <c r="WCP2" s="97"/>
      <c r="WCQ2" s="97"/>
      <c r="WCR2" s="97"/>
      <c r="WCS2" s="97"/>
      <c r="WCT2" s="97"/>
      <c r="WCU2" s="97"/>
      <c r="WCV2" s="97"/>
      <c r="WCW2" s="97"/>
      <c r="WCX2" s="97"/>
      <c r="WCY2" s="97"/>
      <c r="WCZ2" s="97"/>
      <c r="WDA2" s="97"/>
      <c r="WDB2" s="97"/>
      <c r="WDC2" s="97"/>
      <c r="WDD2" s="97"/>
      <c r="WDE2" s="97"/>
      <c r="WDF2" s="97"/>
      <c r="WDG2" s="97"/>
      <c r="WDH2" s="97"/>
      <c r="WDI2" s="97"/>
      <c r="WDJ2" s="97"/>
      <c r="WDK2" s="97"/>
      <c r="WDL2" s="97"/>
      <c r="WDM2" s="97"/>
      <c r="WDN2" s="97"/>
      <c r="WDO2" s="97"/>
      <c r="WDP2" s="97"/>
      <c r="WDQ2" s="97"/>
      <c r="WDR2" s="97"/>
      <c r="WDS2" s="97"/>
      <c r="WDT2" s="97"/>
      <c r="WDU2" s="97"/>
      <c r="WDV2" s="97"/>
      <c r="WDW2" s="97"/>
      <c r="WDX2" s="97"/>
      <c r="WDY2" s="97"/>
      <c r="WDZ2" s="97"/>
      <c r="WEA2" s="97"/>
      <c r="WEB2" s="97"/>
      <c r="WEC2" s="97"/>
      <c r="WED2" s="97"/>
      <c r="WEE2" s="97"/>
      <c r="WEF2" s="97"/>
      <c r="WEG2" s="97"/>
      <c r="WEH2" s="97"/>
      <c r="WEI2" s="97"/>
      <c r="WEJ2" s="97"/>
      <c r="WEK2" s="97"/>
      <c r="WEL2" s="97"/>
      <c r="WEM2" s="97"/>
      <c r="WEN2" s="97"/>
      <c r="WEO2" s="97"/>
      <c r="WEP2" s="97"/>
      <c r="WEQ2" s="97"/>
      <c r="WER2" s="97"/>
      <c r="WES2" s="97"/>
      <c r="WET2" s="97"/>
      <c r="WEU2" s="97"/>
      <c r="WEV2" s="97"/>
      <c r="WEW2" s="97"/>
      <c r="WEX2" s="97"/>
      <c r="WEY2" s="97"/>
      <c r="WEZ2" s="97"/>
      <c r="WFA2" s="97"/>
      <c r="WFB2" s="97"/>
      <c r="WFC2" s="97"/>
      <c r="WFD2" s="97"/>
      <c r="WFE2" s="97"/>
      <c r="WFF2" s="97"/>
      <c r="WFG2" s="97"/>
      <c r="WFH2" s="97"/>
      <c r="WFI2" s="97"/>
      <c r="WFJ2" s="97"/>
      <c r="WFK2" s="97"/>
      <c r="WFL2" s="97"/>
      <c r="WFM2" s="97"/>
      <c r="WFN2" s="97"/>
      <c r="WFO2" s="97"/>
      <c r="WFP2" s="97"/>
      <c r="WFQ2" s="97"/>
      <c r="WFR2" s="97"/>
      <c r="WFS2" s="97"/>
      <c r="WFT2" s="97"/>
      <c r="WFU2" s="97"/>
      <c r="WFV2" s="97"/>
      <c r="WFW2" s="97"/>
      <c r="WFX2" s="97"/>
      <c r="WFY2" s="97"/>
      <c r="WFZ2" s="97"/>
      <c r="WGA2" s="97"/>
      <c r="WGB2" s="97"/>
      <c r="WGC2" s="97"/>
      <c r="WGD2" s="97"/>
      <c r="WGE2" s="97"/>
      <c r="WGF2" s="97"/>
      <c r="WGG2" s="97"/>
      <c r="WGH2" s="97"/>
      <c r="WGI2" s="97"/>
      <c r="WGJ2" s="97"/>
      <c r="WGK2" s="97"/>
      <c r="WGL2" s="97"/>
      <c r="WGM2" s="97"/>
      <c r="WGN2" s="97"/>
      <c r="WGO2" s="97"/>
      <c r="WGP2" s="97"/>
      <c r="WGQ2" s="97"/>
      <c r="WGR2" s="97"/>
      <c r="WGS2" s="97"/>
      <c r="WGT2" s="97"/>
      <c r="WGU2" s="97"/>
      <c r="WGV2" s="97"/>
      <c r="WGW2" s="97"/>
      <c r="WGX2" s="97"/>
      <c r="WGY2" s="97"/>
      <c r="WGZ2" s="97"/>
      <c r="WHA2" s="97"/>
      <c r="WHB2" s="97"/>
      <c r="WHC2" s="97"/>
      <c r="WHD2" s="97"/>
      <c r="WHE2" s="97"/>
      <c r="WHF2" s="97"/>
      <c r="WHG2" s="97"/>
      <c r="WHH2" s="97"/>
      <c r="WHI2" s="97"/>
      <c r="WHJ2" s="97"/>
      <c r="WHK2" s="97"/>
      <c r="WHL2" s="97"/>
      <c r="WHM2" s="97"/>
      <c r="WHN2" s="97"/>
      <c r="WHO2" s="97"/>
      <c r="WHP2" s="97"/>
      <c r="WHQ2" s="97"/>
      <c r="WHR2" s="97"/>
      <c r="WHS2" s="97"/>
      <c r="WHT2" s="97"/>
      <c r="WHU2" s="97"/>
      <c r="WHV2" s="97"/>
      <c r="WHW2" s="97"/>
      <c r="WHX2" s="97"/>
      <c r="WHY2" s="97"/>
      <c r="WHZ2" s="97"/>
      <c r="WIA2" s="97"/>
      <c r="WIB2" s="97"/>
      <c r="WIC2" s="97"/>
      <c r="WID2" s="97"/>
      <c r="WIE2" s="97"/>
      <c r="WIF2" s="97"/>
      <c r="WIG2" s="97"/>
      <c r="WIH2" s="97"/>
      <c r="WII2" s="97"/>
      <c r="WIJ2" s="97"/>
      <c r="WIK2" s="97"/>
      <c r="WIL2" s="97"/>
      <c r="WIM2" s="97"/>
      <c r="WIN2" s="97"/>
      <c r="WIO2" s="97"/>
      <c r="WIP2" s="97"/>
      <c r="WIQ2" s="97"/>
      <c r="WIR2" s="97"/>
      <c r="WIS2" s="97"/>
      <c r="WIT2" s="97"/>
      <c r="WIU2" s="97"/>
      <c r="WIV2" s="97"/>
      <c r="WIW2" s="97"/>
      <c r="WIX2" s="97"/>
      <c r="WIY2" s="97"/>
      <c r="WIZ2" s="97"/>
      <c r="WJA2" s="97"/>
      <c r="WJB2" s="97"/>
      <c r="WJC2" s="97"/>
      <c r="WJD2" s="97"/>
      <c r="WJE2" s="97"/>
      <c r="WJF2" s="97"/>
      <c r="WJG2" s="97"/>
      <c r="WJH2" s="97"/>
      <c r="WJI2" s="97"/>
      <c r="WJJ2" s="97"/>
      <c r="WJK2" s="97"/>
      <c r="WJL2" s="97"/>
      <c r="WJM2" s="97"/>
      <c r="WJN2" s="97"/>
      <c r="WJO2" s="97"/>
      <c r="WJP2" s="97"/>
      <c r="WJQ2" s="97"/>
      <c r="WJR2" s="97"/>
      <c r="WJS2" s="97"/>
      <c r="WJT2" s="97"/>
      <c r="WJU2" s="97"/>
      <c r="WJV2" s="97"/>
      <c r="WJW2" s="97"/>
      <c r="WJX2" s="97"/>
      <c r="WJY2" s="97"/>
      <c r="WJZ2" s="97"/>
      <c r="WKA2" s="97"/>
      <c r="WKB2" s="97"/>
      <c r="WKC2" s="97"/>
      <c r="WKD2" s="97"/>
      <c r="WKE2" s="97"/>
      <c r="WKF2" s="97"/>
      <c r="WKG2" s="97"/>
      <c r="WKH2" s="97"/>
      <c r="WKI2" s="97"/>
      <c r="WKJ2" s="97"/>
      <c r="WKK2" s="97"/>
      <c r="WKL2" s="97"/>
      <c r="WKM2" s="97"/>
      <c r="WKN2" s="97"/>
      <c r="WKO2" s="97"/>
      <c r="WKP2" s="97"/>
      <c r="WKQ2" s="97"/>
      <c r="WKR2" s="97"/>
      <c r="WKS2" s="97"/>
      <c r="WKT2" s="97"/>
      <c r="WKU2" s="97"/>
      <c r="WKV2" s="97"/>
      <c r="WKW2" s="97"/>
      <c r="WKX2" s="97"/>
      <c r="WKY2" s="97"/>
      <c r="WKZ2" s="97"/>
      <c r="WLA2" s="97"/>
      <c r="WLB2" s="97"/>
      <c r="WLC2" s="97"/>
      <c r="WLD2" s="97"/>
      <c r="WLE2" s="97"/>
      <c r="WLF2" s="97"/>
      <c r="WLG2" s="97"/>
      <c r="WLH2" s="97"/>
      <c r="WLI2" s="97"/>
      <c r="WLJ2" s="97"/>
      <c r="WLK2" s="97"/>
      <c r="WLL2" s="97"/>
      <c r="WLM2" s="97"/>
      <c r="WLN2" s="97"/>
      <c r="WLO2" s="97"/>
      <c r="WLP2" s="97"/>
      <c r="WLQ2" s="97"/>
      <c r="WLR2" s="97"/>
      <c r="WLS2" s="97"/>
      <c r="WLT2" s="97"/>
      <c r="WLU2" s="97"/>
      <c r="WLV2" s="97"/>
      <c r="WLW2" s="97"/>
      <c r="WLX2" s="97"/>
      <c r="WLY2" s="97"/>
      <c r="WLZ2" s="97"/>
      <c r="WMA2" s="97"/>
      <c r="WMB2" s="97"/>
      <c r="WMC2" s="97"/>
      <c r="WMD2" s="97"/>
      <c r="WME2" s="97"/>
      <c r="WMF2" s="97"/>
      <c r="WMG2" s="97"/>
      <c r="WMH2" s="97"/>
      <c r="WMI2" s="97"/>
      <c r="WMJ2" s="97"/>
      <c r="WMK2" s="97"/>
      <c r="WML2" s="97"/>
      <c r="WMM2" s="97"/>
      <c r="WMN2" s="97"/>
      <c r="WMO2" s="97"/>
      <c r="WMP2" s="97"/>
      <c r="WMQ2" s="97"/>
      <c r="WMR2" s="97"/>
      <c r="WMS2" s="97"/>
      <c r="WMT2" s="97"/>
      <c r="WMU2" s="97"/>
      <c r="WMV2" s="97"/>
      <c r="WMW2" s="97"/>
      <c r="WMX2" s="97"/>
      <c r="WMY2" s="97"/>
      <c r="WMZ2" s="97"/>
      <c r="WNA2" s="97"/>
      <c r="WNB2" s="97"/>
      <c r="WNC2" s="97"/>
      <c r="WND2" s="97"/>
      <c r="WNE2" s="97"/>
      <c r="WNF2" s="97"/>
      <c r="WNG2" s="97"/>
      <c r="WNH2" s="97"/>
      <c r="WNI2" s="97"/>
      <c r="WNJ2" s="97"/>
      <c r="WNK2" s="97"/>
      <c r="WNL2" s="97"/>
      <c r="WNM2" s="97"/>
      <c r="WNN2" s="97"/>
      <c r="WNO2" s="97"/>
      <c r="WNP2" s="97"/>
      <c r="WNQ2" s="97"/>
      <c r="WNR2" s="97"/>
      <c r="WNS2" s="97"/>
      <c r="WNT2" s="97"/>
      <c r="WNU2" s="97"/>
      <c r="WNV2" s="97"/>
      <c r="WNW2" s="97"/>
      <c r="WNX2" s="97"/>
      <c r="WNY2" s="97"/>
      <c r="WNZ2" s="97"/>
      <c r="WOA2" s="97"/>
      <c r="WOB2" s="97"/>
      <c r="WOC2" s="97"/>
      <c r="WOD2" s="97"/>
      <c r="WOE2" s="97"/>
      <c r="WOF2" s="97"/>
      <c r="WOG2" s="97"/>
      <c r="WOH2" s="97"/>
      <c r="WOI2" s="97"/>
      <c r="WOJ2" s="97"/>
      <c r="WOK2" s="97"/>
      <c r="WOL2" s="97"/>
      <c r="WOM2" s="97"/>
      <c r="WON2" s="97"/>
      <c r="WOO2" s="97"/>
      <c r="WOP2" s="97"/>
      <c r="WOQ2" s="97"/>
      <c r="WOR2" s="97"/>
      <c r="WOS2" s="97"/>
      <c r="WOT2" s="97"/>
      <c r="WOU2" s="97"/>
      <c r="WOV2" s="97"/>
      <c r="WOW2" s="97"/>
      <c r="WOX2" s="97"/>
      <c r="WOY2" s="97"/>
      <c r="WOZ2" s="97"/>
      <c r="WPA2" s="97"/>
      <c r="WPB2" s="97"/>
      <c r="WPC2" s="97"/>
      <c r="WPD2" s="97"/>
      <c r="WPE2" s="97"/>
      <c r="WPF2" s="97"/>
      <c r="WPG2" s="97"/>
      <c r="WPH2" s="97"/>
      <c r="WPI2" s="97"/>
      <c r="WPJ2" s="97"/>
      <c r="WPK2" s="97"/>
      <c r="WPL2" s="97"/>
      <c r="WPM2" s="97"/>
      <c r="WPN2" s="97"/>
      <c r="WPO2" s="97"/>
      <c r="WPP2" s="97"/>
      <c r="WPQ2" s="97"/>
      <c r="WPR2" s="97"/>
      <c r="WPS2" s="97"/>
      <c r="WPT2" s="97"/>
      <c r="WPU2" s="97"/>
      <c r="WPV2" s="97"/>
      <c r="WPW2" s="97"/>
      <c r="WPX2" s="97"/>
      <c r="WPY2" s="97"/>
      <c r="WPZ2" s="97"/>
      <c r="WQA2" s="97"/>
      <c r="WQB2" s="97"/>
      <c r="WQC2" s="97"/>
      <c r="WQD2" s="97"/>
      <c r="WQE2" s="97"/>
      <c r="WQF2" s="97"/>
      <c r="WQG2" s="97"/>
      <c r="WQH2" s="97"/>
      <c r="WQI2" s="97"/>
      <c r="WQJ2" s="97"/>
      <c r="WQK2" s="97"/>
      <c r="WQL2" s="97"/>
      <c r="WQM2" s="97"/>
      <c r="WQN2" s="97"/>
      <c r="WQO2" s="97"/>
      <c r="WQP2" s="97"/>
      <c r="WQQ2" s="97"/>
      <c r="WQR2" s="97"/>
      <c r="WQS2" s="97"/>
      <c r="WQT2" s="97"/>
      <c r="WQU2" s="97"/>
      <c r="WQV2" s="97"/>
      <c r="WQW2" s="97"/>
      <c r="WQX2" s="97"/>
      <c r="WQY2" s="97"/>
      <c r="WQZ2" s="97"/>
      <c r="WRA2" s="97"/>
      <c r="WRB2" s="97"/>
      <c r="WRC2" s="97"/>
      <c r="WRD2" s="97"/>
      <c r="WRE2" s="97"/>
      <c r="WRF2" s="97"/>
      <c r="WRG2" s="97"/>
      <c r="WRH2" s="97"/>
      <c r="WRI2" s="97"/>
      <c r="WRJ2" s="97"/>
      <c r="WRK2" s="97"/>
      <c r="WRL2" s="97"/>
      <c r="WRM2" s="97"/>
      <c r="WRN2" s="97"/>
      <c r="WRO2" s="97"/>
      <c r="WRP2" s="97"/>
      <c r="WRQ2" s="97"/>
      <c r="WRR2" s="97"/>
      <c r="WRS2" s="97"/>
      <c r="WRT2" s="97"/>
      <c r="WRU2" s="97"/>
      <c r="WRV2" s="97"/>
      <c r="WRW2" s="97"/>
      <c r="WRX2" s="97"/>
      <c r="WRY2" s="97"/>
      <c r="WRZ2" s="97"/>
      <c r="WSA2" s="97"/>
      <c r="WSB2" s="97"/>
      <c r="WSC2" s="97"/>
      <c r="WSD2" s="97"/>
      <c r="WSE2" s="97"/>
      <c r="WSF2" s="97"/>
      <c r="WSG2" s="97"/>
      <c r="WSH2" s="97"/>
      <c r="WSI2" s="97"/>
      <c r="WSJ2" s="97"/>
      <c r="WSK2" s="97"/>
      <c r="WSL2" s="97"/>
      <c r="WSM2" s="97"/>
      <c r="WSN2" s="97"/>
      <c r="WSO2" s="97"/>
      <c r="WSP2" s="97"/>
      <c r="WSQ2" s="97"/>
      <c r="WSR2" s="97"/>
      <c r="WSS2" s="97"/>
      <c r="WST2" s="97"/>
      <c r="WSU2" s="97"/>
      <c r="WSV2" s="97"/>
      <c r="WSW2" s="97"/>
      <c r="WSX2" s="97"/>
      <c r="WSY2" s="97"/>
      <c r="WSZ2" s="97"/>
      <c r="WTA2" s="97"/>
      <c r="WTB2" s="97"/>
      <c r="WTC2" s="97"/>
      <c r="WTD2" s="97"/>
      <c r="WTE2" s="97"/>
      <c r="WTF2" s="97"/>
      <c r="WTG2" s="97"/>
      <c r="WTH2" s="97"/>
      <c r="WTI2" s="97"/>
      <c r="WTJ2" s="97"/>
      <c r="WTK2" s="97"/>
      <c r="WTL2" s="97"/>
      <c r="WTM2" s="97"/>
      <c r="WTN2" s="97"/>
      <c r="WTO2" s="97"/>
      <c r="WTP2" s="97"/>
      <c r="WTQ2" s="97"/>
      <c r="WTR2" s="97"/>
      <c r="WTS2" s="97"/>
      <c r="WTT2" s="97"/>
      <c r="WTU2" s="97"/>
      <c r="WTV2" s="97"/>
      <c r="WTW2" s="97"/>
      <c r="WTX2" s="97"/>
      <c r="WTY2" s="97"/>
      <c r="WTZ2" s="97"/>
      <c r="WUA2" s="97"/>
      <c r="WUB2" s="97"/>
      <c r="WUC2" s="97"/>
      <c r="WUD2" s="97"/>
      <c r="WUE2" s="97"/>
      <c r="WUF2" s="97"/>
      <c r="WUG2" s="97"/>
      <c r="WUH2" s="97"/>
      <c r="WUI2" s="97"/>
      <c r="WUJ2" s="97"/>
      <c r="WUK2" s="97"/>
      <c r="WUL2" s="97"/>
      <c r="WUM2" s="97"/>
      <c r="WUN2" s="97"/>
      <c r="WUO2" s="97"/>
      <c r="WUP2" s="97"/>
      <c r="WUQ2" s="97"/>
      <c r="WUR2" s="97"/>
      <c r="WUS2" s="97"/>
      <c r="WUT2" s="97"/>
      <c r="WUU2" s="97"/>
      <c r="WUV2" s="97"/>
      <c r="WUW2" s="97"/>
      <c r="WUX2" s="97"/>
      <c r="WUY2" s="97"/>
      <c r="WUZ2" s="97"/>
      <c r="WVA2" s="97"/>
      <c r="WVB2" s="97"/>
      <c r="WVC2" s="97"/>
      <c r="WVD2" s="97"/>
      <c r="WVE2" s="97"/>
      <c r="WVF2" s="97"/>
      <c r="WVG2" s="97"/>
      <c r="WVH2" s="97"/>
      <c r="WVI2" s="97"/>
      <c r="WVJ2" s="97"/>
      <c r="WVK2" s="97"/>
      <c r="WVL2" s="97"/>
      <c r="WVM2" s="97"/>
      <c r="WVN2" s="97"/>
      <c r="WVO2" s="97"/>
      <c r="WVP2" s="97"/>
      <c r="WVQ2" s="97"/>
      <c r="WVR2" s="97"/>
      <c r="WVS2" s="97"/>
      <c r="WVT2" s="97"/>
      <c r="WVU2" s="97"/>
      <c r="WVV2" s="97"/>
      <c r="WVW2" s="97"/>
      <c r="WVX2" s="97"/>
      <c r="WVY2" s="97"/>
      <c r="WVZ2" s="97"/>
      <c r="WWA2" s="97"/>
      <c r="WWB2" s="97"/>
      <c r="WWC2" s="97"/>
      <c r="WWD2" s="97"/>
      <c r="WWE2" s="97"/>
      <c r="WWF2" s="97"/>
      <c r="WWG2" s="97"/>
      <c r="WWH2" s="97"/>
      <c r="WWI2" s="97"/>
      <c r="WWJ2" s="97"/>
      <c r="WWK2" s="97"/>
      <c r="WWL2" s="97"/>
      <c r="WWM2" s="97"/>
      <c r="WWN2" s="97"/>
      <c r="WWO2" s="97"/>
      <c r="WWP2" s="97"/>
      <c r="WWQ2" s="97"/>
      <c r="WWR2" s="97"/>
      <c r="WWS2" s="97"/>
      <c r="WWT2" s="97"/>
      <c r="WWU2" s="97"/>
      <c r="WWV2" s="97"/>
      <c r="WWW2" s="97"/>
      <c r="WWX2" s="97"/>
      <c r="WWY2" s="97"/>
      <c r="WWZ2" s="97"/>
      <c r="WXA2" s="97"/>
      <c r="WXB2" s="97"/>
      <c r="WXC2" s="97"/>
      <c r="WXD2" s="97"/>
      <c r="WXE2" s="97"/>
      <c r="WXF2" s="97"/>
      <c r="WXG2" s="97"/>
      <c r="WXH2" s="97"/>
      <c r="WXI2" s="97"/>
      <c r="WXJ2" s="97"/>
      <c r="WXK2" s="97"/>
      <c r="WXL2" s="97"/>
      <c r="WXM2" s="97"/>
      <c r="WXN2" s="97"/>
      <c r="WXO2" s="97"/>
      <c r="WXP2" s="97"/>
      <c r="WXQ2" s="97"/>
      <c r="WXR2" s="97"/>
      <c r="WXS2" s="97"/>
      <c r="WXT2" s="97"/>
      <c r="WXU2" s="97"/>
      <c r="WXV2" s="97"/>
      <c r="WXW2" s="97"/>
      <c r="WXX2" s="97"/>
      <c r="WXY2" s="97"/>
      <c r="WXZ2" s="97"/>
      <c r="WYA2" s="97"/>
      <c r="WYB2" s="97"/>
      <c r="WYC2" s="97"/>
      <c r="WYD2" s="97"/>
      <c r="WYE2" s="97"/>
      <c r="WYF2" s="97"/>
      <c r="WYG2" s="97"/>
      <c r="WYH2" s="97"/>
      <c r="WYI2" s="97"/>
      <c r="WYJ2" s="97"/>
      <c r="WYK2" s="97"/>
      <c r="WYL2" s="97"/>
      <c r="WYM2" s="97"/>
      <c r="WYN2" s="97"/>
      <c r="WYO2" s="97"/>
      <c r="WYP2" s="97"/>
      <c r="WYQ2" s="97"/>
      <c r="WYR2" s="97"/>
      <c r="WYS2" s="97"/>
      <c r="WYT2" s="97"/>
      <c r="WYU2" s="97"/>
      <c r="WYV2" s="97"/>
      <c r="WYW2" s="97"/>
      <c r="WYX2" s="97"/>
      <c r="WYY2" s="97"/>
      <c r="WYZ2" s="97"/>
      <c r="WZA2" s="97"/>
      <c r="WZB2" s="97"/>
      <c r="WZC2" s="97"/>
      <c r="WZD2" s="97"/>
      <c r="WZE2" s="97"/>
      <c r="WZF2" s="97"/>
      <c r="WZG2" s="97"/>
      <c r="WZH2" s="97"/>
      <c r="WZI2" s="97"/>
      <c r="WZJ2" s="97"/>
      <c r="WZK2" s="97"/>
      <c r="WZL2" s="97"/>
      <c r="WZM2" s="97"/>
      <c r="WZN2" s="97"/>
      <c r="WZO2" s="97"/>
      <c r="WZP2" s="97"/>
      <c r="WZQ2" s="97"/>
      <c r="WZR2" s="97"/>
      <c r="WZS2" s="97"/>
      <c r="WZT2" s="97"/>
      <c r="WZU2" s="97"/>
      <c r="WZV2" s="97"/>
      <c r="WZW2" s="97"/>
      <c r="WZX2" s="97"/>
      <c r="WZY2" s="97"/>
      <c r="WZZ2" s="97"/>
      <c r="XAA2" s="97"/>
      <c r="XAB2" s="97"/>
      <c r="XAC2" s="97"/>
      <c r="XAD2" s="97"/>
      <c r="XAE2" s="97"/>
      <c r="XAF2" s="97"/>
      <c r="XAG2" s="97"/>
      <c r="XAH2" s="97"/>
      <c r="XAI2" s="97"/>
      <c r="XAJ2" s="97"/>
      <c r="XAK2" s="97"/>
      <c r="XAL2" s="97"/>
      <c r="XAM2" s="97"/>
      <c r="XAN2" s="97"/>
      <c r="XAO2" s="97"/>
      <c r="XAP2" s="97"/>
      <c r="XAQ2" s="97"/>
      <c r="XAR2" s="97"/>
      <c r="XAS2" s="97"/>
      <c r="XAT2" s="97"/>
      <c r="XAU2" s="97"/>
      <c r="XAV2" s="97"/>
      <c r="XAW2" s="97"/>
      <c r="XAX2" s="97"/>
      <c r="XAY2" s="97"/>
      <c r="XAZ2" s="97"/>
      <c r="XBA2" s="97"/>
      <c r="XBB2" s="97"/>
      <c r="XBC2" s="97"/>
      <c r="XBD2" s="97"/>
      <c r="XBE2" s="97"/>
      <c r="XBF2" s="97"/>
      <c r="XBG2" s="97"/>
      <c r="XBH2" s="97"/>
      <c r="XBI2" s="97"/>
      <c r="XBJ2" s="97"/>
      <c r="XBK2" s="97"/>
      <c r="XBL2" s="97"/>
      <c r="XBM2" s="97"/>
      <c r="XBN2" s="97"/>
      <c r="XBO2" s="97"/>
      <c r="XBP2" s="97"/>
      <c r="XBQ2" s="97"/>
      <c r="XBR2" s="97"/>
      <c r="XBS2" s="97"/>
      <c r="XBT2" s="97"/>
      <c r="XBU2" s="97"/>
      <c r="XBV2" s="97"/>
      <c r="XBW2" s="97"/>
      <c r="XBX2" s="97"/>
      <c r="XBY2" s="97"/>
      <c r="XBZ2" s="97"/>
      <c r="XCA2" s="97"/>
      <c r="XCB2" s="97"/>
      <c r="XCC2" s="97"/>
      <c r="XCD2" s="97"/>
      <c r="XCE2" s="97"/>
      <c r="XCF2" s="97"/>
      <c r="XCG2" s="97"/>
      <c r="XCH2" s="97"/>
      <c r="XCI2" s="97"/>
      <c r="XCJ2" s="97"/>
      <c r="XCK2" s="97"/>
      <c r="XCL2" s="97"/>
      <c r="XCM2" s="97"/>
      <c r="XCN2" s="97"/>
      <c r="XCO2" s="97"/>
      <c r="XCP2" s="97"/>
      <c r="XCQ2" s="97"/>
      <c r="XCR2" s="97"/>
      <c r="XCS2" s="97"/>
      <c r="XCT2" s="97"/>
      <c r="XCU2" s="97"/>
      <c r="XCV2" s="97"/>
      <c r="XCW2" s="97"/>
      <c r="XCX2" s="97"/>
      <c r="XCY2" s="97"/>
      <c r="XCZ2" s="97"/>
      <c r="XDA2" s="97"/>
      <c r="XDB2" s="97"/>
      <c r="XDC2" s="97"/>
      <c r="XDD2" s="97"/>
      <c r="XDE2" s="97"/>
      <c r="XDF2" s="97"/>
      <c r="XDG2" s="97"/>
      <c r="XDH2" s="97"/>
      <c r="XDI2" s="97"/>
      <c r="XDJ2" s="97"/>
      <c r="XDK2" s="97"/>
      <c r="XDL2" s="97"/>
      <c r="XDM2" s="97"/>
      <c r="XDN2" s="97"/>
      <c r="XDO2" s="97"/>
      <c r="XDP2" s="97"/>
      <c r="XDQ2" s="97"/>
      <c r="XDR2" s="97"/>
      <c r="XDS2" s="97"/>
      <c r="XDT2" s="97"/>
      <c r="XDU2" s="97"/>
      <c r="XDV2" s="97"/>
      <c r="XDW2" s="97"/>
      <c r="XDX2" s="97"/>
      <c r="XDY2" s="97"/>
      <c r="XDZ2" s="97"/>
      <c r="XEA2" s="97"/>
      <c r="XEB2" s="97"/>
      <c r="XEC2" s="97"/>
      <c r="XED2" s="97"/>
      <c r="XEE2" s="97"/>
      <c r="XEF2" s="97"/>
      <c r="XEG2" s="97"/>
      <c r="XEH2" s="97"/>
      <c r="XEI2" s="97"/>
      <c r="XEJ2" s="97"/>
      <c r="XEK2" s="97"/>
      <c r="XEL2" s="97"/>
      <c r="XEM2" s="97"/>
      <c r="XEN2" s="97"/>
      <c r="XEO2" s="97"/>
      <c r="XEP2" s="97"/>
      <c r="XEQ2" s="97"/>
      <c r="XER2" s="97"/>
      <c r="XES2" s="97"/>
      <c r="XET2" s="97"/>
      <c r="XEU2" s="97"/>
      <c r="XEV2" s="97"/>
      <c r="XEW2" s="97"/>
      <c r="XEX2" s="97"/>
      <c r="XEY2" s="97"/>
      <c r="XEZ2" s="97"/>
      <c r="XFA2" s="97"/>
      <c r="XFB2" s="97"/>
      <c r="XFC2" s="97"/>
      <c r="XFD2" s="97"/>
    </row>
    <row r="3" spans="2:16384" ht="21" thickTop="1">
      <c r="B3" s="7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98"/>
      <c r="CE3" s="98"/>
      <c r="CF3" s="98"/>
      <c r="CG3" s="98"/>
      <c r="CH3" s="98"/>
      <c r="CI3" s="98"/>
      <c r="CJ3" s="98"/>
      <c r="CK3" s="98"/>
      <c r="CL3" s="98"/>
      <c r="CM3" s="98"/>
      <c r="CN3" s="98"/>
      <c r="CO3" s="98"/>
      <c r="CP3" s="98"/>
      <c r="CQ3" s="98"/>
      <c r="CR3" s="98"/>
      <c r="CS3" s="98"/>
      <c r="CT3" s="98"/>
      <c r="CU3" s="98"/>
      <c r="CV3" s="98"/>
      <c r="CW3" s="98"/>
      <c r="CX3" s="98"/>
      <c r="CY3" s="98"/>
      <c r="CZ3" s="98"/>
      <c r="DA3" s="98"/>
      <c r="DB3" s="98"/>
      <c r="DC3" s="98"/>
      <c r="DD3" s="98"/>
      <c r="DE3" s="98"/>
      <c r="DF3" s="98"/>
      <c r="DG3" s="98"/>
      <c r="DH3" s="98"/>
      <c r="DI3" s="98"/>
      <c r="DJ3" s="98"/>
      <c r="DK3" s="98"/>
      <c r="DL3" s="98"/>
      <c r="DM3" s="98"/>
      <c r="DN3" s="98"/>
      <c r="DO3" s="98"/>
      <c r="DP3" s="98"/>
      <c r="DQ3" s="98"/>
      <c r="DR3" s="98"/>
      <c r="DS3" s="98"/>
      <c r="DT3" s="98"/>
      <c r="DU3" s="98"/>
      <c r="DV3" s="98"/>
      <c r="DW3" s="98"/>
      <c r="DX3" s="98"/>
      <c r="DY3" s="98"/>
      <c r="DZ3" s="98"/>
      <c r="EA3" s="98"/>
      <c r="EB3" s="98"/>
      <c r="EC3" s="98"/>
      <c r="ED3" s="98"/>
      <c r="EE3" s="98"/>
      <c r="EF3" s="98"/>
      <c r="EG3" s="98"/>
      <c r="EH3" s="98"/>
      <c r="EI3" s="98"/>
      <c r="EJ3" s="98"/>
      <c r="EK3" s="98"/>
      <c r="EL3" s="98"/>
      <c r="EM3" s="98"/>
      <c r="EN3" s="98"/>
      <c r="EO3" s="98"/>
      <c r="EP3" s="98"/>
      <c r="EQ3" s="98"/>
      <c r="ER3" s="98"/>
      <c r="ES3" s="98"/>
      <c r="ET3" s="98"/>
      <c r="EU3" s="98"/>
      <c r="EV3" s="98"/>
      <c r="EW3" s="98"/>
      <c r="EX3" s="98"/>
      <c r="EY3" s="98"/>
      <c r="EZ3" s="98"/>
      <c r="FA3" s="98"/>
      <c r="FB3" s="98"/>
      <c r="FC3" s="98"/>
      <c r="FD3" s="98"/>
      <c r="FE3" s="98"/>
      <c r="FF3" s="98"/>
      <c r="FG3" s="98"/>
      <c r="FH3" s="98"/>
      <c r="FI3" s="98"/>
      <c r="FJ3" s="98"/>
      <c r="FK3" s="98"/>
      <c r="FL3" s="98"/>
      <c r="FM3" s="98"/>
      <c r="FN3" s="98"/>
      <c r="FO3" s="98"/>
      <c r="FP3" s="98"/>
      <c r="FQ3" s="98"/>
      <c r="FR3" s="98"/>
      <c r="FS3" s="98"/>
      <c r="FT3" s="98"/>
      <c r="FU3" s="98"/>
      <c r="FV3" s="98"/>
      <c r="FW3" s="98"/>
      <c r="FX3" s="98"/>
      <c r="FY3" s="98"/>
      <c r="FZ3" s="98"/>
      <c r="GA3" s="98"/>
      <c r="GB3" s="98"/>
      <c r="GC3" s="98"/>
      <c r="GD3" s="98"/>
      <c r="GE3" s="98"/>
      <c r="GF3" s="98"/>
      <c r="GG3" s="98"/>
      <c r="GH3" s="98"/>
      <c r="GI3" s="98"/>
      <c r="GJ3" s="98"/>
      <c r="GK3" s="98"/>
      <c r="GL3" s="98"/>
      <c r="GM3" s="98"/>
      <c r="GN3" s="98"/>
      <c r="GO3" s="98"/>
      <c r="GP3" s="98"/>
      <c r="GQ3" s="98"/>
      <c r="GR3" s="98"/>
      <c r="GS3" s="98"/>
      <c r="GT3" s="98"/>
      <c r="GU3" s="98"/>
      <c r="GV3" s="98"/>
      <c r="GW3" s="98"/>
      <c r="GX3" s="98"/>
      <c r="GY3" s="98"/>
      <c r="GZ3" s="98"/>
      <c r="HA3" s="98"/>
      <c r="HB3" s="98"/>
      <c r="HC3" s="98"/>
      <c r="HD3" s="98"/>
      <c r="HE3" s="98"/>
      <c r="HF3" s="98"/>
      <c r="HG3" s="98"/>
      <c r="HH3" s="98"/>
      <c r="HI3" s="98"/>
      <c r="HJ3" s="98"/>
      <c r="HK3" s="98"/>
      <c r="HL3" s="98"/>
      <c r="HM3" s="98"/>
      <c r="HN3" s="98"/>
      <c r="HO3" s="98"/>
      <c r="HP3" s="98"/>
      <c r="HQ3" s="98"/>
      <c r="HR3" s="98"/>
      <c r="HS3" s="98"/>
      <c r="HT3" s="98"/>
      <c r="HU3" s="98"/>
      <c r="HV3" s="98"/>
      <c r="HW3" s="98"/>
      <c r="HX3" s="98"/>
      <c r="HY3" s="98"/>
      <c r="HZ3" s="98"/>
      <c r="IA3" s="98"/>
      <c r="IB3" s="98"/>
      <c r="IC3" s="98"/>
      <c r="ID3" s="98"/>
      <c r="IE3" s="98"/>
      <c r="IF3" s="98"/>
      <c r="IG3" s="98"/>
      <c r="IH3" s="98"/>
      <c r="II3" s="98"/>
      <c r="IJ3" s="98"/>
      <c r="IK3" s="98"/>
      <c r="IL3" s="98"/>
      <c r="IM3" s="98"/>
      <c r="IN3" s="98"/>
      <c r="IO3" s="98"/>
      <c r="IP3" s="98"/>
      <c r="IQ3" s="98"/>
      <c r="IR3" s="98"/>
      <c r="IS3" s="98"/>
      <c r="IT3" s="98"/>
      <c r="IU3" s="98"/>
      <c r="IV3" s="98"/>
      <c r="IW3" s="98"/>
      <c r="IX3" s="98"/>
      <c r="IY3" s="98"/>
      <c r="IZ3" s="98"/>
      <c r="JA3" s="98"/>
      <c r="JB3" s="98"/>
      <c r="JC3" s="98"/>
      <c r="JD3" s="98"/>
      <c r="JE3" s="98"/>
      <c r="JF3" s="98"/>
      <c r="JG3" s="98"/>
      <c r="JH3" s="98"/>
      <c r="JI3" s="98"/>
      <c r="JJ3" s="98"/>
      <c r="JK3" s="98"/>
      <c r="JL3" s="98"/>
      <c r="JM3" s="98"/>
      <c r="JN3" s="98"/>
      <c r="JO3" s="98"/>
      <c r="JP3" s="98"/>
      <c r="JQ3" s="98"/>
      <c r="JR3" s="98"/>
      <c r="JS3" s="98"/>
      <c r="JT3" s="98"/>
      <c r="JU3" s="98"/>
      <c r="JV3" s="98"/>
      <c r="JW3" s="98"/>
      <c r="JX3" s="98"/>
      <c r="JY3" s="98"/>
      <c r="JZ3" s="98"/>
      <c r="KA3" s="98"/>
      <c r="KB3" s="98"/>
      <c r="KC3" s="98"/>
      <c r="KD3" s="98"/>
      <c r="KE3" s="98"/>
      <c r="KF3" s="98"/>
      <c r="KG3" s="98"/>
      <c r="KH3" s="98"/>
      <c r="KI3" s="98"/>
      <c r="KJ3" s="98"/>
      <c r="KK3" s="98"/>
      <c r="KL3" s="98"/>
      <c r="KM3" s="98"/>
      <c r="KN3" s="98"/>
      <c r="KO3" s="98"/>
      <c r="KP3" s="98"/>
      <c r="KQ3" s="98"/>
      <c r="KR3" s="98"/>
      <c r="KS3" s="98"/>
      <c r="KT3" s="98"/>
      <c r="KU3" s="98"/>
      <c r="KV3" s="98"/>
      <c r="KW3" s="98"/>
      <c r="KX3" s="98"/>
      <c r="KY3" s="98"/>
      <c r="KZ3" s="98"/>
      <c r="LA3" s="98"/>
      <c r="LB3" s="98"/>
      <c r="LC3" s="98"/>
      <c r="LD3" s="98"/>
      <c r="LE3" s="98"/>
      <c r="LF3" s="98"/>
      <c r="LG3" s="98"/>
      <c r="LH3" s="98"/>
      <c r="LI3" s="98"/>
      <c r="LJ3" s="98"/>
      <c r="LK3" s="98"/>
      <c r="LL3" s="98"/>
      <c r="LM3" s="98"/>
      <c r="LN3" s="98"/>
      <c r="LO3" s="98"/>
      <c r="LP3" s="98"/>
      <c r="LQ3" s="98"/>
      <c r="LR3" s="98"/>
      <c r="LS3" s="98"/>
      <c r="LT3" s="98"/>
      <c r="LU3" s="98"/>
      <c r="LV3" s="98"/>
      <c r="LW3" s="98"/>
      <c r="LX3" s="98"/>
      <c r="LY3" s="98"/>
      <c r="LZ3" s="98"/>
      <c r="MA3" s="98"/>
      <c r="MB3" s="98"/>
      <c r="MC3" s="98"/>
      <c r="MD3" s="98"/>
      <c r="ME3" s="98"/>
      <c r="MF3" s="98"/>
      <c r="MG3" s="98"/>
      <c r="MH3" s="98"/>
      <c r="MI3" s="98"/>
      <c r="MJ3" s="98"/>
      <c r="MK3" s="98"/>
      <c r="ML3" s="98"/>
      <c r="MM3" s="98"/>
      <c r="MN3" s="98"/>
      <c r="MO3" s="98"/>
      <c r="MP3" s="98"/>
      <c r="MQ3" s="98"/>
      <c r="MR3" s="98"/>
      <c r="MS3" s="98"/>
      <c r="MT3" s="98"/>
      <c r="MU3" s="98"/>
      <c r="MV3" s="98"/>
      <c r="MW3" s="98"/>
      <c r="MX3" s="98"/>
      <c r="MY3" s="98"/>
      <c r="MZ3" s="98"/>
      <c r="NA3" s="98"/>
      <c r="NB3" s="98"/>
      <c r="NC3" s="98"/>
      <c r="ND3" s="98"/>
      <c r="NE3" s="98"/>
      <c r="NF3" s="98"/>
      <c r="NG3" s="98"/>
      <c r="NH3" s="98"/>
      <c r="NI3" s="98"/>
      <c r="NJ3" s="98"/>
      <c r="NK3" s="98"/>
      <c r="NL3" s="98"/>
      <c r="NM3" s="98"/>
      <c r="NN3" s="98"/>
      <c r="NO3" s="98"/>
      <c r="NP3" s="98"/>
      <c r="NQ3" s="98"/>
      <c r="NR3" s="98"/>
      <c r="NS3" s="98"/>
      <c r="NT3" s="98"/>
      <c r="NU3" s="98"/>
      <c r="NV3" s="98"/>
      <c r="NW3" s="98"/>
      <c r="NX3" s="98"/>
      <c r="NY3" s="98"/>
      <c r="NZ3" s="98"/>
      <c r="OA3" s="98"/>
      <c r="OB3" s="98"/>
      <c r="OC3" s="98"/>
      <c r="OD3" s="98"/>
      <c r="OE3" s="98"/>
      <c r="OF3" s="98"/>
      <c r="OG3" s="98"/>
      <c r="OH3" s="98"/>
      <c r="OI3" s="98"/>
      <c r="OJ3" s="98"/>
      <c r="OK3" s="98"/>
      <c r="OL3" s="98"/>
      <c r="OM3" s="98"/>
      <c r="ON3" s="98"/>
      <c r="OO3" s="98"/>
      <c r="OP3" s="98"/>
      <c r="OQ3" s="98"/>
      <c r="OR3" s="98"/>
      <c r="OS3" s="98"/>
      <c r="OT3" s="98"/>
      <c r="OU3" s="98"/>
      <c r="OV3" s="98"/>
      <c r="OW3" s="98"/>
      <c r="OX3" s="98"/>
      <c r="OY3" s="98"/>
      <c r="OZ3" s="98"/>
      <c r="PA3" s="98"/>
      <c r="PB3" s="98"/>
      <c r="PC3" s="98"/>
      <c r="PD3" s="98"/>
      <c r="PE3" s="98"/>
      <c r="PF3" s="98"/>
      <c r="PG3" s="98"/>
      <c r="PH3" s="98"/>
      <c r="PI3" s="98"/>
      <c r="PJ3" s="98"/>
      <c r="PK3" s="98"/>
      <c r="PL3" s="98"/>
      <c r="PM3" s="98"/>
      <c r="PN3" s="98"/>
      <c r="PO3" s="98"/>
      <c r="PP3" s="98"/>
      <c r="PQ3" s="98"/>
      <c r="PR3" s="98"/>
      <c r="PS3" s="98"/>
      <c r="PT3" s="98"/>
      <c r="PU3" s="98"/>
      <c r="PV3" s="98"/>
      <c r="PW3" s="98"/>
      <c r="PX3" s="98"/>
      <c r="PY3" s="98"/>
      <c r="PZ3" s="98"/>
      <c r="QA3" s="98"/>
      <c r="QB3" s="98"/>
      <c r="QC3" s="98"/>
      <c r="QD3" s="98"/>
      <c r="QE3" s="98"/>
      <c r="QF3" s="98"/>
      <c r="QG3" s="98"/>
      <c r="QH3" s="98"/>
      <c r="QI3" s="98"/>
      <c r="QJ3" s="98"/>
      <c r="QK3" s="98"/>
      <c r="QL3" s="98"/>
      <c r="QM3" s="98"/>
      <c r="QN3" s="98"/>
      <c r="QO3" s="98"/>
      <c r="QP3" s="98"/>
      <c r="QQ3" s="98"/>
      <c r="QR3" s="98"/>
      <c r="QS3" s="98"/>
      <c r="QT3" s="98"/>
      <c r="QU3" s="98"/>
      <c r="QV3" s="98"/>
      <c r="QW3" s="98"/>
      <c r="QX3" s="98"/>
      <c r="QY3" s="98"/>
      <c r="QZ3" s="98"/>
      <c r="RA3" s="98"/>
      <c r="RB3" s="98"/>
      <c r="RC3" s="98"/>
      <c r="RD3" s="98"/>
      <c r="RE3" s="98"/>
      <c r="RF3" s="98"/>
      <c r="RG3" s="98"/>
      <c r="RH3" s="98"/>
      <c r="RI3" s="98"/>
      <c r="RJ3" s="98"/>
      <c r="RK3" s="98"/>
      <c r="RL3" s="98"/>
      <c r="RM3" s="98"/>
      <c r="RN3" s="98"/>
      <c r="RO3" s="98"/>
      <c r="RP3" s="98"/>
      <c r="RQ3" s="98"/>
      <c r="RR3" s="98"/>
      <c r="RS3" s="98"/>
      <c r="RT3" s="98"/>
      <c r="RU3" s="98"/>
      <c r="RV3" s="98"/>
      <c r="RW3" s="98"/>
      <c r="RX3" s="98"/>
      <c r="RY3" s="98"/>
      <c r="RZ3" s="98"/>
      <c r="SA3" s="98"/>
      <c r="SB3" s="98"/>
      <c r="SC3" s="98"/>
      <c r="SD3" s="98"/>
      <c r="SE3" s="98"/>
      <c r="SF3" s="98"/>
      <c r="SG3" s="98"/>
      <c r="SH3" s="98"/>
      <c r="SI3" s="98"/>
      <c r="SJ3" s="98"/>
      <c r="SK3" s="98"/>
      <c r="SL3" s="98"/>
      <c r="SM3" s="98"/>
      <c r="SN3" s="98"/>
      <c r="SO3" s="98"/>
      <c r="SP3" s="98"/>
      <c r="SQ3" s="98"/>
      <c r="SR3" s="98"/>
      <c r="SS3" s="98"/>
      <c r="ST3" s="98"/>
      <c r="SU3" s="98"/>
      <c r="SV3" s="98"/>
      <c r="SW3" s="98"/>
      <c r="SX3" s="98"/>
      <c r="SY3" s="98"/>
      <c r="SZ3" s="98"/>
      <c r="TA3" s="98"/>
      <c r="TB3" s="98"/>
      <c r="TC3" s="98"/>
      <c r="TD3" s="98"/>
      <c r="TE3" s="98"/>
      <c r="TF3" s="98"/>
      <c r="TG3" s="98"/>
      <c r="TH3" s="98"/>
      <c r="TI3" s="98"/>
      <c r="TJ3" s="98"/>
      <c r="TK3" s="98"/>
      <c r="TL3" s="98"/>
      <c r="TM3" s="98"/>
      <c r="TN3" s="98"/>
      <c r="TO3" s="98"/>
      <c r="TP3" s="98"/>
      <c r="TQ3" s="98"/>
      <c r="TR3" s="98"/>
      <c r="TS3" s="98"/>
      <c r="TT3" s="98"/>
      <c r="TU3" s="98"/>
      <c r="TV3" s="98"/>
      <c r="TW3" s="98"/>
      <c r="TX3" s="98"/>
      <c r="TY3" s="98"/>
      <c r="TZ3" s="98"/>
      <c r="UA3" s="98"/>
      <c r="UB3" s="98"/>
      <c r="UC3" s="98"/>
      <c r="UD3" s="98"/>
      <c r="UE3" s="98"/>
      <c r="UF3" s="98"/>
      <c r="UG3" s="98"/>
      <c r="UH3" s="98"/>
      <c r="UI3" s="98"/>
      <c r="UJ3" s="98"/>
      <c r="UK3" s="98"/>
      <c r="UL3" s="98"/>
      <c r="UM3" s="98"/>
      <c r="UN3" s="98"/>
      <c r="UO3" s="98"/>
      <c r="UP3" s="98"/>
      <c r="UQ3" s="98"/>
      <c r="UR3" s="98"/>
      <c r="US3" s="98"/>
      <c r="UT3" s="98"/>
      <c r="UU3" s="98"/>
      <c r="UV3" s="98"/>
      <c r="UW3" s="98"/>
      <c r="UX3" s="98"/>
      <c r="UY3" s="98"/>
      <c r="UZ3" s="98"/>
      <c r="VA3" s="98"/>
      <c r="VB3" s="98"/>
      <c r="VC3" s="98"/>
      <c r="VD3" s="98"/>
      <c r="VE3" s="98"/>
      <c r="VF3" s="98"/>
      <c r="VG3" s="98"/>
      <c r="VH3" s="98"/>
      <c r="VI3" s="98"/>
      <c r="VJ3" s="98"/>
      <c r="VK3" s="98"/>
      <c r="VL3" s="98"/>
      <c r="VM3" s="98"/>
      <c r="VN3" s="98"/>
      <c r="VO3" s="98"/>
      <c r="VP3" s="98"/>
      <c r="VQ3" s="98"/>
      <c r="VR3" s="98"/>
      <c r="VS3" s="98"/>
      <c r="VT3" s="98"/>
      <c r="VU3" s="98"/>
      <c r="VV3" s="98"/>
      <c r="VW3" s="98"/>
      <c r="VX3" s="98"/>
      <c r="VY3" s="98"/>
      <c r="VZ3" s="98"/>
      <c r="WA3" s="98"/>
      <c r="WB3" s="98"/>
      <c r="WC3" s="98"/>
      <c r="WD3" s="98"/>
      <c r="WE3" s="98"/>
      <c r="WF3" s="98"/>
      <c r="WG3" s="98"/>
      <c r="WH3" s="98"/>
      <c r="WI3" s="98"/>
      <c r="WJ3" s="98"/>
      <c r="WK3" s="98"/>
      <c r="WL3" s="98"/>
      <c r="WM3" s="98"/>
      <c r="WN3" s="98"/>
      <c r="WO3" s="98"/>
      <c r="WP3" s="98"/>
      <c r="WQ3" s="98"/>
      <c r="WR3" s="98"/>
      <c r="WS3" s="98"/>
      <c r="WT3" s="98"/>
      <c r="WU3" s="98"/>
      <c r="WV3" s="98"/>
      <c r="WW3" s="98"/>
      <c r="WX3" s="98"/>
      <c r="WY3" s="98"/>
      <c r="WZ3" s="98"/>
      <c r="XA3" s="98"/>
      <c r="XB3" s="98"/>
      <c r="XC3" s="98"/>
      <c r="XD3" s="98"/>
      <c r="XE3" s="98"/>
      <c r="XF3" s="98"/>
      <c r="XG3" s="98"/>
      <c r="XH3" s="98"/>
      <c r="XI3" s="98"/>
      <c r="XJ3" s="98"/>
      <c r="XK3" s="98"/>
      <c r="XL3" s="98"/>
      <c r="XM3" s="98"/>
      <c r="XN3" s="98"/>
      <c r="XO3" s="98"/>
      <c r="XP3" s="98"/>
      <c r="XQ3" s="98"/>
      <c r="XR3" s="98"/>
      <c r="XS3" s="98"/>
      <c r="XT3" s="98"/>
      <c r="XU3" s="98"/>
      <c r="XV3" s="98"/>
      <c r="XW3" s="98"/>
      <c r="XX3" s="98"/>
      <c r="XY3" s="98"/>
      <c r="XZ3" s="98"/>
      <c r="YA3" s="98"/>
      <c r="YB3" s="98"/>
      <c r="YC3" s="98"/>
      <c r="YD3" s="98"/>
      <c r="YE3" s="98"/>
      <c r="YF3" s="98"/>
      <c r="YG3" s="98"/>
      <c r="YH3" s="98"/>
      <c r="YI3" s="98"/>
      <c r="YJ3" s="98"/>
      <c r="YK3" s="98"/>
      <c r="YL3" s="98"/>
      <c r="YM3" s="98"/>
      <c r="YN3" s="98"/>
      <c r="YO3" s="98"/>
      <c r="YP3" s="98"/>
      <c r="YQ3" s="98"/>
      <c r="YR3" s="98"/>
      <c r="YS3" s="98"/>
      <c r="YT3" s="98"/>
      <c r="YU3" s="98"/>
      <c r="YV3" s="98"/>
      <c r="YW3" s="98"/>
      <c r="YX3" s="98"/>
      <c r="YY3" s="98"/>
      <c r="YZ3" s="98"/>
      <c r="ZA3" s="98"/>
      <c r="ZB3" s="98"/>
      <c r="ZC3" s="98"/>
      <c r="ZD3" s="98"/>
      <c r="ZE3" s="98"/>
      <c r="ZF3" s="98"/>
      <c r="ZG3" s="98"/>
      <c r="ZH3" s="98"/>
      <c r="ZI3" s="98"/>
      <c r="ZJ3" s="98"/>
      <c r="ZK3" s="98"/>
      <c r="ZL3" s="98"/>
      <c r="ZM3" s="98"/>
      <c r="ZN3" s="98"/>
      <c r="ZO3" s="98"/>
      <c r="ZP3" s="98"/>
      <c r="ZQ3" s="98"/>
      <c r="ZR3" s="98"/>
      <c r="ZS3" s="98"/>
      <c r="ZT3" s="98"/>
      <c r="ZU3" s="98"/>
      <c r="ZV3" s="98"/>
      <c r="ZW3" s="98"/>
      <c r="ZX3" s="98"/>
      <c r="ZY3" s="98"/>
      <c r="ZZ3" s="98"/>
      <c r="AAA3" s="98"/>
      <c r="AAB3" s="98"/>
      <c r="AAC3" s="98"/>
      <c r="AAD3" s="98"/>
      <c r="AAE3" s="98"/>
      <c r="AAF3" s="98"/>
      <c r="AAG3" s="98"/>
      <c r="AAH3" s="98"/>
      <c r="AAI3" s="98"/>
      <c r="AAJ3" s="98"/>
      <c r="AAK3" s="98"/>
      <c r="AAL3" s="98"/>
      <c r="AAM3" s="98"/>
      <c r="AAN3" s="98"/>
      <c r="AAO3" s="98"/>
      <c r="AAP3" s="98"/>
      <c r="AAQ3" s="98"/>
      <c r="AAR3" s="98"/>
      <c r="AAS3" s="98"/>
      <c r="AAT3" s="98"/>
      <c r="AAU3" s="98"/>
      <c r="AAV3" s="98"/>
      <c r="AAW3" s="98"/>
      <c r="AAX3" s="98"/>
      <c r="AAY3" s="98"/>
      <c r="AAZ3" s="98"/>
      <c r="ABA3" s="98"/>
      <c r="ABB3" s="98"/>
      <c r="ABC3" s="98"/>
      <c r="ABD3" s="98"/>
      <c r="ABE3" s="98"/>
      <c r="ABF3" s="98"/>
      <c r="ABG3" s="98"/>
      <c r="ABH3" s="98"/>
      <c r="ABI3" s="98"/>
      <c r="ABJ3" s="98"/>
      <c r="ABK3" s="98"/>
      <c r="ABL3" s="98"/>
      <c r="ABM3" s="98"/>
      <c r="ABN3" s="98"/>
      <c r="ABO3" s="98"/>
      <c r="ABP3" s="98"/>
      <c r="ABQ3" s="98"/>
      <c r="ABR3" s="98"/>
      <c r="ABS3" s="98"/>
      <c r="ABT3" s="98"/>
      <c r="ABU3" s="98"/>
      <c r="ABV3" s="98"/>
      <c r="ABW3" s="98"/>
      <c r="ABX3" s="98"/>
      <c r="ABY3" s="98"/>
      <c r="ABZ3" s="98"/>
      <c r="ACA3" s="98"/>
      <c r="ACB3" s="98"/>
      <c r="ACC3" s="98"/>
      <c r="ACD3" s="98"/>
      <c r="ACE3" s="98"/>
      <c r="ACF3" s="98"/>
      <c r="ACG3" s="98"/>
      <c r="ACH3" s="98"/>
      <c r="ACI3" s="98"/>
      <c r="ACJ3" s="98"/>
      <c r="ACK3" s="98"/>
      <c r="ACL3" s="98"/>
      <c r="ACM3" s="98"/>
      <c r="ACN3" s="98"/>
      <c r="ACO3" s="98"/>
      <c r="ACP3" s="98"/>
      <c r="ACQ3" s="98"/>
      <c r="ACR3" s="98"/>
      <c r="ACS3" s="98"/>
      <c r="ACT3" s="98"/>
      <c r="ACU3" s="98"/>
      <c r="ACV3" s="98"/>
      <c r="ACW3" s="98"/>
      <c r="ACX3" s="98"/>
      <c r="ACY3" s="98"/>
      <c r="ACZ3" s="98"/>
      <c r="ADA3" s="98"/>
      <c r="ADB3" s="98"/>
      <c r="ADC3" s="98"/>
      <c r="ADD3" s="98"/>
      <c r="ADE3" s="98"/>
      <c r="ADF3" s="98"/>
      <c r="ADG3" s="98"/>
      <c r="ADH3" s="98"/>
      <c r="ADI3" s="98"/>
      <c r="ADJ3" s="98"/>
      <c r="ADK3" s="98"/>
      <c r="ADL3" s="98"/>
      <c r="ADM3" s="98"/>
      <c r="ADN3" s="98"/>
      <c r="ADO3" s="98"/>
      <c r="ADP3" s="98"/>
      <c r="ADQ3" s="98"/>
      <c r="ADR3" s="98"/>
      <c r="ADS3" s="98"/>
      <c r="ADT3" s="98"/>
      <c r="ADU3" s="98"/>
      <c r="ADV3" s="98"/>
      <c r="ADW3" s="98"/>
      <c r="ADX3" s="98"/>
      <c r="ADY3" s="98"/>
      <c r="ADZ3" s="98"/>
      <c r="AEA3" s="98"/>
      <c r="AEB3" s="98"/>
      <c r="AEC3" s="98"/>
      <c r="AED3" s="98"/>
      <c r="AEE3" s="98"/>
      <c r="AEF3" s="98"/>
      <c r="AEG3" s="98"/>
      <c r="AEH3" s="98"/>
      <c r="AEI3" s="98"/>
      <c r="AEJ3" s="98"/>
      <c r="AEK3" s="98"/>
      <c r="AEL3" s="98"/>
      <c r="AEM3" s="98"/>
      <c r="AEN3" s="98"/>
      <c r="AEO3" s="98"/>
      <c r="AEP3" s="98"/>
      <c r="AEQ3" s="98"/>
      <c r="AER3" s="98"/>
      <c r="AES3" s="98"/>
      <c r="AET3" s="98"/>
      <c r="AEU3" s="98"/>
      <c r="AEV3" s="98"/>
      <c r="AEW3" s="98"/>
      <c r="AEX3" s="98"/>
      <c r="AEY3" s="98"/>
      <c r="AEZ3" s="98"/>
      <c r="AFA3" s="98"/>
      <c r="AFB3" s="98"/>
      <c r="AFC3" s="98"/>
      <c r="AFD3" s="98"/>
      <c r="AFE3" s="98"/>
      <c r="AFF3" s="98"/>
      <c r="AFG3" s="98"/>
      <c r="AFH3" s="98"/>
      <c r="AFI3" s="98"/>
      <c r="AFJ3" s="98"/>
      <c r="AFK3" s="98"/>
      <c r="AFL3" s="98"/>
      <c r="AFM3" s="98"/>
      <c r="AFN3" s="98"/>
      <c r="AFO3" s="98"/>
      <c r="AFP3" s="98"/>
      <c r="AFQ3" s="98"/>
      <c r="AFR3" s="98"/>
      <c r="AFS3" s="98"/>
      <c r="AFT3" s="98"/>
      <c r="AFU3" s="98"/>
      <c r="AFV3" s="98"/>
      <c r="AFW3" s="98"/>
      <c r="AFX3" s="98"/>
      <c r="AFY3" s="98"/>
      <c r="AFZ3" s="98"/>
      <c r="AGA3" s="98"/>
      <c r="AGB3" s="98"/>
      <c r="AGC3" s="98"/>
      <c r="AGD3" s="98"/>
      <c r="AGE3" s="98"/>
      <c r="AGF3" s="98"/>
      <c r="AGG3" s="98"/>
      <c r="AGH3" s="98"/>
      <c r="AGI3" s="98"/>
      <c r="AGJ3" s="98"/>
      <c r="AGK3" s="98"/>
      <c r="AGL3" s="98"/>
      <c r="AGM3" s="98"/>
      <c r="AGN3" s="98"/>
      <c r="AGO3" s="98"/>
      <c r="AGP3" s="98"/>
      <c r="AGQ3" s="98"/>
      <c r="AGR3" s="98"/>
      <c r="AGS3" s="98"/>
      <c r="AGT3" s="98"/>
      <c r="AGU3" s="98"/>
      <c r="AGV3" s="98"/>
      <c r="AGW3" s="98"/>
      <c r="AGX3" s="98"/>
      <c r="AGY3" s="98"/>
      <c r="AGZ3" s="98"/>
      <c r="AHA3" s="98"/>
      <c r="AHB3" s="98"/>
      <c r="AHC3" s="98"/>
      <c r="AHD3" s="98"/>
      <c r="AHE3" s="98"/>
      <c r="AHF3" s="98"/>
      <c r="AHG3" s="98"/>
      <c r="AHH3" s="98"/>
      <c r="AHI3" s="98"/>
      <c r="AHJ3" s="98"/>
      <c r="AHK3" s="98"/>
      <c r="AHL3" s="98"/>
      <c r="AHM3" s="98"/>
      <c r="AHN3" s="98"/>
      <c r="AHO3" s="98"/>
      <c r="AHP3" s="98"/>
      <c r="AHQ3" s="98"/>
      <c r="AHR3" s="98"/>
      <c r="AHS3" s="98"/>
      <c r="AHT3" s="98"/>
      <c r="AHU3" s="98"/>
      <c r="AHV3" s="98"/>
      <c r="AHW3" s="98"/>
      <c r="AHX3" s="98"/>
      <c r="AHY3" s="98"/>
      <c r="AHZ3" s="98"/>
      <c r="AIA3" s="98"/>
      <c r="AIB3" s="98"/>
      <c r="AIC3" s="98"/>
      <c r="AID3" s="98"/>
      <c r="AIE3" s="98"/>
      <c r="AIF3" s="98"/>
      <c r="AIG3" s="98"/>
      <c r="AIH3" s="98"/>
      <c r="AII3" s="98"/>
      <c r="AIJ3" s="98"/>
      <c r="AIK3" s="98"/>
      <c r="AIL3" s="98"/>
      <c r="AIM3" s="98"/>
      <c r="AIN3" s="98"/>
      <c r="AIO3" s="98"/>
      <c r="AIP3" s="98"/>
      <c r="AIQ3" s="98"/>
      <c r="AIR3" s="98"/>
      <c r="AIS3" s="98"/>
      <c r="AIT3" s="98"/>
      <c r="AIU3" s="98"/>
      <c r="AIV3" s="98"/>
      <c r="AIW3" s="98"/>
      <c r="AIX3" s="98"/>
      <c r="AIY3" s="98"/>
      <c r="AIZ3" s="98"/>
      <c r="AJA3" s="98"/>
      <c r="AJB3" s="98"/>
      <c r="AJC3" s="98"/>
      <c r="AJD3" s="98"/>
      <c r="AJE3" s="98"/>
      <c r="AJF3" s="98"/>
      <c r="AJG3" s="98"/>
      <c r="AJH3" s="98"/>
      <c r="AJI3" s="98"/>
      <c r="AJJ3" s="98"/>
      <c r="AJK3" s="98"/>
      <c r="AJL3" s="98"/>
      <c r="AJM3" s="98"/>
      <c r="AJN3" s="98"/>
      <c r="AJO3" s="98"/>
      <c r="AJP3" s="98"/>
      <c r="AJQ3" s="98"/>
      <c r="AJR3" s="98"/>
      <c r="AJS3" s="98"/>
      <c r="AJT3" s="98"/>
      <c r="AJU3" s="98"/>
      <c r="AJV3" s="98"/>
      <c r="AJW3" s="98"/>
      <c r="AJX3" s="98"/>
      <c r="AJY3" s="98"/>
      <c r="AJZ3" s="98"/>
      <c r="AKA3" s="98"/>
      <c r="AKB3" s="98"/>
      <c r="AKC3" s="98"/>
      <c r="AKD3" s="98"/>
      <c r="AKE3" s="98"/>
      <c r="AKF3" s="98"/>
      <c r="AKG3" s="98"/>
      <c r="AKH3" s="98"/>
      <c r="AKI3" s="98"/>
      <c r="AKJ3" s="98"/>
      <c r="AKK3" s="98"/>
      <c r="AKL3" s="98"/>
      <c r="AKM3" s="98"/>
      <c r="AKN3" s="98"/>
      <c r="AKO3" s="98"/>
      <c r="AKP3" s="98"/>
      <c r="AKQ3" s="98"/>
      <c r="AKR3" s="98"/>
      <c r="AKS3" s="98"/>
      <c r="AKT3" s="98"/>
      <c r="AKU3" s="98"/>
      <c r="AKV3" s="98"/>
      <c r="AKW3" s="98"/>
      <c r="AKX3" s="98"/>
      <c r="AKY3" s="98"/>
      <c r="AKZ3" s="98"/>
      <c r="ALA3" s="98"/>
      <c r="ALB3" s="98"/>
      <c r="ALC3" s="98"/>
      <c r="ALD3" s="98"/>
      <c r="ALE3" s="98"/>
      <c r="ALF3" s="98"/>
      <c r="ALG3" s="98"/>
      <c r="ALH3" s="98"/>
      <c r="ALI3" s="98"/>
      <c r="ALJ3" s="98"/>
      <c r="ALK3" s="98"/>
      <c r="ALL3" s="98"/>
      <c r="ALM3" s="98"/>
      <c r="ALN3" s="98"/>
      <c r="ALO3" s="98"/>
      <c r="ALP3" s="98"/>
      <c r="ALQ3" s="98"/>
      <c r="ALR3" s="98"/>
      <c r="ALS3" s="98"/>
      <c r="ALT3" s="98"/>
      <c r="ALU3" s="98"/>
      <c r="ALV3" s="98"/>
      <c r="ALW3" s="98"/>
      <c r="ALX3" s="98"/>
      <c r="ALY3" s="98"/>
      <c r="ALZ3" s="98"/>
      <c r="AMA3" s="98"/>
      <c r="AMB3" s="98"/>
      <c r="AMC3" s="98"/>
      <c r="AMD3" s="98"/>
      <c r="AME3" s="98"/>
      <c r="AMF3" s="98"/>
      <c r="AMG3" s="98"/>
      <c r="AMH3" s="98"/>
      <c r="AMI3" s="98"/>
      <c r="AMJ3" s="98"/>
      <c r="AMK3" s="98"/>
      <c r="AML3" s="98"/>
      <c r="AMM3" s="98"/>
      <c r="AMN3" s="98"/>
      <c r="AMO3" s="98"/>
      <c r="AMP3" s="98"/>
      <c r="AMQ3" s="98"/>
      <c r="AMR3" s="98"/>
      <c r="AMS3" s="98"/>
      <c r="AMT3" s="98"/>
      <c r="AMU3" s="98"/>
      <c r="AMV3" s="98"/>
      <c r="AMW3" s="98"/>
      <c r="AMX3" s="98"/>
      <c r="AMY3" s="98"/>
      <c r="AMZ3" s="98"/>
      <c r="ANA3" s="98"/>
      <c r="ANB3" s="98"/>
      <c r="ANC3" s="98"/>
      <c r="AND3" s="98"/>
      <c r="ANE3" s="98"/>
      <c r="ANF3" s="98"/>
      <c r="ANG3" s="98"/>
      <c r="ANH3" s="98"/>
      <c r="ANI3" s="98"/>
      <c r="ANJ3" s="98"/>
      <c r="ANK3" s="98"/>
      <c r="ANL3" s="98"/>
      <c r="ANM3" s="98"/>
      <c r="ANN3" s="98"/>
      <c r="ANO3" s="98"/>
      <c r="ANP3" s="98"/>
      <c r="ANQ3" s="98"/>
      <c r="ANR3" s="98"/>
      <c r="ANS3" s="98"/>
      <c r="ANT3" s="98"/>
      <c r="ANU3" s="98"/>
      <c r="ANV3" s="98"/>
      <c r="ANW3" s="98"/>
      <c r="ANX3" s="98"/>
      <c r="ANY3" s="98"/>
      <c r="ANZ3" s="98"/>
      <c r="AOA3" s="98"/>
      <c r="AOB3" s="98"/>
      <c r="AOC3" s="98"/>
      <c r="AOD3" s="98"/>
      <c r="AOE3" s="98"/>
      <c r="AOF3" s="98"/>
      <c r="AOG3" s="98"/>
      <c r="AOH3" s="98"/>
      <c r="AOI3" s="98"/>
      <c r="AOJ3" s="98"/>
      <c r="AOK3" s="98"/>
      <c r="AOL3" s="98"/>
      <c r="AOM3" s="98"/>
      <c r="AON3" s="98"/>
      <c r="AOO3" s="98"/>
      <c r="AOP3" s="98"/>
      <c r="AOQ3" s="98"/>
      <c r="AOR3" s="98"/>
      <c r="AOS3" s="98"/>
      <c r="AOT3" s="98"/>
      <c r="AOU3" s="98"/>
      <c r="AOV3" s="98"/>
      <c r="AOW3" s="98"/>
      <c r="AOX3" s="98"/>
      <c r="AOY3" s="98"/>
      <c r="AOZ3" s="98"/>
      <c r="APA3" s="98"/>
      <c r="APB3" s="98"/>
      <c r="APC3" s="98"/>
      <c r="APD3" s="98"/>
      <c r="APE3" s="98"/>
      <c r="APF3" s="98"/>
      <c r="APG3" s="98"/>
      <c r="APH3" s="98"/>
      <c r="API3" s="98"/>
      <c r="APJ3" s="98"/>
      <c r="APK3" s="98"/>
      <c r="APL3" s="98"/>
      <c r="APM3" s="98"/>
      <c r="APN3" s="98"/>
      <c r="APO3" s="98"/>
      <c r="APP3" s="98"/>
      <c r="APQ3" s="98"/>
      <c r="APR3" s="98"/>
      <c r="APS3" s="98"/>
      <c r="APT3" s="98"/>
      <c r="APU3" s="98"/>
      <c r="APV3" s="98"/>
      <c r="APW3" s="98"/>
      <c r="APX3" s="98"/>
      <c r="APY3" s="98"/>
      <c r="APZ3" s="98"/>
      <c r="AQA3" s="98"/>
      <c r="AQB3" s="98"/>
      <c r="AQC3" s="98"/>
      <c r="AQD3" s="98"/>
      <c r="AQE3" s="98"/>
      <c r="AQF3" s="98"/>
      <c r="AQG3" s="98"/>
      <c r="AQH3" s="98"/>
      <c r="AQI3" s="98"/>
      <c r="AQJ3" s="98"/>
      <c r="AQK3" s="98"/>
      <c r="AQL3" s="98"/>
      <c r="AQM3" s="98"/>
      <c r="AQN3" s="98"/>
      <c r="AQO3" s="98"/>
      <c r="AQP3" s="98"/>
      <c r="AQQ3" s="98"/>
      <c r="AQR3" s="98"/>
      <c r="AQS3" s="98"/>
      <c r="AQT3" s="98"/>
      <c r="AQU3" s="98"/>
      <c r="AQV3" s="98"/>
      <c r="AQW3" s="98"/>
      <c r="AQX3" s="98"/>
      <c r="AQY3" s="98"/>
      <c r="AQZ3" s="98"/>
      <c r="ARA3" s="98"/>
      <c r="ARB3" s="98"/>
      <c r="ARC3" s="98"/>
      <c r="ARD3" s="98"/>
      <c r="ARE3" s="98"/>
      <c r="ARF3" s="98"/>
      <c r="ARG3" s="98"/>
      <c r="ARH3" s="98"/>
      <c r="ARI3" s="98"/>
      <c r="ARJ3" s="98"/>
      <c r="ARK3" s="98"/>
      <c r="ARL3" s="98"/>
      <c r="ARM3" s="98"/>
      <c r="ARN3" s="98"/>
      <c r="ARO3" s="98"/>
      <c r="ARP3" s="98"/>
      <c r="ARQ3" s="98"/>
      <c r="ARR3" s="98"/>
      <c r="ARS3" s="98"/>
      <c r="ART3" s="98"/>
      <c r="ARU3" s="98"/>
      <c r="ARV3" s="98"/>
      <c r="ARW3" s="98"/>
      <c r="ARX3" s="98"/>
      <c r="ARY3" s="98"/>
      <c r="ARZ3" s="98"/>
      <c r="ASA3" s="98"/>
      <c r="ASB3" s="98"/>
      <c r="ASC3" s="98"/>
      <c r="ASD3" s="98"/>
      <c r="ASE3" s="98"/>
      <c r="ASF3" s="98"/>
      <c r="ASG3" s="98"/>
      <c r="ASH3" s="98"/>
      <c r="ASI3" s="98"/>
      <c r="ASJ3" s="98"/>
      <c r="ASK3" s="98"/>
      <c r="ASL3" s="98"/>
      <c r="ASM3" s="98"/>
      <c r="ASN3" s="98"/>
      <c r="ASO3" s="98"/>
      <c r="ASP3" s="98"/>
      <c r="ASQ3" s="98"/>
      <c r="ASR3" s="98"/>
      <c r="ASS3" s="98"/>
      <c r="AST3" s="98"/>
      <c r="ASU3" s="98"/>
      <c r="ASV3" s="98"/>
      <c r="ASW3" s="98"/>
      <c r="ASX3" s="98"/>
      <c r="ASY3" s="98"/>
      <c r="ASZ3" s="98"/>
      <c r="ATA3" s="98"/>
      <c r="ATB3" s="98"/>
      <c r="ATC3" s="98"/>
      <c r="ATD3" s="98"/>
      <c r="ATE3" s="98"/>
      <c r="ATF3" s="98"/>
      <c r="ATG3" s="98"/>
      <c r="ATH3" s="98"/>
      <c r="ATI3" s="98"/>
      <c r="ATJ3" s="98"/>
      <c r="ATK3" s="98"/>
      <c r="ATL3" s="98"/>
      <c r="ATM3" s="98"/>
      <c r="ATN3" s="98"/>
      <c r="ATO3" s="98"/>
      <c r="ATP3" s="98"/>
      <c r="ATQ3" s="98"/>
      <c r="ATR3" s="98"/>
      <c r="ATS3" s="98"/>
      <c r="ATT3" s="98"/>
      <c r="ATU3" s="98"/>
      <c r="ATV3" s="98"/>
      <c r="ATW3" s="98"/>
      <c r="ATX3" s="98"/>
      <c r="ATY3" s="98"/>
      <c r="ATZ3" s="98"/>
      <c r="AUA3" s="98"/>
      <c r="AUB3" s="98"/>
      <c r="AUC3" s="98"/>
      <c r="AUD3" s="98"/>
      <c r="AUE3" s="98"/>
      <c r="AUF3" s="98"/>
      <c r="AUG3" s="98"/>
      <c r="AUH3" s="98"/>
      <c r="AUI3" s="98"/>
      <c r="AUJ3" s="98"/>
      <c r="AUK3" s="98"/>
      <c r="AUL3" s="98"/>
      <c r="AUM3" s="98"/>
      <c r="AUN3" s="98"/>
      <c r="AUO3" s="98"/>
      <c r="AUP3" s="98"/>
      <c r="AUQ3" s="98"/>
      <c r="AUR3" s="98"/>
      <c r="AUS3" s="98"/>
      <c r="AUT3" s="98"/>
      <c r="AUU3" s="98"/>
      <c r="AUV3" s="98"/>
      <c r="AUW3" s="98"/>
      <c r="AUX3" s="98"/>
      <c r="AUY3" s="98"/>
      <c r="AUZ3" s="98"/>
      <c r="AVA3" s="98"/>
      <c r="AVB3" s="98"/>
      <c r="AVC3" s="98"/>
      <c r="AVD3" s="98"/>
      <c r="AVE3" s="98"/>
      <c r="AVF3" s="98"/>
      <c r="AVG3" s="98"/>
      <c r="AVH3" s="98"/>
      <c r="AVI3" s="98"/>
      <c r="AVJ3" s="98"/>
      <c r="AVK3" s="98"/>
      <c r="AVL3" s="98"/>
      <c r="AVM3" s="98"/>
      <c r="AVN3" s="98"/>
      <c r="AVO3" s="98"/>
      <c r="AVP3" s="98"/>
      <c r="AVQ3" s="98"/>
      <c r="AVR3" s="98"/>
      <c r="AVS3" s="98"/>
      <c r="AVT3" s="98"/>
      <c r="AVU3" s="98"/>
      <c r="AVV3" s="98"/>
      <c r="AVW3" s="98"/>
      <c r="AVX3" s="98"/>
      <c r="AVY3" s="98"/>
      <c r="AVZ3" s="98"/>
      <c r="AWA3" s="98"/>
      <c r="AWB3" s="98"/>
      <c r="AWC3" s="98"/>
      <c r="AWD3" s="98"/>
      <c r="AWE3" s="98"/>
      <c r="AWF3" s="98"/>
      <c r="AWG3" s="98"/>
      <c r="AWH3" s="98"/>
      <c r="AWI3" s="98"/>
      <c r="AWJ3" s="98"/>
      <c r="AWK3" s="98"/>
      <c r="AWL3" s="98"/>
      <c r="AWM3" s="98"/>
      <c r="AWN3" s="98"/>
      <c r="AWO3" s="98"/>
      <c r="AWP3" s="98"/>
      <c r="AWQ3" s="98"/>
      <c r="AWR3" s="98"/>
      <c r="AWS3" s="98"/>
      <c r="AWT3" s="98"/>
      <c r="AWU3" s="98"/>
      <c r="AWV3" s="98"/>
      <c r="AWW3" s="98"/>
      <c r="AWX3" s="98"/>
      <c r="AWY3" s="98"/>
      <c r="AWZ3" s="98"/>
      <c r="AXA3" s="98"/>
      <c r="AXB3" s="98"/>
      <c r="AXC3" s="98"/>
      <c r="AXD3" s="98"/>
      <c r="AXE3" s="98"/>
      <c r="AXF3" s="98"/>
      <c r="AXG3" s="98"/>
      <c r="AXH3" s="98"/>
      <c r="AXI3" s="98"/>
      <c r="AXJ3" s="98"/>
      <c r="AXK3" s="98"/>
      <c r="AXL3" s="98"/>
      <c r="AXM3" s="98"/>
      <c r="AXN3" s="98"/>
      <c r="AXO3" s="98"/>
      <c r="AXP3" s="98"/>
      <c r="AXQ3" s="98"/>
      <c r="AXR3" s="98"/>
      <c r="AXS3" s="98"/>
      <c r="AXT3" s="98"/>
      <c r="AXU3" s="98"/>
      <c r="AXV3" s="98"/>
      <c r="AXW3" s="98"/>
      <c r="AXX3" s="98"/>
      <c r="AXY3" s="98"/>
      <c r="AXZ3" s="98"/>
      <c r="AYA3" s="98"/>
      <c r="AYB3" s="98"/>
      <c r="AYC3" s="98"/>
      <c r="AYD3" s="98"/>
      <c r="AYE3" s="98"/>
      <c r="AYF3" s="98"/>
      <c r="AYG3" s="98"/>
      <c r="AYH3" s="98"/>
      <c r="AYI3" s="98"/>
      <c r="AYJ3" s="98"/>
      <c r="AYK3" s="98"/>
      <c r="AYL3" s="98"/>
      <c r="AYM3" s="98"/>
      <c r="AYN3" s="98"/>
      <c r="AYO3" s="98"/>
      <c r="AYP3" s="98"/>
      <c r="AYQ3" s="98"/>
      <c r="AYR3" s="98"/>
      <c r="AYS3" s="98"/>
      <c r="AYT3" s="98"/>
      <c r="AYU3" s="98"/>
      <c r="AYV3" s="98"/>
      <c r="AYW3" s="98"/>
      <c r="AYX3" s="98"/>
      <c r="AYY3" s="98"/>
      <c r="AYZ3" s="98"/>
      <c r="AZA3" s="98"/>
      <c r="AZB3" s="98"/>
      <c r="AZC3" s="98"/>
      <c r="AZD3" s="98"/>
      <c r="AZE3" s="98"/>
      <c r="AZF3" s="98"/>
      <c r="AZG3" s="98"/>
      <c r="AZH3" s="98"/>
      <c r="AZI3" s="98"/>
      <c r="AZJ3" s="98"/>
      <c r="AZK3" s="98"/>
      <c r="AZL3" s="98"/>
      <c r="AZM3" s="98"/>
      <c r="AZN3" s="98"/>
      <c r="AZO3" s="98"/>
      <c r="AZP3" s="98"/>
      <c r="AZQ3" s="98"/>
      <c r="AZR3" s="98"/>
      <c r="AZS3" s="98"/>
      <c r="AZT3" s="98"/>
      <c r="AZU3" s="98"/>
      <c r="AZV3" s="98"/>
      <c r="AZW3" s="98"/>
      <c r="AZX3" s="98"/>
      <c r="AZY3" s="98"/>
      <c r="AZZ3" s="98"/>
      <c r="BAA3" s="98"/>
      <c r="BAB3" s="98"/>
      <c r="BAC3" s="98"/>
      <c r="BAD3" s="98"/>
      <c r="BAE3" s="98"/>
      <c r="BAF3" s="98"/>
      <c r="BAG3" s="98"/>
      <c r="BAH3" s="98"/>
      <c r="BAI3" s="98"/>
      <c r="BAJ3" s="98"/>
      <c r="BAK3" s="98"/>
      <c r="BAL3" s="98"/>
      <c r="BAM3" s="98"/>
      <c r="BAN3" s="98"/>
      <c r="BAO3" s="98"/>
      <c r="BAP3" s="98"/>
      <c r="BAQ3" s="98"/>
      <c r="BAR3" s="98"/>
      <c r="BAS3" s="98"/>
      <c r="BAT3" s="98"/>
      <c r="BAU3" s="98"/>
      <c r="BAV3" s="98"/>
      <c r="BAW3" s="98"/>
      <c r="BAX3" s="98"/>
      <c r="BAY3" s="98"/>
      <c r="BAZ3" s="98"/>
      <c r="BBA3" s="98"/>
      <c r="BBB3" s="98"/>
      <c r="BBC3" s="98"/>
      <c r="BBD3" s="98"/>
      <c r="BBE3" s="98"/>
      <c r="BBF3" s="98"/>
      <c r="BBG3" s="98"/>
      <c r="BBH3" s="98"/>
      <c r="BBI3" s="98"/>
      <c r="BBJ3" s="98"/>
      <c r="BBK3" s="98"/>
      <c r="BBL3" s="98"/>
      <c r="BBM3" s="98"/>
      <c r="BBN3" s="98"/>
      <c r="BBO3" s="98"/>
      <c r="BBP3" s="98"/>
      <c r="BBQ3" s="98"/>
      <c r="BBR3" s="98"/>
      <c r="BBS3" s="98"/>
      <c r="BBT3" s="98"/>
      <c r="BBU3" s="98"/>
      <c r="BBV3" s="98"/>
      <c r="BBW3" s="98"/>
      <c r="BBX3" s="98"/>
      <c r="BBY3" s="98"/>
      <c r="BBZ3" s="98"/>
      <c r="BCA3" s="98"/>
      <c r="BCB3" s="98"/>
      <c r="BCC3" s="98"/>
      <c r="BCD3" s="98"/>
      <c r="BCE3" s="98"/>
      <c r="BCF3" s="98"/>
      <c r="BCG3" s="98"/>
      <c r="BCH3" s="98"/>
      <c r="BCI3" s="98"/>
      <c r="BCJ3" s="98"/>
      <c r="BCK3" s="98"/>
      <c r="BCL3" s="98"/>
      <c r="BCM3" s="98"/>
      <c r="BCN3" s="98"/>
      <c r="BCO3" s="98"/>
      <c r="BCP3" s="98"/>
      <c r="BCQ3" s="98"/>
      <c r="BCR3" s="98"/>
      <c r="BCS3" s="98"/>
      <c r="BCT3" s="98"/>
      <c r="BCU3" s="98"/>
      <c r="BCV3" s="98"/>
      <c r="BCW3" s="98"/>
      <c r="BCX3" s="98"/>
      <c r="BCY3" s="98"/>
      <c r="BCZ3" s="98"/>
      <c r="BDA3" s="98"/>
      <c r="BDB3" s="98"/>
      <c r="BDC3" s="98"/>
      <c r="BDD3" s="98"/>
      <c r="BDE3" s="98"/>
      <c r="BDF3" s="98"/>
      <c r="BDG3" s="98"/>
      <c r="BDH3" s="98"/>
      <c r="BDI3" s="98"/>
      <c r="BDJ3" s="98"/>
      <c r="BDK3" s="98"/>
      <c r="BDL3" s="98"/>
      <c r="BDM3" s="98"/>
      <c r="BDN3" s="98"/>
      <c r="BDO3" s="98"/>
      <c r="BDP3" s="98"/>
      <c r="BDQ3" s="98"/>
      <c r="BDR3" s="98"/>
      <c r="BDS3" s="98"/>
      <c r="BDT3" s="98"/>
      <c r="BDU3" s="98"/>
      <c r="BDV3" s="98"/>
      <c r="BDW3" s="98"/>
      <c r="BDX3" s="98"/>
      <c r="BDY3" s="98"/>
      <c r="BDZ3" s="98"/>
      <c r="BEA3" s="98"/>
      <c r="BEB3" s="98"/>
      <c r="BEC3" s="98"/>
      <c r="BED3" s="98"/>
      <c r="BEE3" s="98"/>
      <c r="BEF3" s="98"/>
      <c r="BEG3" s="98"/>
      <c r="BEH3" s="98"/>
      <c r="BEI3" s="98"/>
      <c r="BEJ3" s="98"/>
      <c r="BEK3" s="98"/>
      <c r="BEL3" s="98"/>
      <c r="BEM3" s="98"/>
      <c r="BEN3" s="98"/>
      <c r="BEO3" s="98"/>
      <c r="BEP3" s="98"/>
      <c r="BEQ3" s="98"/>
      <c r="BER3" s="98"/>
      <c r="BES3" s="98"/>
      <c r="BET3" s="98"/>
      <c r="BEU3" s="98"/>
      <c r="BEV3" s="98"/>
      <c r="BEW3" s="98"/>
      <c r="BEX3" s="98"/>
      <c r="BEY3" s="98"/>
      <c r="BEZ3" s="98"/>
      <c r="BFA3" s="98"/>
      <c r="BFB3" s="98"/>
      <c r="BFC3" s="98"/>
      <c r="BFD3" s="98"/>
      <c r="BFE3" s="98"/>
      <c r="BFF3" s="98"/>
      <c r="BFG3" s="98"/>
      <c r="BFH3" s="98"/>
      <c r="BFI3" s="98"/>
      <c r="BFJ3" s="98"/>
      <c r="BFK3" s="98"/>
      <c r="BFL3" s="98"/>
      <c r="BFM3" s="98"/>
      <c r="BFN3" s="98"/>
      <c r="BFO3" s="98"/>
      <c r="BFP3" s="98"/>
      <c r="BFQ3" s="98"/>
      <c r="BFR3" s="98"/>
      <c r="BFS3" s="98"/>
      <c r="BFT3" s="98"/>
      <c r="BFU3" s="98"/>
      <c r="BFV3" s="98"/>
      <c r="BFW3" s="98"/>
      <c r="BFX3" s="98"/>
      <c r="BFY3" s="98"/>
      <c r="BFZ3" s="98"/>
      <c r="BGA3" s="98"/>
      <c r="BGB3" s="98"/>
      <c r="BGC3" s="98"/>
      <c r="BGD3" s="98"/>
      <c r="BGE3" s="98"/>
      <c r="BGF3" s="98"/>
      <c r="BGG3" s="98"/>
      <c r="BGH3" s="98"/>
      <c r="BGI3" s="98"/>
      <c r="BGJ3" s="98"/>
      <c r="BGK3" s="98"/>
      <c r="BGL3" s="98"/>
      <c r="BGM3" s="98"/>
      <c r="BGN3" s="98"/>
      <c r="BGO3" s="98"/>
      <c r="BGP3" s="98"/>
      <c r="BGQ3" s="98"/>
      <c r="BGR3" s="98"/>
      <c r="BGS3" s="98"/>
      <c r="BGT3" s="98"/>
      <c r="BGU3" s="98"/>
      <c r="BGV3" s="98"/>
      <c r="BGW3" s="98"/>
      <c r="BGX3" s="98"/>
      <c r="BGY3" s="98"/>
      <c r="BGZ3" s="98"/>
      <c r="BHA3" s="98"/>
      <c r="BHB3" s="98"/>
      <c r="BHC3" s="98"/>
      <c r="BHD3" s="98"/>
      <c r="BHE3" s="98"/>
      <c r="BHF3" s="98"/>
      <c r="BHG3" s="98"/>
      <c r="BHH3" s="98"/>
      <c r="BHI3" s="98"/>
      <c r="BHJ3" s="98"/>
      <c r="BHK3" s="98"/>
      <c r="BHL3" s="98"/>
      <c r="BHM3" s="98"/>
      <c r="BHN3" s="98"/>
      <c r="BHO3" s="98"/>
      <c r="BHP3" s="98"/>
      <c r="BHQ3" s="98"/>
      <c r="BHR3" s="98"/>
      <c r="BHS3" s="98"/>
      <c r="BHT3" s="98"/>
      <c r="BHU3" s="98"/>
      <c r="BHV3" s="98"/>
      <c r="BHW3" s="98"/>
      <c r="BHX3" s="98"/>
      <c r="BHY3" s="98"/>
      <c r="BHZ3" s="98"/>
      <c r="BIA3" s="98"/>
      <c r="BIB3" s="98"/>
      <c r="BIC3" s="98"/>
      <c r="BID3" s="98"/>
      <c r="BIE3" s="98"/>
      <c r="BIF3" s="98"/>
      <c r="BIG3" s="98"/>
      <c r="BIH3" s="98"/>
      <c r="BII3" s="98"/>
      <c r="BIJ3" s="98"/>
      <c r="BIK3" s="98"/>
      <c r="BIL3" s="98"/>
      <c r="BIM3" s="98"/>
      <c r="BIN3" s="98"/>
      <c r="BIO3" s="98"/>
      <c r="BIP3" s="98"/>
      <c r="BIQ3" s="98"/>
      <c r="BIR3" s="98"/>
      <c r="BIS3" s="98"/>
      <c r="BIT3" s="98"/>
      <c r="BIU3" s="98"/>
      <c r="BIV3" s="98"/>
      <c r="BIW3" s="98"/>
      <c r="BIX3" s="98"/>
      <c r="BIY3" s="98"/>
      <c r="BIZ3" s="98"/>
      <c r="BJA3" s="98"/>
      <c r="BJB3" s="98"/>
      <c r="BJC3" s="98"/>
      <c r="BJD3" s="98"/>
      <c r="BJE3" s="98"/>
      <c r="BJF3" s="98"/>
      <c r="BJG3" s="98"/>
      <c r="BJH3" s="98"/>
      <c r="BJI3" s="98"/>
      <c r="BJJ3" s="98"/>
      <c r="BJK3" s="98"/>
      <c r="BJL3" s="98"/>
      <c r="BJM3" s="98"/>
      <c r="BJN3" s="98"/>
      <c r="BJO3" s="98"/>
      <c r="BJP3" s="98"/>
      <c r="BJQ3" s="98"/>
      <c r="BJR3" s="98"/>
      <c r="BJS3" s="98"/>
      <c r="BJT3" s="98"/>
      <c r="BJU3" s="98"/>
      <c r="BJV3" s="98"/>
      <c r="BJW3" s="98"/>
      <c r="BJX3" s="98"/>
      <c r="BJY3" s="98"/>
      <c r="BJZ3" s="98"/>
      <c r="BKA3" s="98"/>
      <c r="BKB3" s="98"/>
      <c r="BKC3" s="98"/>
      <c r="BKD3" s="98"/>
      <c r="BKE3" s="98"/>
      <c r="BKF3" s="98"/>
      <c r="BKG3" s="98"/>
      <c r="BKH3" s="98"/>
      <c r="BKI3" s="98"/>
      <c r="BKJ3" s="98"/>
      <c r="BKK3" s="98"/>
      <c r="BKL3" s="98"/>
      <c r="BKM3" s="98"/>
      <c r="BKN3" s="98"/>
      <c r="BKO3" s="98"/>
      <c r="BKP3" s="98"/>
      <c r="BKQ3" s="98"/>
      <c r="BKR3" s="98"/>
      <c r="BKS3" s="98"/>
      <c r="BKT3" s="98"/>
      <c r="BKU3" s="98"/>
      <c r="BKV3" s="98"/>
      <c r="BKW3" s="98"/>
      <c r="BKX3" s="98"/>
      <c r="BKY3" s="98"/>
      <c r="BKZ3" s="98"/>
      <c r="BLA3" s="98"/>
      <c r="BLB3" s="98"/>
      <c r="BLC3" s="98"/>
      <c r="BLD3" s="98"/>
      <c r="BLE3" s="98"/>
      <c r="BLF3" s="98"/>
      <c r="BLG3" s="98"/>
      <c r="BLH3" s="98"/>
      <c r="BLI3" s="98"/>
      <c r="BLJ3" s="98"/>
      <c r="BLK3" s="98"/>
      <c r="BLL3" s="98"/>
      <c r="BLM3" s="98"/>
      <c r="BLN3" s="98"/>
      <c r="BLO3" s="98"/>
      <c r="BLP3" s="98"/>
      <c r="BLQ3" s="98"/>
      <c r="BLR3" s="98"/>
      <c r="BLS3" s="98"/>
      <c r="BLT3" s="98"/>
      <c r="BLU3" s="98"/>
      <c r="BLV3" s="98"/>
      <c r="BLW3" s="98"/>
      <c r="BLX3" s="98"/>
      <c r="BLY3" s="98"/>
      <c r="BLZ3" s="98"/>
      <c r="BMA3" s="98"/>
      <c r="BMB3" s="98"/>
      <c r="BMC3" s="98"/>
      <c r="BMD3" s="98"/>
      <c r="BME3" s="98"/>
      <c r="BMF3" s="98"/>
      <c r="BMG3" s="98"/>
      <c r="BMH3" s="98"/>
      <c r="BMI3" s="98"/>
      <c r="BMJ3" s="98"/>
      <c r="BMK3" s="98"/>
      <c r="BML3" s="98"/>
      <c r="BMM3" s="98"/>
      <c r="BMN3" s="98"/>
      <c r="BMO3" s="98"/>
      <c r="BMP3" s="98"/>
      <c r="BMQ3" s="98"/>
      <c r="BMR3" s="98"/>
      <c r="BMS3" s="98"/>
      <c r="BMT3" s="98"/>
      <c r="BMU3" s="98"/>
      <c r="BMV3" s="98"/>
      <c r="BMW3" s="98"/>
      <c r="BMX3" s="98"/>
      <c r="BMY3" s="98"/>
      <c r="BMZ3" s="98"/>
      <c r="BNA3" s="98"/>
      <c r="BNB3" s="98"/>
      <c r="BNC3" s="98"/>
      <c r="BND3" s="98"/>
      <c r="BNE3" s="98"/>
      <c r="BNF3" s="98"/>
      <c r="BNG3" s="98"/>
      <c r="BNH3" s="98"/>
      <c r="BNI3" s="98"/>
      <c r="BNJ3" s="98"/>
      <c r="BNK3" s="98"/>
      <c r="BNL3" s="98"/>
      <c r="BNM3" s="98"/>
      <c r="BNN3" s="98"/>
      <c r="BNO3" s="98"/>
      <c r="BNP3" s="98"/>
      <c r="BNQ3" s="98"/>
      <c r="BNR3" s="98"/>
      <c r="BNS3" s="98"/>
      <c r="BNT3" s="98"/>
      <c r="BNU3" s="98"/>
      <c r="BNV3" s="98"/>
      <c r="BNW3" s="98"/>
      <c r="BNX3" s="98"/>
      <c r="BNY3" s="98"/>
      <c r="BNZ3" s="98"/>
      <c r="BOA3" s="98"/>
      <c r="BOB3" s="98"/>
      <c r="BOC3" s="98"/>
      <c r="BOD3" s="98"/>
      <c r="BOE3" s="98"/>
      <c r="BOF3" s="98"/>
      <c r="BOG3" s="98"/>
      <c r="BOH3" s="98"/>
      <c r="BOI3" s="98"/>
      <c r="BOJ3" s="98"/>
      <c r="BOK3" s="98"/>
      <c r="BOL3" s="98"/>
      <c r="BOM3" s="98"/>
      <c r="BON3" s="98"/>
      <c r="BOO3" s="98"/>
      <c r="BOP3" s="98"/>
      <c r="BOQ3" s="98"/>
      <c r="BOR3" s="98"/>
      <c r="BOS3" s="98"/>
      <c r="BOT3" s="98"/>
      <c r="BOU3" s="98"/>
      <c r="BOV3" s="98"/>
      <c r="BOW3" s="98"/>
      <c r="BOX3" s="98"/>
      <c r="BOY3" s="98"/>
      <c r="BOZ3" s="98"/>
      <c r="BPA3" s="98"/>
      <c r="BPB3" s="98"/>
      <c r="BPC3" s="98"/>
      <c r="BPD3" s="98"/>
      <c r="BPE3" s="98"/>
      <c r="BPF3" s="98"/>
      <c r="BPG3" s="98"/>
      <c r="BPH3" s="98"/>
      <c r="BPI3" s="98"/>
      <c r="BPJ3" s="98"/>
      <c r="BPK3" s="98"/>
      <c r="BPL3" s="98"/>
      <c r="BPM3" s="98"/>
      <c r="BPN3" s="98"/>
      <c r="BPO3" s="98"/>
      <c r="BPP3" s="98"/>
      <c r="BPQ3" s="98"/>
      <c r="BPR3" s="98"/>
      <c r="BPS3" s="98"/>
      <c r="BPT3" s="98"/>
      <c r="BPU3" s="98"/>
      <c r="BPV3" s="98"/>
      <c r="BPW3" s="98"/>
      <c r="BPX3" s="98"/>
      <c r="BPY3" s="98"/>
      <c r="BPZ3" s="98"/>
      <c r="BQA3" s="98"/>
      <c r="BQB3" s="98"/>
      <c r="BQC3" s="98"/>
      <c r="BQD3" s="98"/>
      <c r="BQE3" s="98"/>
      <c r="BQF3" s="98"/>
      <c r="BQG3" s="98"/>
      <c r="BQH3" s="98"/>
      <c r="BQI3" s="98"/>
      <c r="BQJ3" s="98"/>
      <c r="BQK3" s="98"/>
      <c r="BQL3" s="98"/>
      <c r="BQM3" s="98"/>
      <c r="BQN3" s="98"/>
      <c r="BQO3" s="98"/>
      <c r="BQP3" s="98"/>
      <c r="BQQ3" s="98"/>
      <c r="BQR3" s="98"/>
      <c r="BQS3" s="98"/>
      <c r="BQT3" s="98"/>
      <c r="BQU3" s="98"/>
      <c r="BQV3" s="98"/>
      <c r="BQW3" s="98"/>
      <c r="BQX3" s="98"/>
      <c r="BQY3" s="98"/>
      <c r="BQZ3" s="98"/>
      <c r="BRA3" s="98"/>
      <c r="BRB3" s="98"/>
      <c r="BRC3" s="98"/>
      <c r="BRD3" s="98"/>
      <c r="BRE3" s="98"/>
      <c r="BRF3" s="98"/>
      <c r="BRG3" s="98"/>
      <c r="BRH3" s="98"/>
      <c r="BRI3" s="98"/>
      <c r="BRJ3" s="98"/>
      <c r="BRK3" s="98"/>
      <c r="BRL3" s="98"/>
      <c r="BRM3" s="98"/>
      <c r="BRN3" s="98"/>
      <c r="BRO3" s="98"/>
      <c r="BRP3" s="98"/>
      <c r="BRQ3" s="98"/>
      <c r="BRR3" s="98"/>
      <c r="BRS3" s="98"/>
      <c r="BRT3" s="98"/>
      <c r="BRU3" s="98"/>
      <c r="BRV3" s="98"/>
      <c r="BRW3" s="98"/>
      <c r="BRX3" s="98"/>
      <c r="BRY3" s="98"/>
      <c r="BRZ3" s="98"/>
      <c r="BSA3" s="98"/>
      <c r="BSB3" s="98"/>
      <c r="BSC3" s="98"/>
      <c r="BSD3" s="98"/>
      <c r="BSE3" s="98"/>
      <c r="BSF3" s="98"/>
      <c r="BSG3" s="98"/>
      <c r="BSH3" s="98"/>
      <c r="BSI3" s="98"/>
      <c r="BSJ3" s="98"/>
      <c r="BSK3" s="98"/>
      <c r="BSL3" s="98"/>
      <c r="BSM3" s="98"/>
      <c r="BSN3" s="98"/>
      <c r="BSO3" s="98"/>
      <c r="BSP3" s="98"/>
      <c r="BSQ3" s="98"/>
      <c r="BSR3" s="98"/>
      <c r="BSS3" s="98"/>
      <c r="BST3" s="98"/>
      <c r="BSU3" s="98"/>
      <c r="BSV3" s="98"/>
      <c r="BSW3" s="98"/>
      <c r="BSX3" s="98"/>
      <c r="BSY3" s="98"/>
      <c r="BSZ3" s="98"/>
      <c r="BTA3" s="98"/>
      <c r="BTB3" s="98"/>
      <c r="BTC3" s="98"/>
      <c r="BTD3" s="98"/>
      <c r="BTE3" s="98"/>
      <c r="BTF3" s="98"/>
      <c r="BTG3" s="98"/>
      <c r="BTH3" s="98"/>
      <c r="BTI3" s="98"/>
      <c r="BTJ3" s="98"/>
      <c r="BTK3" s="98"/>
      <c r="BTL3" s="98"/>
      <c r="BTM3" s="98"/>
      <c r="BTN3" s="98"/>
      <c r="BTO3" s="98"/>
      <c r="BTP3" s="98"/>
      <c r="BTQ3" s="98"/>
      <c r="BTR3" s="98"/>
      <c r="BTS3" s="98"/>
      <c r="BTT3" s="98"/>
      <c r="BTU3" s="98"/>
      <c r="BTV3" s="98"/>
      <c r="BTW3" s="98"/>
      <c r="BTX3" s="98"/>
      <c r="BTY3" s="98"/>
      <c r="BTZ3" s="98"/>
      <c r="BUA3" s="98"/>
      <c r="BUB3" s="98"/>
      <c r="BUC3" s="98"/>
      <c r="BUD3" s="98"/>
      <c r="BUE3" s="98"/>
      <c r="BUF3" s="98"/>
      <c r="BUG3" s="98"/>
      <c r="BUH3" s="98"/>
      <c r="BUI3" s="98"/>
      <c r="BUJ3" s="98"/>
      <c r="BUK3" s="98"/>
      <c r="BUL3" s="98"/>
      <c r="BUM3" s="98"/>
      <c r="BUN3" s="98"/>
      <c r="BUO3" s="98"/>
      <c r="BUP3" s="98"/>
      <c r="BUQ3" s="98"/>
      <c r="BUR3" s="98"/>
      <c r="BUS3" s="98"/>
      <c r="BUT3" s="98"/>
      <c r="BUU3" s="98"/>
      <c r="BUV3" s="98"/>
      <c r="BUW3" s="98"/>
      <c r="BUX3" s="98"/>
      <c r="BUY3" s="98"/>
      <c r="BUZ3" s="98"/>
      <c r="BVA3" s="98"/>
      <c r="BVB3" s="98"/>
      <c r="BVC3" s="98"/>
      <c r="BVD3" s="98"/>
      <c r="BVE3" s="98"/>
      <c r="BVF3" s="98"/>
      <c r="BVG3" s="98"/>
      <c r="BVH3" s="98"/>
      <c r="BVI3" s="98"/>
      <c r="BVJ3" s="98"/>
      <c r="BVK3" s="98"/>
      <c r="BVL3" s="98"/>
      <c r="BVM3" s="98"/>
      <c r="BVN3" s="98"/>
      <c r="BVO3" s="98"/>
      <c r="BVP3" s="98"/>
      <c r="BVQ3" s="98"/>
      <c r="BVR3" s="98"/>
      <c r="BVS3" s="98"/>
      <c r="BVT3" s="98"/>
      <c r="BVU3" s="98"/>
      <c r="BVV3" s="98"/>
      <c r="BVW3" s="98"/>
      <c r="BVX3" s="98"/>
      <c r="BVY3" s="98"/>
      <c r="BVZ3" s="98"/>
      <c r="BWA3" s="98"/>
      <c r="BWB3" s="98"/>
      <c r="BWC3" s="98"/>
      <c r="BWD3" s="98"/>
      <c r="BWE3" s="98"/>
      <c r="BWF3" s="98"/>
      <c r="BWG3" s="98"/>
      <c r="BWH3" s="98"/>
      <c r="BWI3" s="98"/>
      <c r="BWJ3" s="98"/>
      <c r="BWK3" s="98"/>
      <c r="BWL3" s="98"/>
      <c r="BWM3" s="98"/>
      <c r="BWN3" s="98"/>
      <c r="BWO3" s="98"/>
      <c r="BWP3" s="98"/>
      <c r="BWQ3" s="98"/>
      <c r="BWR3" s="98"/>
      <c r="BWS3" s="98"/>
      <c r="BWT3" s="98"/>
      <c r="BWU3" s="98"/>
      <c r="BWV3" s="98"/>
      <c r="BWW3" s="98"/>
      <c r="BWX3" s="98"/>
      <c r="BWY3" s="98"/>
      <c r="BWZ3" s="98"/>
      <c r="BXA3" s="98"/>
      <c r="BXB3" s="98"/>
      <c r="BXC3" s="98"/>
      <c r="BXD3" s="98"/>
      <c r="BXE3" s="98"/>
      <c r="BXF3" s="98"/>
      <c r="BXG3" s="98"/>
      <c r="BXH3" s="98"/>
      <c r="BXI3" s="98"/>
      <c r="BXJ3" s="98"/>
      <c r="BXK3" s="98"/>
      <c r="BXL3" s="98"/>
      <c r="BXM3" s="98"/>
      <c r="BXN3" s="98"/>
      <c r="BXO3" s="98"/>
      <c r="BXP3" s="98"/>
      <c r="BXQ3" s="98"/>
      <c r="BXR3" s="98"/>
      <c r="BXS3" s="98"/>
      <c r="BXT3" s="98"/>
      <c r="BXU3" s="98"/>
      <c r="BXV3" s="98"/>
      <c r="BXW3" s="98"/>
      <c r="BXX3" s="98"/>
      <c r="BXY3" s="98"/>
      <c r="BXZ3" s="98"/>
      <c r="BYA3" s="98"/>
      <c r="BYB3" s="98"/>
      <c r="BYC3" s="98"/>
      <c r="BYD3" s="98"/>
      <c r="BYE3" s="98"/>
      <c r="BYF3" s="98"/>
      <c r="BYG3" s="98"/>
      <c r="BYH3" s="98"/>
      <c r="BYI3" s="98"/>
      <c r="BYJ3" s="98"/>
      <c r="BYK3" s="98"/>
      <c r="BYL3" s="98"/>
      <c r="BYM3" s="98"/>
      <c r="BYN3" s="98"/>
      <c r="BYO3" s="98"/>
      <c r="BYP3" s="98"/>
      <c r="BYQ3" s="98"/>
      <c r="BYR3" s="98"/>
      <c r="BYS3" s="98"/>
      <c r="BYT3" s="98"/>
      <c r="BYU3" s="98"/>
      <c r="BYV3" s="98"/>
      <c r="BYW3" s="98"/>
      <c r="BYX3" s="98"/>
      <c r="BYY3" s="98"/>
      <c r="BYZ3" s="98"/>
      <c r="BZA3" s="98"/>
      <c r="BZB3" s="98"/>
      <c r="BZC3" s="98"/>
      <c r="BZD3" s="98"/>
      <c r="BZE3" s="98"/>
      <c r="BZF3" s="98"/>
      <c r="BZG3" s="98"/>
      <c r="BZH3" s="98"/>
      <c r="BZI3" s="98"/>
      <c r="BZJ3" s="98"/>
      <c r="BZK3" s="98"/>
      <c r="BZL3" s="98"/>
      <c r="BZM3" s="98"/>
      <c r="BZN3" s="98"/>
      <c r="BZO3" s="98"/>
      <c r="BZP3" s="98"/>
      <c r="BZQ3" s="98"/>
      <c r="BZR3" s="98"/>
      <c r="BZS3" s="98"/>
      <c r="BZT3" s="98"/>
      <c r="BZU3" s="98"/>
      <c r="BZV3" s="98"/>
      <c r="BZW3" s="98"/>
      <c r="BZX3" s="98"/>
      <c r="BZY3" s="98"/>
      <c r="BZZ3" s="98"/>
      <c r="CAA3" s="98"/>
      <c r="CAB3" s="98"/>
      <c r="CAC3" s="98"/>
      <c r="CAD3" s="98"/>
      <c r="CAE3" s="98"/>
      <c r="CAF3" s="98"/>
      <c r="CAG3" s="98"/>
      <c r="CAH3" s="98"/>
      <c r="CAI3" s="98"/>
      <c r="CAJ3" s="98"/>
      <c r="CAK3" s="98"/>
      <c r="CAL3" s="98"/>
      <c r="CAM3" s="98"/>
      <c r="CAN3" s="98"/>
      <c r="CAO3" s="98"/>
      <c r="CAP3" s="98"/>
      <c r="CAQ3" s="98"/>
      <c r="CAR3" s="98"/>
      <c r="CAS3" s="98"/>
      <c r="CAT3" s="98"/>
      <c r="CAU3" s="98"/>
      <c r="CAV3" s="98"/>
      <c r="CAW3" s="98"/>
      <c r="CAX3" s="98"/>
      <c r="CAY3" s="98"/>
      <c r="CAZ3" s="98"/>
      <c r="CBA3" s="98"/>
      <c r="CBB3" s="98"/>
      <c r="CBC3" s="98"/>
      <c r="CBD3" s="98"/>
      <c r="CBE3" s="98"/>
      <c r="CBF3" s="98"/>
      <c r="CBG3" s="98"/>
      <c r="CBH3" s="98"/>
      <c r="CBI3" s="98"/>
      <c r="CBJ3" s="98"/>
      <c r="CBK3" s="98"/>
      <c r="CBL3" s="98"/>
      <c r="CBM3" s="98"/>
      <c r="CBN3" s="98"/>
      <c r="CBO3" s="98"/>
      <c r="CBP3" s="98"/>
      <c r="CBQ3" s="98"/>
      <c r="CBR3" s="98"/>
      <c r="CBS3" s="98"/>
      <c r="CBT3" s="98"/>
      <c r="CBU3" s="98"/>
      <c r="CBV3" s="98"/>
      <c r="CBW3" s="98"/>
      <c r="CBX3" s="98"/>
      <c r="CBY3" s="98"/>
      <c r="CBZ3" s="98"/>
      <c r="CCA3" s="98"/>
      <c r="CCB3" s="98"/>
      <c r="CCC3" s="98"/>
      <c r="CCD3" s="98"/>
      <c r="CCE3" s="98"/>
      <c r="CCF3" s="98"/>
      <c r="CCG3" s="98"/>
      <c r="CCH3" s="98"/>
      <c r="CCI3" s="98"/>
      <c r="CCJ3" s="98"/>
      <c r="CCK3" s="98"/>
      <c r="CCL3" s="98"/>
      <c r="CCM3" s="98"/>
      <c r="CCN3" s="98"/>
      <c r="CCO3" s="98"/>
      <c r="CCP3" s="98"/>
      <c r="CCQ3" s="98"/>
      <c r="CCR3" s="98"/>
      <c r="CCS3" s="98"/>
      <c r="CCT3" s="98"/>
      <c r="CCU3" s="98"/>
      <c r="CCV3" s="98"/>
      <c r="CCW3" s="98"/>
      <c r="CCX3" s="98"/>
      <c r="CCY3" s="98"/>
      <c r="CCZ3" s="98"/>
      <c r="CDA3" s="98"/>
      <c r="CDB3" s="98"/>
      <c r="CDC3" s="98"/>
      <c r="CDD3" s="98"/>
      <c r="CDE3" s="98"/>
      <c r="CDF3" s="98"/>
      <c r="CDG3" s="98"/>
      <c r="CDH3" s="98"/>
      <c r="CDI3" s="98"/>
      <c r="CDJ3" s="98"/>
      <c r="CDK3" s="98"/>
      <c r="CDL3" s="98"/>
      <c r="CDM3" s="98"/>
      <c r="CDN3" s="98"/>
      <c r="CDO3" s="98"/>
      <c r="CDP3" s="98"/>
      <c r="CDQ3" s="98"/>
      <c r="CDR3" s="98"/>
      <c r="CDS3" s="98"/>
      <c r="CDT3" s="98"/>
      <c r="CDU3" s="98"/>
      <c r="CDV3" s="98"/>
      <c r="CDW3" s="98"/>
      <c r="CDX3" s="98"/>
      <c r="CDY3" s="98"/>
      <c r="CDZ3" s="98"/>
      <c r="CEA3" s="98"/>
      <c r="CEB3" s="98"/>
      <c r="CEC3" s="98"/>
      <c r="CED3" s="98"/>
      <c r="CEE3" s="98"/>
      <c r="CEF3" s="98"/>
      <c r="CEG3" s="98"/>
      <c r="CEH3" s="98"/>
      <c r="CEI3" s="98"/>
      <c r="CEJ3" s="98"/>
      <c r="CEK3" s="98"/>
      <c r="CEL3" s="98"/>
      <c r="CEM3" s="98"/>
      <c r="CEN3" s="98"/>
      <c r="CEO3" s="98"/>
      <c r="CEP3" s="98"/>
      <c r="CEQ3" s="98"/>
      <c r="CER3" s="98"/>
      <c r="CES3" s="98"/>
      <c r="CET3" s="98"/>
      <c r="CEU3" s="98"/>
      <c r="CEV3" s="98"/>
      <c r="CEW3" s="98"/>
      <c r="CEX3" s="98"/>
      <c r="CEY3" s="98"/>
      <c r="CEZ3" s="98"/>
      <c r="CFA3" s="98"/>
      <c r="CFB3" s="98"/>
      <c r="CFC3" s="98"/>
      <c r="CFD3" s="98"/>
      <c r="CFE3" s="98"/>
      <c r="CFF3" s="98"/>
      <c r="CFG3" s="98"/>
      <c r="CFH3" s="98"/>
      <c r="CFI3" s="98"/>
      <c r="CFJ3" s="98"/>
      <c r="CFK3" s="98"/>
      <c r="CFL3" s="98"/>
      <c r="CFM3" s="98"/>
      <c r="CFN3" s="98"/>
      <c r="CFO3" s="98"/>
      <c r="CFP3" s="98"/>
      <c r="CFQ3" s="98"/>
      <c r="CFR3" s="98"/>
      <c r="CFS3" s="98"/>
      <c r="CFT3" s="98"/>
      <c r="CFU3" s="98"/>
      <c r="CFV3" s="98"/>
      <c r="CFW3" s="98"/>
      <c r="CFX3" s="98"/>
      <c r="CFY3" s="98"/>
      <c r="CFZ3" s="98"/>
      <c r="CGA3" s="98"/>
      <c r="CGB3" s="98"/>
      <c r="CGC3" s="98"/>
      <c r="CGD3" s="98"/>
      <c r="CGE3" s="98"/>
      <c r="CGF3" s="98"/>
      <c r="CGG3" s="98"/>
      <c r="CGH3" s="98"/>
      <c r="CGI3" s="98"/>
      <c r="CGJ3" s="98"/>
      <c r="CGK3" s="98"/>
      <c r="CGL3" s="98"/>
      <c r="CGM3" s="98"/>
      <c r="CGN3" s="98"/>
      <c r="CGO3" s="98"/>
      <c r="CGP3" s="98"/>
      <c r="CGQ3" s="98"/>
      <c r="CGR3" s="98"/>
      <c r="CGS3" s="98"/>
      <c r="CGT3" s="98"/>
      <c r="CGU3" s="98"/>
      <c r="CGV3" s="98"/>
      <c r="CGW3" s="98"/>
      <c r="CGX3" s="98"/>
      <c r="CGY3" s="98"/>
      <c r="CGZ3" s="98"/>
      <c r="CHA3" s="98"/>
      <c r="CHB3" s="98"/>
      <c r="CHC3" s="98"/>
      <c r="CHD3" s="98"/>
      <c r="CHE3" s="98"/>
      <c r="CHF3" s="98"/>
      <c r="CHG3" s="98"/>
      <c r="CHH3" s="98"/>
      <c r="CHI3" s="98"/>
      <c r="CHJ3" s="98"/>
      <c r="CHK3" s="98"/>
      <c r="CHL3" s="98"/>
      <c r="CHM3" s="98"/>
      <c r="CHN3" s="98"/>
      <c r="CHO3" s="98"/>
      <c r="CHP3" s="98"/>
      <c r="CHQ3" s="98"/>
      <c r="CHR3" s="98"/>
      <c r="CHS3" s="98"/>
      <c r="CHT3" s="98"/>
      <c r="CHU3" s="98"/>
      <c r="CHV3" s="98"/>
      <c r="CHW3" s="98"/>
      <c r="CHX3" s="98"/>
      <c r="CHY3" s="98"/>
      <c r="CHZ3" s="98"/>
      <c r="CIA3" s="98"/>
      <c r="CIB3" s="98"/>
      <c r="CIC3" s="98"/>
      <c r="CID3" s="98"/>
      <c r="CIE3" s="98"/>
      <c r="CIF3" s="98"/>
      <c r="CIG3" s="98"/>
      <c r="CIH3" s="98"/>
      <c r="CII3" s="98"/>
      <c r="CIJ3" s="98"/>
      <c r="CIK3" s="98"/>
      <c r="CIL3" s="98"/>
      <c r="CIM3" s="98"/>
      <c r="CIN3" s="98"/>
      <c r="CIO3" s="98"/>
      <c r="CIP3" s="98"/>
      <c r="CIQ3" s="98"/>
      <c r="CIR3" s="98"/>
      <c r="CIS3" s="98"/>
      <c r="CIT3" s="98"/>
      <c r="CIU3" s="98"/>
      <c r="CIV3" s="98"/>
      <c r="CIW3" s="98"/>
      <c r="CIX3" s="98"/>
      <c r="CIY3" s="98"/>
      <c r="CIZ3" s="98"/>
      <c r="CJA3" s="98"/>
      <c r="CJB3" s="98"/>
      <c r="CJC3" s="98"/>
      <c r="CJD3" s="98"/>
      <c r="CJE3" s="98"/>
      <c r="CJF3" s="98"/>
      <c r="CJG3" s="98"/>
      <c r="CJH3" s="98"/>
      <c r="CJI3" s="98"/>
      <c r="CJJ3" s="98"/>
      <c r="CJK3" s="98"/>
      <c r="CJL3" s="98"/>
      <c r="CJM3" s="98"/>
      <c r="CJN3" s="98"/>
      <c r="CJO3" s="98"/>
      <c r="CJP3" s="98"/>
      <c r="CJQ3" s="98"/>
      <c r="CJR3" s="98"/>
      <c r="CJS3" s="98"/>
      <c r="CJT3" s="98"/>
      <c r="CJU3" s="98"/>
      <c r="CJV3" s="98"/>
      <c r="CJW3" s="98"/>
      <c r="CJX3" s="98"/>
      <c r="CJY3" s="98"/>
      <c r="CJZ3" s="98"/>
      <c r="CKA3" s="98"/>
      <c r="CKB3" s="98"/>
      <c r="CKC3" s="98"/>
      <c r="CKD3" s="98"/>
      <c r="CKE3" s="98"/>
      <c r="CKF3" s="98"/>
      <c r="CKG3" s="98"/>
      <c r="CKH3" s="98"/>
      <c r="CKI3" s="98"/>
      <c r="CKJ3" s="98"/>
      <c r="CKK3" s="98"/>
      <c r="CKL3" s="98"/>
      <c r="CKM3" s="98"/>
      <c r="CKN3" s="98"/>
      <c r="CKO3" s="98"/>
      <c r="CKP3" s="98"/>
      <c r="CKQ3" s="98"/>
      <c r="CKR3" s="98"/>
      <c r="CKS3" s="98"/>
      <c r="CKT3" s="98"/>
      <c r="CKU3" s="98"/>
      <c r="CKV3" s="98"/>
      <c r="CKW3" s="98"/>
      <c r="CKX3" s="98"/>
      <c r="CKY3" s="98"/>
      <c r="CKZ3" s="98"/>
      <c r="CLA3" s="98"/>
      <c r="CLB3" s="98"/>
      <c r="CLC3" s="98"/>
      <c r="CLD3" s="98"/>
      <c r="CLE3" s="98"/>
      <c r="CLF3" s="98"/>
      <c r="CLG3" s="98"/>
      <c r="CLH3" s="98"/>
      <c r="CLI3" s="98"/>
      <c r="CLJ3" s="98"/>
      <c r="CLK3" s="98"/>
      <c r="CLL3" s="98"/>
      <c r="CLM3" s="98"/>
      <c r="CLN3" s="98"/>
      <c r="CLO3" s="98"/>
      <c r="CLP3" s="98"/>
      <c r="CLQ3" s="98"/>
      <c r="CLR3" s="98"/>
      <c r="CLS3" s="98"/>
      <c r="CLT3" s="98"/>
      <c r="CLU3" s="98"/>
      <c r="CLV3" s="98"/>
      <c r="CLW3" s="98"/>
      <c r="CLX3" s="98"/>
      <c r="CLY3" s="98"/>
      <c r="CLZ3" s="98"/>
      <c r="CMA3" s="98"/>
      <c r="CMB3" s="98"/>
      <c r="CMC3" s="98"/>
      <c r="CMD3" s="98"/>
      <c r="CME3" s="98"/>
      <c r="CMF3" s="98"/>
      <c r="CMG3" s="98"/>
      <c r="CMH3" s="98"/>
      <c r="CMI3" s="98"/>
      <c r="CMJ3" s="98"/>
      <c r="CMK3" s="98"/>
      <c r="CML3" s="98"/>
      <c r="CMM3" s="98"/>
      <c r="CMN3" s="98"/>
      <c r="CMO3" s="98"/>
      <c r="CMP3" s="98"/>
      <c r="CMQ3" s="98"/>
      <c r="CMR3" s="98"/>
      <c r="CMS3" s="98"/>
      <c r="CMT3" s="98"/>
      <c r="CMU3" s="98"/>
      <c r="CMV3" s="98"/>
      <c r="CMW3" s="98"/>
      <c r="CMX3" s="98"/>
      <c r="CMY3" s="98"/>
      <c r="CMZ3" s="98"/>
      <c r="CNA3" s="98"/>
      <c r="CNB3" s="98"/>
      <c r="CNC3" s="98"/>
      <c r="CND3" s="98"/>
      <c r="CNE3" s="98"/>
      <c r="CNF3" s="98"/>
      <c r="CNG3" s="98"/>
      <c r="CNH3" s="98"/>
      <c r="CNI3" s="98"/>
      <c r="CNJ3" s="98"/>
      <c r="CNK3" s="98"/>
      <c r="CNL3" s="98"/>
      <c r="CNM3" s="98"/>
      <c r="CNN3" s="98"/>
      <c r="CNO3" s="98"/>
      <c r="CNP3" s="98"/>
      <c r="CNQ3" s="98"/>
      <c r="CNR3" s="98"/>
      <c r="CNS3" s="98"/>
      <c r="CNT3" s="98"/>
      <c r="CNU3" s="98"/>
      <c r="CNV3" s="98"/>
      <c r="CNW3" s="98"/>
      <c r="CNX3" s="98"/>
      <c r="CNY3" s="98"/>
      <c r="CNZ3" s="98"/>
      <c r="COA3" s="98"/>
      <c r="COB3" s="98"/>
      <c r="COC3" s="98"/>
      <c r="COD3" s="98"/>
      <c r="COE3" s="98"/>
      <c r="COF3" s="98"/>
      <c r="COG3" s="98"/>
      <c r="COH3" s="98"/>
      <c r="COI3" s="98"/>
      <c r="COJ3" s="98"/>
      <c r="COK3" s="98"/>
      <c r="COL3" s="98"/>
      <c r="COM3" s="98"/>
      <c r="CON3" s="98"/>
      <c r="COO3" s="98"/>
      <c r="COP3" s="98"/>
      <c r="COQ3" s="98"/>
      <c r="COR3" s="98"/>
      <c r="COS3" s="98"/>
      <c r="COT3" s="98"/>
      <c r="COU3" s="98"/>
      <c r="COV3" s="98"/>
      <c r="COW3" s="98"/>
      <c r="COX3" s="98"/>
      <c r="COY3" s="98"/>
      <c r="COZ3" s="98"/>
      <c r="CPA3" s="98"/>
      <c r="CPB3" s="98"/>
      <c r="CPC3" s="98"/>
      <c r="CPD3" s="98"/>
      <c r="CPE3" s="98"/>
      <c r="CPF3" s="98"/>
      <c r="CPG3" s="98"/>
      <c r="CPH3" s="98"/>
      <c r="CPI3" s="98"/>
      <c r="CPJ3" s="98"/>
      <c r="CPK3" s="98"/>
      <c r="CPL3" s="98"/>
      <c r="CPM3" s="98"/>
      <c r="CPN3" s="98"/>
      <c r="CPO3" s="98"/>
      <c r="CPP3" s="98"/>
      <c r="CPQ3" s="98"/>
      <c r="CPR3" s="98"/>
      <c r="CPS3" s="98"/>
      <c r="CPT3" s="98"/>
      <c r="CPU3" s="98"/>
      <c r="CPV3" s="98"/>
      <c r="CPW3" s="98"/>
      <c r="CPX3" s="98"/>
      <c r="CPY3" s="98"/>
      <c r="CPZ3" s="98"/>
      <c r="CQA3" s="98"/>
      <c r="CQB3" s="98"/>
      <c r="CQC3" s="98"/>
      <c r="CQD3" s="98"/>
      <c r="CQE3" s="98"/>
      <c r="CQF3" s="98"/>
      <c r="CQG3" s="98"/>
      <c r="CQH3" s="98"/>
      <c r="CQI3" s="98"/>
      <c r="CQJ3" s="98"/>
      <c r="CQK3" s="98"/>
      <c r="CQL3" s="98"/>
      <c r="CQM3" s="98"/>
      <c r="CQN3" s="98"/>
      <c r="CQO3" s="98"/>
      <c r="CQP3" s="98"/>
      <c r="CQQ3" s="98"/>
      <c r="CQR3" s="98"/>
      <c r="CQS3" s="98"/>
      <c r="CQT3" s="98"/>
      <c r="CQU3" s="98"/>
      <c r="CQV3" s="98"/>
      <c r="CQW3" s="98"/>
      <c r="CQX3" s="98"/>
      <c r="CQY3" s="98"/>
      <c r="CQZ3" s="98"/>
      <c r="CRA3" s="98"/>
      <c r="CRB3" s="98"/>
      <c r="CRC3" s="98"/>
      <c r="CRD3" s="98"/>
      <c r="CRE3" s="98"/>
      <c r="CRF3" s="98"/>
      <c r="CRG3" s="98"/>
      <c r="CRH3" s="98"/>
      <c r="CRI3" s="98"/>
      <c r="CRJ3" s="98"/>
      <c r="CRK3" s="98"/>
      <c r="CRL3" s="98"/>
      <c r="CRM3" s="98"/>
      <c r="CRN3" s="98"/>
      <c r="CRO3" s="98"/>
      <c r="CRP3" s="98"/>
      <c r="CRQ3" s="98"/>
      <c r="CRR3" s="98"/>
      <c r="CRS3" s="98"/>
      <c r="CRT3" s="98"/>
      <c r="CRU3" s="98"/>
      <c r="CRV3" s="98"/>
      <c r="CRW3" s="98"/>
      <c r="CRX3" s="98"/>
      <c r="CRY3" s="98"/>
      <c r="CRZ3" s="98"/>
      <c r="CSA3" s="98"/>
      <c r="CSB3" s="98"/>
      <c r="CSC3" s="98"/>
      <c r="CSD3" s="98"/>
      <c r="CSE3" s="98"/>
      <c r="CSF3" s="98"/>
      <c r="CSG3" s="98"/>
      <c r="CSH3" s="98"/>
      <c r="CSI3" s="98"/>
      <c r="CSJ3" s="98"/>
      <c r="CSK3" s="98"/>
      <c r="CSL3" s="98"/>
      <c r="CSM3" s="98"/>
      <c r="CSN3" s="98"/>
      <c r="CSO3" s="98"/>
      <c r="CSP3" s="98"/>
      <c r="CSQ3" s="98"/>
      <c r="CSR3" s="98"/>
      <c r="CSS3" s="98"/>
      <c r="CST3" s="98"/>
      <c r="CSU3" s="98"/>
      <c r="CSV3" s="98"/>
      <c r="CSW3" s="98"/>
      <c r="CSX3" s="98"/>
      <c r="CSY3" s="98"/>
      <c r="CSZ3" s="98"/>
      <c r="CTA3" s="98"/>
      <c r="CTB3" s="98"/>
      <c r="CTC3" s="98"/>
      <c r="CTD3" s="98"/>
      <c r="CTE3" s="98"/>
      <c r="CTF3" s="98"/>
      <c r="CTG3" s="98"/>
      <c r="CTH3" s="98"/>
      <c r="CTI3" s="98"/>
      <c r="CTJ3" s="98"/>
      <c r="CTK3" s="98"/>
      <c r="CTL3" s="98"/>
      <c r="CTM3" s="98"/>
      <c r="CTN3" s="98"/>
      <c r="CTO3" s="98"/>
      <c r="CTP3" s="98"/>
      <c r="CTQ3" s="98"/>
      <c r="CTR3" s="98"/>
      <c r="CTS3" s="98"/>
      <c r="CTT3" s="98"/>
      <c r="CTU3" s="98"/>
      <c r="CTV3" s="98"/>
      <c r="CTW3" s="98"/>
      <c r="CTX3" s="98"/>
      <c r="CTY3" s="98"/>
      <c r="CTZ3" s="98"/>
      <c r="CUA3" s="98"/>
      <c r="CUB3" s="98"/>
      <c r="CUC3" s="98"/>
      <c r="CUD3" s="98"/>
      <c r="CUE3" s="98"/>
      <c r="CUF3" s="98"/>
      <c r="CUG3" s="98"/>
      <c r="CUH3" s="98"/>
      <c r="CUI3" s="98"/>
      <c r="CUJ3" s="98"/>
      <c r="CUK3" s="98"/>
      <c r="CUL3" s="98"/>
      <c r="CUM3" s="98"/>
      <c r="CUN3" s="98"/>
      <c r="CUO3" s="98"/>
      <c r="CUP3" s="98"/>
      <c r="CUQ3" s="98"/>
      <c r="CUR3" s="98"/>
      <c r="CUS3" s="98"/>
      <c r="CUT3" s="98"/>
      <c r="CUU3" s="98"/>
      <c r="CUV3" s="98"/>
      <c r="CUW3" s="98"/>
      <c r="CUX3" s="98"/>
      <c r="CUY3" s="98"/>
      <c r="CUZ3" s="98"/>
      <c r="CVA3" s="98"/>
      <c r="CVB3" s="98"/>
      <c r="CVC3" s="98"/>
      <c r="CVD3" s="98"/>
      <c r="CVE3" s="98"/>
      <c r="CVF3" s="98"/>
      <c r="CVG3" s="98"/>
      <c r="CVH3" s="98"/>
      <c r="CVI3" s="98"/>
      <c r="CVJ3" s="98"/>
      <c r="CVK3" s="98"/>
      <c r="CVL3" s="98"/>
      <c r="CVM3" s="98"/>
      <c r="CVN3" s="98"/>
      <c r="CVO3" s="98"/>
      <c r="CVP3" s="98"/>
      <c r="CVQ3" s="98"/>
      <c r="CVR3" s="98"/>
      <c r="CVS3" s="98"/>
      <c r="CVT3" s="98"/>
      <c r="CVU3" s="98"/>
      <c r="CVV3" s="98"/>
      <c r="CVW3" s="98"/>
      <c r="CVX3" s="98"/>
      <c r="CVY3" s="98"/>
      <c r="CVZ3" s="98"/>
      <c r="CWA3" s="98"/>
      <c r="CWB3" s="98"/>
      <c r="CWC3" s="98"/>
      <c r="CWD3" s="98"/>
      <c r="CWE3" s="98"/>
      <c r="CWF3" s="98"/>
      <c r="CWG3" s="98"/>
      <c r="CWH3" s="98"/>
      <c r="CWI3" s="98"/>
      <c r="CWJ3" s="98"/>
      <c r="CWK3" s="98"/>
      <c r="CWL3" s="98"/>
      <c r="CWM3" s="98"/>
      <c r="CWN3" s="98"/>
      <c r="CWO3" s="98"/>
      <c r="CWP3" s="98"/>
      <c r="CWQ3" s="98"/>
      <c r="CWR3" s="98"/>
      <c r="CWS3" s="98"/>
      <c r="CWT3" s="98"/>
      <c r="CWU3" s="98"/>
      <c r="CWV3" s="98"/>
      <c r="CWW3" s="98"/>
      <c r="CWX3" s="98"/>
      <c r="CWY3" s="98"/>
      <c r="CWZ3" s="98"/>
      <c r="CXA3" s="98"/>
      <c r="CXB3" s="98"/>
      <c r="CXC3" s="98"/>
      <c r="CXD3" s="98"/>
      <c r="CXE3" s="98"/>
      <c r="CXF3" s="98"/>
      <c r="CXG3" s="98"/>
      <c r="CXH3" s="98"/>
      <c r="CXI3" s="98"/>
      <c r="CXJ3" s="98"/>
      <c r="CXK3" s="98"/>
      <c r="CXL3" s="98"/>
      <c r="CXM3" s="98"/>
      <c r="CXN3" s="98"/>
      <c r="CXO3" s="98"/>
      <c r="CXP3" s="98"/>
      <c r="CXQ3" s="98"/>
      <c r="CXR3" s="98"/>
      <c r="CXS3" s="98"/>
      <c r="CXT3" s="98"/>
      <c r="CXU3" s="98"/>
      <c r="CXV3" s="98"/>
      <c r="CXW3" s="98"/>
      <c r="CXX3" s="98"/>
      <c r="CXY3" s="98"/>
      <c r="CXZ3" s="98"/>
      <c r="CYA3" s="98"/>
      <c r="CYB3" s="98"/>
      <c r="CYC3" s="98"/>
      <c r="CYD3" s="98"/>
      <c r="CYE3" s="98"/>
      <c r="CYF3" s="98"/>
      <c r="CYG3" s="98"/>
      <c r="CYH3" s="98"/>
      <c r="CYI3" s="98"/>
      <c r="CYJ3" s="98"/>
      <c r="CYK3" s="98"/>
      <c r="CYL3" s="98"/>
      <c r="CYM3" s="98"/>
      <c r="CYN3" s="98"/>
      <c r="CYO3" s="98"/>
      <c r="CYP3" s="98"/>
      <c r="CYQ3" s="98"/>
      <c r="CYR3" s="98"/>
      <c r="CYS3" s="98"/>
      <c r="CYT3" s="98"/>
      <c r="CYU3" s="98"/>
      <c r="CYV3" s="98"/>
      <c r="CYW3" s="98"/>
      <c r="CYX3" s="98"/>
      <c r="CYY3" s="98"/>
      <c r="CYZ3" s="98"/>
      <c r="CZA3" s="98"/>
      <c r="CZB3" s="98"/>
      <c r="CZC3" s="98"/>
      <c r="CZD3" s="98"/>
      <c r="CZE3" s="98"/>
      <c r="CZF3" s="98"/>
      <c r="CZG3" s="98"/>
      <c r="CZH3" s="98"/>
      <c r="CZI3" s="98"/>
      <c r="CZJ3" s="98"/>
      <c r="CZK3" s="98"/>
      <c r="CZL3" s="98"/>
      <c r="CZM3" s="98"/>
      <c r="CZN3" s="98"/>
      <c r="CZO3" s="98"/>
      <c r="CZP3" s="98"/>
      <c r="CZQ3" s="98"/>
      <c r="CZR3" s="98"/>
      <c r="CZS3" s="98"/>
      <c r="CZT3" s="98"/>
      <c r="CZU3" s="98"/>
      <c r="CZV3" s="98"/>
      <c r="CZW3" s="98"/>
      <c r="CZX3" s="98"/>
      <c r="CZY3" s="98"/>
      <c r="CZZ3" s="98"/>
      <c r="DAA3" s="98"/>
      <c r="DAB3" s="98"/>
      <c r="DAC3" s="98"/>
      <c r="DAD3" s="98"/>
      <c r="DAE3" s="98"/>
      <c r="DAF3" s="98"/>
      <c r="DAG3" s="98"/>
      <c r="DAH3" s="98"/>
      <c r="DAI3" s="98"/>
      <c r="DAJ3" s="98"/>
      <c r="DAK3" s="98"/>
      <c r="DAL3" s="98"/>
      <c r="DAM3" s="98"/>
      <c r="DAN3" s="98"/>
      <c r="DAO3" s="98"/>
      <c r="DAP3" s="98"/>
      <c r="DAQ3" s="98"/>
      <c r="DAR3" s="98"/>
      <c r="DAS3" s="98"/>
      <c r="DAT3" s="98"/>
      <c r="DAU3" s="98"/>
      <c r="DAV3" s="98"/>
      <c r="DAW3" s="98"/>
      <c r="DAX3" s="98"/>
      <c r="DAY3" s="98"/>
      <c r="DAZ3" s="98"/>
      <c r="DBA3" s="98"/>
      <c r="DBB3" s="98"/>
      <c r="DBC3" s="98"/>
      <c r="DBD3" s="98"/>
      <c r="DBE3" s="98"/>
      <c r="DBF3" s="98"/>
      <c r="DBG3" s="98"/>
      <c r="DBH3" s="98"/>
      <c r="DBI3" s="98"/>
      <c r="DBJ3" s="98"/>
      <c r="DBK3" s="98"/>
      <c r="DBL3" s="98"/>
      <c r="DBM3" s="98"/>
      <c r="DBN3" s="98"/>
      <c r="DBO3" s="98"/>
      <c r="DBP3" s="98"/>
      <c r="DBQ3" s="98"/>
      <c r="DBR3" s="98"/>
      <c r="DBS3" s="98"/>
      <c r="DBT3" s="98"/>
      <c r="DBU3" s="98"/>
      <c r="DBV3" s="98"/>
      <c r="DBW3" s="98"/>
      <c r="DBX3" s="98"/>
      <c r="DBY3" s="98"/>
      <c r="DBZ3" s="98"/>
      <c r="DCA3" s="98"/>
      <c r="DCB3" s="98"/>
      <c r="DCC3" s="98"/>
      <c r="DCD3" s="98"/>
      <c r="DCE3" s="98"/>
      <c r="DCF3" s="98"/>
      <c r="DCG3" s="98"/>
      <c r="DCH3" s="98"/>
      <c r="DCI3" s="98"/>
      <c r="DCJ3" s="98"/>
      <c r="DCK3" s="98"/>
      <c r="DCL3" s="98"/>
      <c r="DCM3" s="98"/>
      <c r="DCN3" s="98"/>
      <c r="DCO3" s="98"/>
      <c r="DCP3" s="98"/>
      <c r="DCQ3" s="98"/>
      <c r="DCR3" s="98"/>
      <c r="DCS3" s="98"/>
      <c r="DCT3" s="98"/>
      <c r="DCU3" s="98"/>
      <c r="DCV3" s="98"/>
      <c r="DCW3" s="98"/>
      <c r="DCX3" s="98"/>
      <c r="DCY3" s="98"/>
      <c r="DCZ3" s="98"/>
      <c r="DDA3" s="98"/>
      <c r="DDB3" s="98"/>
      <c r="DDC3" s="98"/>
      <c r="DDD3" s="98"/>
      <c r="DDE3" s="98"/>
      <c r="DDF3" s="98"/>
      <c r="DDG3" s="98"/>
      <c r="DDH3" s="98"/>
      <c r="DDI3" s="98"/>
      <c r="DDJ3" s="98"/>
      <c r="DDK3" s="98"/>
      <c r="DDL3" s="98"/>
      <c r="DDM3" s="98"/>
      <c r="DDN3" s="98"/>
      <c r="DDO3" s="98"/>
      <c r="DDP3" s="98"/>
      <c r="DDQ3" s="98"/>
      <c r="DDR3" s="98"/>
      <c r="DDS3" s="98"/>
      <c r="DDT3" s="98"/>
      <c r="DDU3" s="98"/>
      <c r="DDV3" s="98"/>
      <c r="DDW3" s="98"/>
      <c r="DDX3" s="98"/>
      <c r="DDY3" s="98"/>
      <c r="DDZ3" s="98"/>
      <c r="DEA3" s="98"/>
      <c r="DEB3" s="98"/>
      <c r="DEC3" s="98"/>
      <c r="DED3" s="98"/>
      <c r="DEE3" s="98"/>
      <c r="DEF3" s="98"/>
      <c r="DEG3" s="98"/>
      <c r="DEH3" s="98"/>
      <c r="DEI3" s="98"/>
      <c r="DEJ3" s="98"/>
      <c r="DEK3" s="98"/>
      <c r="DEL3" s="98"/>
      <c r="DEM3" s="98"/>
      <c r="DEN3" s="98"/>
      <c r="DEO3" s="98"/>
      <c r="DEP3" s="98"/>
      <c r="DEQ3" s="98"/>
      <c r="DER3" s="98"/>
      <c r="DES3" s="98"/>
      <c r="DET3" s="98"/>
      <c r="DEU3" s="98"/>
      <c r="DEV3" s="98"/>
      <c r="DEW3" s="98"/>
      <c r="DEX3" s="98"/>
      <c r="DEY3" s="98"/>
      <c r="DEZ3" s="98"/>
      <c r="DFA3" s="98"/>
      <c r="DFB3" s="98"/>
      <c r="DFC3" s="98"/>
      <c r="DFD3" s="98"/>
      <c r="DFE3" s="98"/>
      <c r="DFF3" s="98"/>
      <c r="DFG3" s="98"/>
      <c r="DFH3" s="98"/>
      <c r="DFI3" s="98"/>
      <c r="DFJ3" s="98"/>
      <c r="DFK3" s="98"/>
      <c r="DFL3" s="98"/>
      <c r="DFM3" s="98"/>
      <c r="DFN3" s="98"/>
      <c r="DFO3" s="98"/>
      <c r="DFP3" s="98"/>
      <c r="DFQ3" s="98"/>
      <c r="DFR3" s="98"/>
      <c r="DFS3" s="98"/>
      <c r="DFT3" s="98"/>
      <c r="DFU3" s="98"/>
      <c r="DFV3" s="98"/>
      <c r="DFW3" s="98"/>
      <c r="DFX3" s="98"/>
      <c r="DFY3" s="98"/>
      <c r="DFZ3" s="98"/>
      <c r="DGA3" s="98"/>
      <c r="DGB3" s="98"/>
      <c r="DGC3" s="98"/>
      <c r="DGD3" s="98"/>
      <c r="DGE3" s="98"/>
      <c r="DGF3" s="98"/>
      <c r="DGG3" s="98"/>
      <c r="DGH3" s="98"/>
      <c r="DGI3" s="98"/>
      <c r="DGJ3" s="98"/>
      <c r="DGK3" s="98"/>
      <c r="DGL3" s="98"/>
      <c r="DGM3" s="98"/>
      <c r="DGN3" s="98"/>
      <c r="DGO3" s="98"/>
      <c r="DGP3" s="98"/>
      <c r="DGQ3" s="98"/>
      <c r="DGR3" s="98"/>
      <c r="DGS3" s="98"/>
      <c r="DGT3" s="98"/>
      <c r="DGU3" s="98"/>
      <c r="DGV3" s="98"/>
      <c r="DGW3" s="98"/>
      <c r="DGX3" s="98"/>
      <c r="DGY3" s="98"/>
      <c r="DGZ3" s="98"/>
      <c r="DHA3" s="98"/>
      <c r="DHB3" s="98"/>
      <c r="DHC3" s="98"/>
      <c r="DHD3" s="98"/>
      <c r="DHE3" s="98"/>
      <c r="DHF3" s="98"/>
      <c r="DHG3" s="98"/>
      <c r="DHH3" s="98"/>
      <c r="DHI3" s="98"/>
      <c r="DHJ3" s="98"/>
      <c r="DHK3" s="98"/>
      <c r="DHL3" s="98"/>
      <c r="DHM3" s="98"/>
      <c r="DHN3" s="98"/>
      <c r="DHO3" s="98"/>
      <c r="DHP3" s="98"/>
      <c r="DHQ3" s="98"/>
      <c r="DHR3" s="98"/>
      <c r="DHS3" s="98"/>
      <c r="DHT3" s="98"/>
      <c r="DHU3" s="98"/>
      <c r="DHV3" s="98"/>
      <c r="DHW3" s="98"/>
      <c r="DHX3" s="98"/>
      <c r="DHY3" s="98"/>
      <c r="DHZ3" s="98"/>
      <c r="DIA3" s="98"/>
      <c r="DIB3" s="98"/>
      <c r="DIC3" s="98"/>
      <c r="DID3" s="98"/>
      <c r="DIE3" s="98"/>
      <c r="DIF3" s="98"/>
      <c r="DIG3" s="98"/>
      <c r="DIH3" s="98"/>
      <c r="DII3" s="98"/>
      <c r="DIJ3" s="98"/>
      <c r="DIK3" s="98"/>
      <c r="DIL3" s="98"/>
      <c r="DIM3" s="98"/>
      <c r="DIN3" s="98"/>
      <c r="DIO3" s="98"/>
      <c r="DIP3" s="98"/>
      <c r="DIQ3" s="98"/>
      <c r="DIR3" s="98"/>
      <c r="DIS3" s="98"/>
      <c r="DIT3" s="98"/>
      <c r="DIU3" s="98"/>
      <c r="DIV3" s="98"/>
      <c r="DIW3" s="98"/>
      <c r="DIX3" s="98"/>
      <c r="DIY3" s="98"/>
      <c r="DIZ3" s="98"/>
      <c r="DJA3" s="98"/>
      <c r="DJB3" s="98"/>
      <c r="DJC3" s="98"/>
      <c r="DJD3" s="98"/>
      <c r="DJE3" s="98"/>
      <c r="DJF3" s="98"/>
      <c r="DJG3" s="98"/>
      <c r="DJH3" s="98"/>
      <c r="DJI3" s="98"/>
      <c r="DJJ3" s="98"/>
      <c r="DJK3" s="98"/>
      <c r="DJL3" s="98"/>
      <c r="DJM3" s="98"/>
      <c r="DJN3" s="98"/>
      <c r="DJO3" s="98"/>
      <c r="DJP3" s="98"/>
      <c r="DJQ3" s="98"/>
      <c r="DJR3" s="98"/>
      <c r="DJS3" s="98"/>
      <c r="DJT3" s="98"/>
      <c r="DJU3" s="98"/>
      <c r="DJV3" s="98"/>
      <c r="DJW3" s="98"/>
      <c r="DJX3" s="98"/>
      <c r="DJY3" s="98"/>
      <c r="DJZ3" s="98"/>
      <c r="DKA3" s="98"/>
      <c r="DKB3" s="98"/>
      <c r="DKC3" s="98"/>
      <c r="DKD3" s="98"/>
      <c r="DKE3" s="98"/>
      <c r="DKF3" s="98"/>
      <c r="DKG3" s="98"/>
      <c r="DKH3" s="98"/>
      <c r="DKI3" s="98"/>
      <c r="DKJ3" s="98"/>
      <c r="DKK3" s="98"/>
      <c r="DKL3" s="98"/>
      <c r="DKM3" s="98"/>
      <c r="DKN3" s="98"/>
      <c r="DKO3" s="98"/>
      <c r="DKP3" s="98"/>
      <c r="DKQ3" s="98"/>
      <c r="DKR3" s="98"/>
      <c r="DKS3" s="98"/>
      <c r="DKT3" s="98"/>
      <c r="DKU3" s="98"/>
      <c r="DKV3" s="98"/>
      <c r="DKW3" s="98"/>
      <c r="DKX3" s="98"/>
      <c r="DKY3" s="98"/>
      <c r="DKZ3" s="98"/>
      <c r="DLA3" s="98"/>
      <c r="DLB3" s="98"/>
      <c r="DLC3" s="98"/>
      <c r="DLD3" s="98"/>
      <c r="DLE3" s="98"/>
      <c r="DLF3" s="98"/>
      <c r="DLG3" s="98"/>
      <c r="DLH3" s="98"/>
      <c r="DLI3" s="98"/>
      <c r="DLJ3" s="98"/>
      <c r="DLK3" s="98"/>
      <c r="DLL3" s="98"/>
      <c r="DLM3" s="98"/>
      <c r="DLN3" s="98"/>
      <c r="DLO3" s="98"/>
      <c r="DLP3" s="98"/>
      <c r="DLQ3" s="98"/>
      <c r="DLR3" s="98"/>
      <c r="DLS3" s="98"/>
      <c r="DLT3" s="98"/>
      <c r="DLU3" s="98"/>
      <c r="DLV3" s="98"/>
      <c r="DLW3" s="98"/>
      <c r="DLX3" s="98"/>
      <c r="DLY3" s="98"/>
      <c r="DLZ3" s="98"/>
      <c r="DMA3" s="98"/>
      <c r="DMB3" s="98"/>
      <c r="DMC3" s="98"/>
      <c r="DMD3" s="98"/>
      <c r="DME3" s="98"/>
      <c r="DMF3" s="98"/>
      <c r="DMG3" s="98"/>
      <c r="DMH3" s="98"/>
      <c r="DMI3" s="98"/>
      <c r="DMJ3" s="98"/>
      <c r="DMK3" s="98"/>
      <c r="DML3" s="98"/>
      <c r="DMM3" s="98"/>
      <c r="DMN3" s="98"/>
      <c r="DMO3" s="98"/>
      <c r="DMP3" s="98"/>
      <c r="DMQ3" s="98"/>
      <c r="DMR3" s="98"/>
      <c r="DMS3" s="98"/>
      <c r="DMT3" s="98"/>
      <c r="DMU3" s="98"/>
      <c r="DMV3" s="98"/>
      <c r="DMW3" s="98"/>
      <c r="DMX3" s="98"/>
      <c r="DMY3" s="98"/>
      <c r="DMZ3" s="98"/>
      <c r="DNA3" s="98"/>
      <c r="DNB3" s="98"/>
      <c r="DNC3" s="98"/>
      <c r="DND3" s="98"/>
      <c r="DNE3" s="98"/>
      <c r="DNF3" s="98"/>
      <c r="DNG3" s="98"/>
      <c r="DNH3" s="98"/>
      <c r="DNI3" s="98"/>
      <c r="DNJ3" s="98"/>
      <c r="DNK3" s="98"/>
      <c r="DNL3" s="98"/>
      <c r="DNM3" s="98"/>
      <c r="DNN3" s="98"/>
      <c r="DNO3" s="98"/>
      <c r="DNP3" s="98"/>
      <c r="DNQ3" s="98"/>
      <c r="DNR3" s="98"/>
      <c r="DNS3" s="98"/>
      <c r="DNT3" s="98"/>
      <c r="DNU3" s="98"/>
      <c r="DNV3" s="98"/>
      <c r="DNW3" s="98"/>
      <c r="DNX3" s="98"/>
      <c r="DNY3" s="98"/>
      <c r="DNZ3" s="98"/>
      <c r="DOA3" s="98"/>
      <c r="DOB3" s="98"/>
      <c r="DOC3" s="98"/>
      <c r="DOD3" s="98"/>
      <c r="DOE3" s="98"/>
      <c r="DOF3" s="98"/>
      <c r="DOG3" s="98"/>
      <c r="DOH3" s="98"/>
      <c r="DOI3" s="98"/>
      <c r="DOJ3" s="98"/>
      <c r="DOK3" s="98"/>
      <c r="DOL3" s="98"/>
      <c r="DOM3" s="98"/>
      <c r="DON3" s="98"/>
      <c r="DOO3" s="98"/>
      <c r="DOP3" s="98"/>
      <c r="DOQ3" s="98"/>
      <c r="DOR3" s="98"/>
      <c r="DOS3" s="98"/>
      <c r="DOT3" s="98"/>
      <c r="DOU3" s="98"/>
      <c r="DOV3" s="98"/>
      <c r="DOW3" s="98"/>
      <c r="DOX3" s="98"/>
      <c r="DOY3" s="98"/>
      <c r="DOZ3" s="98"/>
      <c r="DPA3" s="98"/>
      <c r="DPB3" s="98"/>
      <c r="DPC3" s="98"/>
      <c r="DPD3" s="98"/>
      <c r="DPE3" s="98"/>
      <c r="DPF3" s="98"/>
      <c r="DPG3" s="98"/>
      <c r="DPH3" s="98"/>
      <c r="DPI3" s="98"/>
      <c r="DPJ3" s="98"/>
      <c r="DPK3" s="98"/>
      <c r="DPL3" s="98"/>
      <c r="DPM3" s="98"/>
      <c r="DPN3" s="98"/>
      <c r="DPO3" s="98"/>
      <c r="DPP3" s="98"/>
      <c r="DPQ3" s="98"/>
      <c r="DPR3" s="98"/>
      <c r="DPS3" s="98"/>
      <c r="DPT3" s="98"/>
      <c r="DPU3" s="98"/>
      <c r="DPV3" s="98"/>
      <c r="DPW3" s="98"/>
      <c r="DPX3" s="98"/>
      <c r="DPY3" s="98"/>
      <c r="DPZ3" s="98"/>
      <c r="DQA3" s="98"/>
      <c r="DQB3" s="98"/>
      <c r="DQC3" s="98"/>
      <c r="DQD3" s="98"/>
      <c r="DQE3" s="98"/>
      <c r="DQF3" s="98"/>
      <c r="DQG3" s="98"/>
      <c r="DQH3" s="98"/>
      <c r="DQI3" s="98"/>
      <c r="DQJ3" s="98"/>
      <c r="DQK3" s="98"/>
      <c r="DQL3" s="98"/>
      <c r="DQM3" s="98"/>
      <c r="DQN3" s="98"/>
      <c r="DQO3" s="98"/>
      <c r="DQP3" s="98"/>
      <c r="DQQ3" s="98"/>
      <c r="DQR3" s="98"/>
      <c r="DQS3" s="98"/>
      <c r="DQT3" s="98"/>
      <c r="DQU3" s="98"/>
      <c r="DQV3" s="98"/>
      <c r="DQW3" s="98"/>
      <c r="DQX3" s="98"/>
      <c r="DQY3" s="98"/>
      <c r="DQZ3" s="98"/>
      <c r="DRA3" s="98"/>
      <c r="DRB3" s="98"/>
      <c r="DRC3" s="98"/>
      <c r="DRD3" s="98"/>
      <c r="DRE3" s="98"/>
      <c r="DRF3" s="98"/>
      <c r="DRG3" s="98"/>
      <c r="DRH3" s="98"/>
      <c r="DRI3" s="98"/>
      <c r="DRJ3" s="98"/>
      <c r="DRK3" s="98"/>
      <c r="DRL3" s="98"/>
      <c r="DRM3" s="98"/>
      <c r="DRN3" s="98"/>
      <c r="DRO3" s="98"/>
      <c r="DRP3" s="98"/>
      <c r="DRQ3" s="98"/>
      <c r="DRR3" s="98"/>
      <c r="DRS3" s="98"/>
      <c r="DRT3" s="98"/>
      <c r="DRU3" s="98"/>
      <c r="DRV3" s="98"/>
      <c r="DRW3" s="98"/>
      <c r="DRX3" s="98"/>
      <c r="DRY3" s="98"/>
      <c r="DRZ3" s="98"/>
      <c r="DSA3" s="98"/>
      <c r="DSB3" s="98"/>
      <c r="DSC3" s="98"/>
      <c r="DSD3" s="98"/>
      <c r="DSE3" s="98"/>
      <c r="DSF3" s="98"/>
      <c r="DSG3" s="98"/>
      <c r="DSH3" s="98"/>
      <c r="DSI3" s="98"/>
      <c r="DSJ3" s="98"/>
      <c r="DSK3" s="98"/>
      <c r="DSL3" s="98"/>
      <c r="DSM3" s="98"/>
      <c r="DSN3" s="98"/>
      <c r="DSO3" s="98"/>
      <c r="DSP3" s="98"/>
      <c r="DSQ3" s="98"/>
      <c r="DSR3" s="98"/>
      <c r="DSS3" s="98"/>
      <c r="DST3" s="98"/>
      <c r="DSU3" s="98"/>
      <c r="DSV3" s="98"/>
      <c r="DSW3" s="98"/>
      <c r="DSX3" s="98"/>
      <c r="DSY3" s="98"/>
      <c r="DSZ3" s="98"/>
      <c r="DTA3" s="98"/>
      <c r="DTB3" s="98"/>
      <c r="DTC3" s="98"/>
      <c r="DTD3" s="98"/>
      <c r="DTE3" s="98"/>
      <c r="DTF3" s="98"/>
      <c r="DTG3" s="98"/>
      <c r="DTH3" s="98"/>
      <c r="DTI3" s="98"/>
      <c r="DTJ3" s="98"/>
      <c r="DTK3" s="98"/>
      <c r="DTL3" s="98"/>
      <c r="DTM3" s="98"/>
      <c r="DTN3" s="98"/>
      <c r="DTO3" s="98"/>
      <c r="DTP3" s="98"/>
      <c r="DTQ3" s="98"/>
      <c r="DTR3" s="98"/>
      <c r="DTS3" s="98"/>
      <c r="DTT3" s="98"/>
      <c r="DTU3" s="98"/>
      <c r="DTV3" s="98"/>
      <c r="DTW3" s="98"/>
      <c r="DTX3" s="98"/>
      <c r="DTY3" s="98"/>
      <c r="DTZ3" s="98"/>
      <c r="DUA3" s="98"/>
      <c r="DUB3" s="98"/>
      <c r="DUC3" s="98"/>
      <c r="DUD3" s="98"/>
      <c r="DUE3" s="98"/>
      <c r="DUF3" s="98"/>
      <c r="DUG3" s="98"/>
      <c r="DUH3" s="98"/>
      <c r="DUI3" s="98"/>
      <c r="DUJ3" s="98"/>
      <c r="DUK3" s="98"/>
      <c r="DUL3" s="98"/>
      <c r="DUM3" s="98"/>
      <c r="DUN3" s="98"/>
      <c r="DUO3" s="98"/>
      <c r="DUP3" s="98"/>
      <c r="DUQ3" s="98"/>
      <c r="DUR3" s="98"/>
      <c r="DUS3" s="98"/>
      <c r="DUT3" s="98"/>
      <c r="DUU3" s="98"/>
      <c r="DUV3" s="98"/>
      <c r="DUW3" s="98"/>
      <c r="DUX3" s="98"/>
      <c r="DUY3" s="98"/>
      <c r="DUZ3" s="98"/>
      <c r="DVA3" s="98"/>
      <c r="DVB3" s="98"/>
      <c r="DVC3" s="98"/>
      <c r="DVD3" s="98"/>
      <c r="DVE3" s="98"/>
      <c r="DVF3" s="98"/>
      <c r="DVG3" s="98"/>
      <c r="DVH3" s="98"/>
      <c r="DVI3" s="98"/>
      <c r="DVJ3" s="98"/>
      <c r="DVK3" s="98"/>
      <c r="DVL3" s="98"/>
      <c r="DVM3" s="98"/>
      <c r="DVN3" s="98"/>
      <c r="DVO3" s="98"/>
      <c r="DVP3" s="98"/>
      <c r="DVQ3" s="98"/>
      <c r="DVR3" s="98"/>
      <c r="DVS3" s="98"/>
      <c r="DVT3" s="98"/>
      <c r="DVU3" s="98"/>
      <c r="DVV3" s="98"/>
      <c r="DVW3" s="98"/>
      <c r="DVX3" s="98"/>
      <c r="DVY3" s="98"/>
      <c r="DVZ3" s="98"/>
      <c r="DWA3" s="98"/>
      <c r="DWB3" s="98"/>
      <c r="DWC3" s="98"/>
      <c r="DWD3" s="98"/>
      <c r="DWE3" s="98"/>
      <c r="DWF3" s="98"/>
      <c r="DWG3" s="98"/>
      <c r="DWH3" s="98"/>
      <c r="DWI3" s="98"/>
      <c r="DWJ3" s="98"/>
      <c r="DWK3" s="98"/>
      <c r="DWL3" s="98"/>
      <c r="DWM3" s="98"/>
      <c r="DWN3" s="98"/>
      <c r="DWO3" s="98"/>
      <c r="DWP3" s="98"/>
      <c r="DWQ3" s="98"/>
      <c r="DWR3" s="98"/>
      <c r="DWS3" s="98"/>
      <c r="DWT3" s="98"/>
      <c r="DWU3" s="98"/>
      <c r="DWV3" s="98"/>
      <c r="DWW3" s="98"/>
      <c r="DWX3" s="98"/>
      <c r="DWY3" s="98"/>
      <c r="DWZ3" s="98"/>
      <c r="DXA3" s="98"/>
      <c r="DXB3" s="98"/>
      <c r="DXC3" s="98"/>
      <c r="DXD3" s="98"/>
      <c r="DXE3" s="98"/>
      <c r="DXF3" s="98"/>
      <c r="DXG3" s="98"/>
      <c r="DXH3" s="98"/>
      <c r="DXI3" s="98"/>
      <c r="DXJ3" s="98"/>
      <c r="DXK3" s="98"/>
      <c r="DXL3" s="98"/>
      <c r="DXM3" s="98"/>
      <c r="DXN3" s="98"/>
      <c r="DXO3" s="98"/>
      <c r="DXP3" s="98"/>
      <c r="DXQ3" s="98"/>
      <c r="DXR3" s="98"/>
      <c r="DXS3" s="98"/>
      <c r="DXT3" s="98"/>
      <c r="DXU3" s="98"/>
      <c r="DXV3" s="98"/>
      <c r="DXW3" s="98"/>
      <c r="DXX3" s="98"/>
      <c r="DXY3" s="98"/>
      <c r="DXZ3" s="98"/>
      <c r="DYA3" s="98"/>
      <c r="DYB3" s="98"/>
      <c r="DYC3" s="98"/>
      <c r="DYD3" s="98"/>
      <c r="DYE3" s="98"/>
      <c r="DYF3" s="98"/>
      <c r="DYG3" s="98"/>
      <c r="DYH3" s="98"/>
      <c r="DYI3" s="98"/>
      <c r="DYJ3" s="98"/>
      <c r="DYK3" s="98"/>
      <c r="DYL3" s="98"/>
      <c r="DYM3" s="98"/>
      <c r="DYN3" s="98"/>
      <c r="DYO3" s="98"/>
      <c r="DYP3" s="98"/>
      <c r="DYQ3" s="98"/>
      <c r="DYR3" s="98"/>
      <c r="DYS3" s="98"/>
      <c r="DYT3" s="98"/>
      <c r="DYU3" s="98"/>
      <c r="DYV3" s="98"/>
      <c r="DYW3" s="98"/>
      <c r="DYX3" s="98"/>
      <c r="DYY3" s="98"/>
      <c r="DYZ3" s="98"/>
      <c r="DZA3" s="98"/>
      <c r="DZB3" s="98"/>
      <c r="DZC3" s="98"/>
      <c r="DZD3" s="98"/>
      <c r="DZE3" s="98"/>
      <c r="DZF3" s="98"/>
      <c r="DZG3" s="98"/>
      <c r="DZH3" s="98"/>
      <c r="DZI3" s="98"/>
      <c r="DZJ3" s="98"/>
      <c r="DZK3" s="98"/>
      <c r="DZL3" s="98"/>
      <c r="DZM3" s="98"/>
      <c r="DZN3" s="98"/>
      <c r="DZO3" s="98"/>
      <c r="DZP3" s="98"/>
      <c r="DZQ3" s="98"/>
      <c r="DZR3" s="98"/>
      <c r="DZS3" s="98"/>
      <c r="DZT3" s="98"/>
      <c r="DZU3" s="98"/>
      <c r="DZV3" s="98"/>
      <c r="DZW3" s="98"/>
      <c r="DZX3" s="98"/>
      <c r="DZY3" s="98"/>
      <c r="DZZ3" s="98"/>
      <c r="EAA3" s="98"/>
      <c r="EAB3" s="98"/>
      <c r="EAC3" s="98"/>
      <c r="EAD3" s="98"/>
      <c r="EAE3" s="98"/>
      <c r="EAF3" s="98"/>
      <c r="EAG3" s="98"/>
      <c r="EAH3" s="98"/>
      <c r="EAI3" s="98"/>
      <c r="EAJ3" s="98"/>
      <c r="EAK3" s="98"/>
      <c r="EAL3" s="98"/>
      <c r="EAM3" s="98"/>
      <c r="EAN3" s="98"/>
      <c r="EAO3" s="98"/>
      <c r="EAP3" s="98"/>
      <c r="EAQ3" s="98"/>
      <c r="EAR3" s="98"/>
      <c r="EAS3" s="98"/>
      <c r="EAT3" s="98"/>
      <c r="EAU3" s="98"/>
      <c r="EAV3" s="98"/>
      <c r="EAW3" s="98"/>
      <c r="EAX3" s="98"/>
      <c r="EAY3" s="98"/>
      <c r="EAZ3" s="98"/>
      <c r="EBA3" s="98"/>
      <c r="EBB3" s="98"/>
      <c r="EBC3" s="98"/>
      <c r="EBD3" s="98"/>
      <c r="EBE3" s="98"/>
      <c r="EBF3" s="98"/>
      <c r="EBG3" s="98"/>
      <c r="EBH3" s="98"/>
      <c r="EBI3" s="98"/>
      <c r="EBJ3" s="98"/>
      <c r="EBK3" s="98"/>
      <c r="EBL3" s="98"/>
      <c r="EBM3" s="98"/>
      <c r="EBN3" s="98"/>
      <c r="EBO3" s="98"/>
      <c r="EBP3" s="98"/>
      <c r="EBQ3" s="98"/>
      <c r="EBR3" s="98"/>
      <c r="EBS3" s="98"/>
      <c r="EBT3" s="98"/>
      <c r="EBU3" s="98"/>
      <c r="EBV3" s="98"/>
      <c r="EBW3" s="98"/>
      <c r="EBX3" s="98"/>
      <c r="EBY3" s="98"/>
      <c r="EBZ3" s="98"/>
      <c r="ECA3" s="98"/>
      <c r="ECB3" s="98"/>
      <c r="ECC3" s="98"/>
      <c r="ECD3" s="98"/>
      <c r="ECE3" s="98"/>
      <c r="ECF3" s="98"/>
      <c r="ECG3" s="98"/>
      <c r="ECH3" s="98"/>
      <c r="ECI3" s="98"/>
      <c r="ECJ3" s="98"/>
      <c r="ECK3" s="98"/>
      <c r="ECL3" s="98"/>
      <c r="ECM3" s="98"/>
      <c r="ECN3" s="98"/>
      <c r="ECO3" s="98"/>
      <c r="ECP3" s="98"/>
      <c r="ECQ3" s="98"/>
      <c r="ECR3" s="98"/>
      <c r="ECS3" s="98"/>
      <c r="ECT3" s="98"/>
      <c r="ECU3" s="98"/>
      <c r="ECV3" s="98"/>
      <c r="ECW3" s="98"/>
      <c r="ECX3" s="98"/>
      <c r="ECY3" s="98"/>
      <c r="ECZ3" s="98"/>
      <c r="EDA3" s="98"/>
      <c r="EDB3" s="98"/>
      <c r="EDC3" s="98"/>
      <c r="EDD3" s="98"/>
      <c r="EDE3" s="98"/>
      <c r="EDF3" s="98"/>
      <c r="EDG3" s="98"/>
      <c r="EDH3" s="98"/>
      <c r="EDI3" s="98"/>
      <c r="EDJ3" s="98"/>
      <c r="EDK3" s="98"/>
      <c r="EDL3" s="98"/>
      <c r="EDM3" s="98"/>
      <c r="EDN3" s="98"/>
      <c r="EDO3" s="98"/>
      <c r="EDP3" s="98"/>
      <c r="EDQ3" s="98"/>
      <c r="EDR3" s="98"/>
      <c r="EDS3" s="98"/>
      <c r="EDT3" s="98"/>
      <c r="EDU3" s="98"/>
      <c r="EDV3" s="98"/>
      <c r="EDW3" s="98"/>
      <c r="EDX3" s="98"/>
      <c r="EDY3" s="98"/>
      <c r="EDZ3" s="98"/>
      <c r="EEA3" s="98"/>
      <c r="EEB3" s="98"/>
      <c r="EEC3" s="98"/>
      <c r="EED3" s="98"/>
      <c r="EEE3" s="98"/>
      <c r="EEF3" s="98"/>
      <c r="EEG3" s="98"/>
      <c r="EEH3" s="98"/>
      <c r="EEI3" s="98"/>
      <c r="EEJ3" s="98"/>
      <c r="EEK3" s="98"/>
      <c r="EEL3" s="98"/>
      <c r="EEM3" s="98"/>
      <c r="EEN3" s="98"/>
      <c r="EEO3" s="98"/>
      <c r="EEP3" s="98"/>
      <c r="EEQ3" s="98"/>
      <c r="EER3" s="98"/>
      <c r="EES3" s="98"/>
      <c r="EET3" s="98"/>
      <c r="EEU3" s="98"/>
      <c r="EEV3" s="98"/>
      <c r="EEW3" s="98"/>
      <c r="EEX3" s="98"/>
      <c r="EEY3" s="98"/>
      <c r="EEZ3" s="98"/>
      <c r="EFA3" s="98"/>
      <c r="EFB3" s="98"/>
      <c r="EFC3" s="98"/>
      <c r="EFD3" s="98"/>
      <c r="EFE3" s="98"/>
      <c r="EFF3" s="98"/>
      <c r="EFG3" s="98"/>
      <c r="EFH3" s="98"/>
      <c r="EFI3" s="98"/>
      <c r="EFJ3" s="98"/>
      <c r="EFK3" s="98"/>
      <c r="EFL3" s="98"/>
      <c r="EFM3" s="98"/>
      <c r="EFN3" s="98"/>
      <c r="EFO3" s="98"/>
      <c r="EFP3" s="98"/>
      <c r="EFQ3" s="98"/>
      <c r="EFR3" s="98"/>
      <c r="EFS3" s="98"/>
      <c r="EFT3" s="98"/>
      <c r="EFU3" s="98"/>
      <c r="EFV3" s="98"/>
      <c r="EFW3" s="98"/>
      <c r="EFX3" s="98"/>
      <c r="EFY3" s="98"/>
      <c r="EFZ3" s="98"/>
      <c r="EGA3" s="98"/>
      <c r="EGB3" s="98"/>
      <c r="EGC3" s="98"/>
      <c r="EGD3" s="98"/>
      <c r="EGE3" s="98"/>
      <c r="EGF3" s="98"/>
      <c r="EGG3" s="98"/>
      <c r="EGH3" s="98"/>
      <c r="EGI3" s="98"/>
      <c r="EGJ3" s="98"/>
      <c r="EGK3" s="98"/>
      <c r="EGL3" s="98"/>
      <c r="EGM3" s="98"/>
      <c r="EGN3" s="98"/>
      <c r="EGO3" s="98"/>
      <c r="EGP3" s="98"/>
      <c r="EGQ3" s="98"/>
      <c r="EGR3" s="98"/>
      <c r="EGS3" s="98"/>
      <c r="EGT3" s="98"/>
      <c r="EGU3" s="98"/>
      <c r="EGV3" s="98"/>
      <c r="EGW3" s="98"/>
      <c r="EGX3" s="98"/>
      <c r="EGY3" s="98"/>
      <c r="EGZ3" s="98"/>
      <c r="EHA3" s="98"/>
      <c r="EHB3" s="98"/>
      <c r="EHC3" s="98"/>
      <c r="EHD3" s="98"/>
      <c r="EHE3" s="98"/>
      <c r="EHF3" s="98"/>
      <c r="EHG3" s="98"/>
      <c r="EHH3" s="98"/>
      <c r="EHI3" s="98"/>
      <c r="EHJ3" s="98"/>
      <c r="EHK3" s="98"/>
      <c r="EHL3" s="98"/>
      <c r="EHM3" s="98"/>
      <c r="EHN3" s="98"/>
      <c r="EHO3" s="98"/>
      <c r="EHP3" s="98"/>
      <c r="EHQ3" s="98"/>
      <c r="EHR3" s="98"/>
      <c r="EHS3" s="98"/>
      <c r="EHT3" s="98"/>
      <c r="EHU3" s="98"/>
      <c r="EHV3" s="98"/>
      <c r="EHW3" s="98"/>
      <c r="EHX3" s="98"/>
      <c r="EHY3" s="98"/>
      <c r="EHZ3" s="98"/>
      <c r="EIA3" s="98"/>
      <c r="EIB3" s="98"/>
      <c r="EIC3" s="98"/>
      <c r="EID3" s="98"/>
      <c r="EIE3" s="98"/>
      <c r="EIF3" s="98"/>
      <c r="EIG3" s="98"/>
      <c r="EIH3" s="98"/>
      <c r="EII3" s="98"/>
      <c r="EIJ3" s="98"/>
      <c r="EIK3" s="98"/>
      <c r="EIL3" s="98"/>
      <c r="EIM3" s="98"/>
      <c r="EIN3" s="98"/>
      <c r="EIO3" s="98"/>
      <c r="EIP3" s="98"/>
      <c r="EIQ3" s="98"/>
      <c r="EIR3" s="98"/>
      <c r="EIS3" s="98"/>
      <c r="EIT3" s="98"/>
      <c r="EIU3" s="98"/>
      <c r="EIV3" s="98"/>
      <c r="EIW3" s="98"/>
      <c r="EIX3" s="98"/>
      <c r="EIY3" s="98"/>
      <c r="EIZ3" s="98"/>
      <c r="EJA3" s="98"/>
      <c r="EJB3" s="98"/>
      <c r="EJC3" s="98"/>
      <c r="EJD3" s="98"/>
      <c r="EJE3" s="98"/>
      <c r="EJF3" s="98"/>
      <c r="EJG3" s="98"/>
      <c r="EJH3" s="98"/>
      <c r="EJI3" s="98"/>
      <c r="EJJ3" s="98"/>
      <c r="EJK3" s="98"/>
      <c r="EJL3" s="98"/>
      <c r="EJM3" s="98"/>
      <c r="EJN3" s="98"/>
      <c r="EJO3" s="98"/>
      <c r="EJP3" s="98"/>
      <c r="EJQ3" s="98"/>
      <c r="EJR3" s="98"/>
      <c r="EJS3" s="98"/>
      <c r="EJT3" s="98"/>
      <c r="EJU3" s="98"/>
      <c r="EJV3" s="98"/>
      <c r="EJW3" s="98"/>
      <c r="EJX3" s="98"/>
      <c r="EJY3" s="98"/>
      <c r="EJZ3" s="98"/>
      <c r="EKA3" s="98"/>
      <c r="EKB3" s="98"/>
      <c r="EKC3" s="98"/>
      <c r="EKD3" s="98"/>
      <c r="EKE3" s="98"/>
      <c r="EKF3" s="98"/>
      <c r="EKG3" s="98"/>
      <c r="EKH3" s="98"/>
      <c r="EKI3" s="98"/>
      <c r="EKJ3" s="98"/>
      <c r="EKK3" s="98"/>
      <c r="EKL3" s="98"/>
      <c r="EKM3" s="98"/>
      <c r="EKN3" s="98"/>
      <c r="EKO3" s="98"/>
      <c r="EKP3" s="98"/>
      <c r="EKQ3" s="98"/>
      <c r="EKR3" s="98"/>
      <c r="EKS3" s="98"/>
      <c r="EKT3" s="98"/>
      <c r="EKU3" s="98"/>
      <c r="EKV3" s="98"/>
      <c r="EKW3" s="98"/>
      <c r="EKX3" s="98"/>
      <c r="EKY3" s="98"/>
      <c r="EKZ3" s="98"/>
      <c r="ELA3" s="98"/>
      <c r="ELB3" s="98"/>
      <c r="ELC3" s="98"/>
      <c r="ELD3" s="98"/>
      <c r="ELE3" s="98"/>
      <c r="ELF3" s="98"/>
      <c r="ELG3" s="98"/>
      <c r="ELH3" s="98"/>
      <c r="ELI3" s="98"/>
      <c r="ELJ3" s="98"/>
      <c r="ELK3" s="98"/>
      <c r="ELL3" s="98"/>
      <c r="ELM3" s="98"/>
      <c r="ELN3" s="98"/>
      <c r="ELO3" s="98"/>
      <c r="ELP3" s="98"/>
      <c r="ELQ3" s="98"/>
      <c r="ELR3" s="98"/>
      <c r="ELS3" s="98"/>
      <c r="ELT3" s="98"/>
      <c r="ELU3" s="98"/>
      <c r="ELV3" s="98"/>
      <c r="ELW3" s="98"/>
      <c r="ELX3" s="98"/>
      <c r="ELY3" s="98"/>
      <c r="ELZ3" s="98"/>
      <c r="EMA3" s="98"/>
      <c r="EMB3" s="98"/>
      <c r="EMC3" s="98"/>
      <c r="EMD3" s="98"/>
      <c r="EME3" s="98"/>
      <c r="EMF3" s="98"/>
      <c r="EMG3" s="98"/>
      <c r="EMH3" s="98"/>
      <c r="EMI3" s="98"/>
      <c r="EMJ3" s="98"/>
      <c r="EMK3" s="98"/>
      <c r="EML3" s="98"/>
      <c r="EMM3" s="98"/>
      <c r="EMN3" s="98"/>
      <c r="EMO3" s="98"/>
      <c r="EMP3" s="98"/>
      <c r="EMQ3" s="98"/>
      <c r="EMR3" s="98"/>
      <c r="EMS3" s="98"/>
      <c r="EMT3" s="98"/>
      <c r="EMU3" s="98"/>
      <c r="EMV3" s="98"/>
      <c r="EMW3" s="98"/>
      <c r="EMX3" s="98"/>
      <c r="EMY3" s="98"/>
      <c r="EMZ3" s="98"/>
      <c r="ENA3" s="98"/>
      <c r="ENB3" s="98"/>
      <c r="ENC3" s="98"/>
      <c r="END3" s="98"/>
      <c r="ENE3" s="98"/>
      <c r="ENF3" s="98"/>
      <c r="ENG3" s="98"/>
      <c r="ENH3" s="98"/>
      <c r="ENI3" s="98"/>
      <c r="ENJ3" s="98"/>
      <c r="ENK3" s="98"/>
      <c r="ENL3" s="98"/>
      <c r="ENM3" s="98"/>
      <c r="ENN3" s="98"/>
      <c r="ENO3" s="98"/>
      <c r="ENP3" s="98"/>
      <c r="ENQ3" s="98"/>
      <c r="ENR3" s="98"/>
      <c r="ENS3" s="98"/>
      <c r="ENT3" s="98"/>
      <c r="ENU3" s="98"/>
      <c r="ENV3" s="98"/>
      <c r="ENW3" s="98"/>
      <c r="ENX3" s="98"/>
      <c r="ENY3" s="98"/>
      <c r="ENZ3" s="98"/>
      <c r="EOA3" s="98"/>
      <c r="EOB3" s="98"/>
      <c r="EOC3" s="98"/>
      <c r="EOD3" s="98"/>
      <c r="EOE3" s="98"/>
      <c r="EOF3" s="98"/>
      <c r="EOG3" s="98"/>
      <c r="EOH3" s="98"/>
      <c r="EOI3" s="98"/>
      <c r="EOJ3" s="98"/>
      <c r="EOK3" s="98"/>
      <c r="EOL3" s="98"/>
      <c r="EOM3" s="98"/>
      <c r="EON3" s="98"/>
      <c r="EOO3" s="98"/>
      <c r="EOP3" s="98"/>
      <c r="EOQ3" s="98"/>
      <c r="EOR3" s="98"/>
      <c r="EOS3" s="98"/>
      <c r="EOT3" s="98"/>
      <c r="EOU3" s="98"/>
      <c r="EOV3" s="98"/>
      <c r="EOW3" s="98"/>
      <c r="EOX3" s="98"/>
      <c r="EOY3" s="98"/>
      <c r="EOZ3" s="98"/>
      <c r="EPA3" s="98"/>
      <c r="EPB3" s="98"/>
      <c r="EPC3" s="98"/>
      <c r="EPD3" s="98"/>
      <c r="EPE3" s="98"/>
      <c r="EPF3" s="98"/>
      <c r="EPG3" s="98"/>
      <c r="EPH3" s="98"/>
      <c r="EPI3" s="98"/>
      <c r="EPJ3" s="98"/>
      <c r="EPK3" s="98"/>
      <c r="EPL3" s="98"/>
      <c r="EPM3" s="98"/>
      <c r="EPN3" s="98"/>
      <c r="EPO3" s="98"/>
      <c r="EPP3" s="98"/>
      <c r="EPQ3" s="98"/>
      <c r="EPR3" s="98"/>
      <c r="EPS3" s="98"/>
      <c r="EPT3" s="98"/>
      <c r="EPU3" s="98"/>
      <c r="EPV3" s="98"/>
      <c r="EPW3" s="98"/>
      <c r="EPX3" s="98"/>
      <c r="EPY3" s="98"/>
      <c r="EPZ3" s="98"/>
      <c r="EQA3" s="98"/>
      <c r="EQB3" s="98"/>
      <c r="EQC3" s="98"/>
      <c r="EQD3" s="98"/>
      <c r="EQE3" s="98"/>
      <c r="EQF3" s="98"/>
      <c r="EQG3" s="98"/>
      <c r="EQH3" s="98"/>
      <c r="EQI3" s="98"/>
      <c r="EQJ3" s="98"/>
      <c r="EQK3" s="98"/>
      <c r="EQL3" s="98"/>
      <c r="EQM3" s="98"/>
      <c r="EQN3" s="98"/>
      <c r="EQO3" s="98"/>
      <c r="EQP3" s="98"/>
      <c r="EQQ3" s="98"/>
      <c r="EQR3" s="98"/>
      <c r="EQS3" s="98"/>
      <c r="EQT3" s="98"/>
      <c r="EQU3" s="98"/>
      <c r="EQV3" s="98"/>
      <c r="EQW3" s="98"/>
      <c r="EQX3" s="98"/>
      <c r="EQY3" s="98"/>
      <c r="EQZ3" s="98"/>
      <c r="ERA3" s="98"/>
      <c r="ERB3" s="98"/>
      <c r="ERC3" s="98"/>
      <c r="ERD3" s="98"/>
      <c r="ERE3" s="98"/>
      <c r="ERF3" s="98"/>
      <c r="ERG3" s="98"/>
      <c r="ERH3" s="98"/>
      <c r="ERI3" s="98"/>
      <c r="ERJ3" s="98"/>
      <c r="ERK3" s="98"/>
      <c r="ERL3" s="98"/>
      <c r="ERM3" s="98"/>
      <c r="ERN3" s="98"/>
      <c r="ERO3" s="98"/>
      <c r="ERP3" s="98"/>
      <c r="ERQ3" s="98"/>
      <c r="ERR3" s="98"/>
      <c r="ERS3" s="98"/>
      <c r="ERT3" s="98"/>
      <c r="ERU3" s="98"/>
      <c r="ERV3" s="98"/>
      <c r="ERW3" s="98"/>
      <c r="ERX3" s="98"/>
      <c r="ERY3" s="98"/>
      <c r="ERZ3" s="98"/>
      <c r="ESA3" s="98"/>
      <c r="ESB3" s="98"/>
      <c r="ESC3" s="98"/>
      <c r="ESD3" s="98"/>
      <c r="ESE3" s="98"/>
      <c r="ESF3" s="98"/>
      <c r="ESG3" s="98"/>
      <c r="ESH3" s="98"/>
      <c r="ESI3" s="98"/>
      <c r="ESJ3" s="98"/>
      <c r="ESK3" s="98"/>
      <c r="ESL3" s="98"/>
      <c r="ESM3" s="98"/>
      <c r="ESN3" s="98"/>
      <c r="ESO3" s="98"/>
      <c r="ESP3" s="98"/>
      <c r="ESQ3" s="98"/>
      <c r="ESR3" s="98"/>
      <c r="ESS3" s="98"/>
      <c r="EST3" s="98"/>
      <c r="ESU3" s="98"/>
      <c r="ESV3" s="98"/>
      <c r="ESW3" s="98"/>
      <c r="ESX3" s="98"/>
      <c r="ESY3" s="98"/>
      <c r="ESZ3" s="98"/>
      <c r="ETA3" s="98"/>
      <c r="ETB3" s="98"/>
      <c r="ETC3" s="98"/>
      <c r="ETD3" s="98"/>
      <c r="ETE3" s="98"/>
      <c r="ETF3" s="98"/>
      <c r="ETG3" s="98"/>
      <c r="ETH3" s="98"/>
      <c r="ETI3" s="98"/>
      <c r="ETJ3" s="98"/>
      <c r="ETK3" s="98"/>
      <c r="ETL3" s="98"/>
      <c r="ETM3" s="98"/>
      <c r="ETN3" s="98"/>
      <c r="ETO3" s="98"/>
      <c r="ETP3" s="98"/>
      <c r="ETQ3" s="98"/>
      <c r="ETR3" s="98"/>
      <c r="ETS3" s="98"/>
      <c r="ETT3" s="98"/>
      <c r="ETU3" s="98"/>
      <c r="ETV3" s="98"/>
      <c r="ETW3" s="98"/>
      <c r="ETX3" s="98"/>
      <c r="ETY3" s="98"/>
      <c r="ETZ3" s="98"/>
      <c r="EUA3" s="98"/>
      <c r="EUB3" s="98"/>
      <c r="EUC3" s="98"/>
      <c r="EUD3" s="98"/>
      <c r="EUE3" s="98"/>
      <c r="EUF3" s="98"/>
      <c r="EUG3" s="98"/>
      <c r="EUH3" s="98"/>
      <c r="EUI3" s="98"/>
      <c r="EUJ3" s="98"/>
      <c r="EUK3" s="98"/>
      <c r="EUL3" s="98"/>
      <c r="EUM3" s="98"/>
      <c r="EUN3" s="98"/>
      <c r="EUO3" s="98"/>
      <c r="EUP3" s="98"/>
      <c r="EUQ3" s="98"/>
      <c r="EUR3" s="98"/>
      <c r="EUS3" s="98"/>
      <c r="EUT3" s="98"/>
      <c r="EUU3" s="98"/>
      <c r="EUV3" s="98"/>
      <c r="EUW3" s="98"/>
      <c r="EUX3" s="98"/>
      <c r="EUY3" s="98"/>
      <c r="EUZ3" s="98"/>
      <c r="EVA3" s="98"/>
      <c r="EVB3" s="98"/>
      <c r="EVC3" s="98"/>
      <c r="EVD3" s="98"/>
      <c r="EVE3" s="98"/>
      <c r="EVF3" s="98"/>
      <c r="EVG3" s="98"/>
      <c r="EVH3" s="98"/>
      <c r="EVI3" s="98"/>
      <c r="EVJ3" s="98"/>
      <c r="EVK3" s="98"/>
      <c r="EVL3" s="98"/>
      <c r="EVM3" s="98"/>
      <c r="EVN3" s="98"/>
      <c r="EVO3" s="98"/>
      <c r="EVP3" s="98"/>
      <c r="EVQ3" s="98"/>
      <c r="EVR3" s="98"/>
      <c r="EVS3" s="98"/>
      <c r="EVT3" s="98"/>
      <c r="EVU3" s="98"/>
      <c r="EVV3" s="98"/>
      <c r="EVW3" s="98"/>
      <c r="EVX3" s="98"/>
      <c r="EVY3" s="98"/>
      <c r="EVZ3" s="98"/>
      <c r="EWA3" s="98"/>
      <c r="EWB3" s="98"/>
      <c r="EWC3" s="98"/>
      <c r="EWD3" s="98"/>
      <c r="EWE3" s="98"/>
      <c r="EWF3" s="98"/>
      <c r="EWG3" s="98"/>
      <c r="EWH3" s="98"/>
      <c r="EWI3" s="98"/>
      <c r="EWJ3" s="98"/>
      <c r="EWK3" s="98"/>
      <c r="EWL3" s="98"/>
      <c r="EWM3" s="98"/>
      <c r="EWN3" s="98"/>
      <c r="EWO3" s="98"/>
      <c r="EWP3" s="98"/>
      <c r="EWQ3" s="98"/>
      <c r="EWR3" s="98"/>
      <c r="EWS3" s="98"/>
      <c r="EWT3" s="98"/>
      <c r="EWU3" s="98"/>
      <c r="EWV3" s="98"/>
      <c r="EWW3" s="98"/>
      <c r="EWX3" s="98"/>
      <c r="EWY3" s="98"/>
      <c r="EWZ3" s="98"/>
      <c r="EXA3" s="98"/>
      <c r="EXB3" s="98"/>
      <c r="EXC3" s="98"/>
      <c r="EXD3" s="98"/>
      <c r="EXE3" s="98"/>
      <c r="EXF3" s="98"/>
      <c r="EXG3" s="98"/>
      <c r="EXH3" s="98"/>
      <c r="EXI3" s="98"/>
      <c r="EXJ3" s="98"/>
      <c r="EXK3" s="98"/>
      <c r="EXL3" s="98"/>
      <c r="EXM3" s="98"/>
      <c r="EXN3" s="98"/>
      <c r="EXO3" s="98"/>
      <c r="EXP3" s="98"/>
      <c r="EXQ3" s="98"/>
      <c r="EXR3" s="98"/>
      <c r="EXS3" s="98"/>
      <c r="EXT3" s="98"/>
      <c r="EXU3" s="98"/>
      <c r="EXV3" s="98"/>
      <c r="EXW3" s="98"/>
      <c r="EXX3" s="98"/>
      <c r="EXY3" s="98"/>
      <c r="EXZ3" s="98"/>
      <c r="EYA3" s="98"/>
      <c r="EYB3" s="98"/>
      <c r="EYC3" s="98"/>
      <c r="EYD3" s="98"/>
      <c r="EYE3" s="98"/>
      <c r="EYF3" s="98"/>
      <c r="EYG3" s="98"/>
      <c r="EYH3" s="98"/>
      <c r="EYI3" s="98"/>
      <c r="EYJ3" s="98"/>
      <c r="EYK3" s="98"/>
      <c r="EYL3" s="98"/>
      <c r="EYM3" s="98"/>
      <c r="EYN3" s="98"/>
      <c r="EYO3" s="98"/>
      <c r="EYP3" s="98"/>
      <c r="EYQ3" s="98"/>
      <c r="EYR3" s="98"/>
      <c r="EYS3" s="98"/>
      <c r="EYT3" s="98"/>
      <c r="EYU3" s="98"/>
      <c r="EYV3" s="98"/>
      <c r="EYW3" s="98"/>
      <c r="EYX3" s="98"/>
      <c r="EYY3" s="98"/>
      <c r="EYZ3" s="98"/>
      <c r="EZA3" s="98"/>
      <c r="EZB3" s="98"/>
      <c r="EZC3" s="98"/>
      <c r="EZD3" s="98"/>
      <c r="EZE3" s="98"/>
      <c r="EZF3" s="98"/>
      <c r="EZG3" s="98"/>
      <c r="EZH3" s="98"/>
      <c r="EZI3" s="98"/>
      <c r="EZJ3" s="98"/>
      <c r="EZK3" s="98"/>
      <c r="EZL3" s="98"/>
      <c r="EZM3" s="98"/>
      <c r="EZN3" s="98"/>
      <c r="EZO3" s="98"/>
      <c r="EZP3" s="98"/>
      <c r="EZQ3" s="98"/>
      <c r="EZR3" s="98"/>
      <c r="EZS3" s="98"/>
      <c r="EZT3" s="98"/>
      <c r="EZU3" s="98"/>
      <c r="EZV3" s="98"/>
      <c r="EZW3" s="98"/>
      <c r="EZX3" s="98"/>
      <c r="EZY3" s="98"/>
      <c r="EZZ3" s="98"/>
      <c r="FAA3" s="98"/>
      <c r="FAB3" s="98"/>
      <c r="FAC3" s="98"/>
      <c r="FAD3" s="98"/>
      <c r="FAE3" s="98"/>
      <c r="FAF3" s="98"/>
      <c r="FAG3" s="98"/>
      <c r="FAH3" s="98"/>
      <c r="FAI3" s="98"/>
      <c r="FAJ3" s="98"/>
      <c r="FAK3" s="98"/>
      <c r="FAL3" s="98"/>
      <c r="FAM3" s="98"/>
      <c r="FAN3" s="98"/>
      <c r="FAO3" s="98"/>
      <c r="FAP3" s="98"/>
      <c r="FAQ3" s="98"/>
      <c r="FAR3" s="98"/>
      <c r="FAS3" s="98"/>
      <c r="FAT3" s="98"/>
      <c r="FAU3" s="98"/>
      <c r="FAV3" s="98"/>
      <c r="FAW3" s="98"/>
      <c r="FAX3" s="98"/>
      <c r="FAY3" s="98"/>
      <c r="FAZ3" s="98"/>
      <c r="FBA3" s="98"/>
      <c r="FBB3" s="98"/>
      <c r="FBC3" s="98"/>
      <c r="FBD3" s="98"/>
      <c r="FBE3" s="98"/>
      <c r="FBF3" s="98"/>
      <c r="FBG3" s="98"/>
      <c r="FBH3" s="98"/>
      <c r="FBI3" s="98"/>
      <c r="FBJ3" s="98"/>
      <c r="FBK3" s="98"/>
      <c r="FBL3" s="98"/>
      <c r="FBM3" s="98"/>
      <c r="FBN3" s="98"/>
      <c r="FBO3" s="98"/>
      <c r="FBP3" s="98"/>
      <c r="FBQ3" s="98"/>
      <c r="FBR3" s="98"/>
      <c r="FBS3" s="98"/>
      <c r="FBT3" s="98"/>
      <c r="FBU3" s="98"/>
      <c r="FBV3" s="98"/>
      <c r="FBW3" s="98"/>
      <c r="FBX3" s="98"/>
      <c r="FBY3" s="98"/>
      <c r="FBZ3" s="98"/>
      <c r="FCA3" s="98"/>
      <c r="FCB3" s="98"/>
      <c r="FCC3" s="98"/>
      <c r="FCD3" s="98"/>
      <c r="FCE3" s="98"/>
      <c r="FCF3" s="98"/>
      <c r="FCG3" s="98"/>
      <c r="FCH3" s="98"/>
      <c r="FCI3" s="98"/>
      <c r="FCJ3" s="98"/>
      <c r="FCK3" s="98"/>
      <c r="FCL3" s="98"/>
      <c r="FCM3" s="98"/>
      <c r="FCN3" s="98"/>
      <c r="FCO3" s="98"/>
      <c r="FCP3" s="98"/>
      <c r="FCQ3" s="98"/>
      <c r="FCR3" s="98"/>
      <c r="FCS3" s="98"/>
      <c r="FCT3" s="98"/>
      <c r="FCU3" s="98"/>
      <c r="FCV3" s="98"/>
      <c r="FCW3" s="98"/>
      <c r="FCX3" s="98"/>
      <c r="FCY3" s="98"/>
      <c r="FCZ3" s="98"/>
      <c r="FDA3" s="98"/>
      <c r="FDB3" s="98"/>
      <c r="FDC3" s="98"/>
      <c r="FDD3" s="98"/>
      <c r="FDE3" s="98"/>
      <c r="FDF3" s="98"/>
      <c r="FDG3" s="98"/>
      <c r="FDH3" s="98"/>
      <c r="FDI3" s="98"/>
      <c r="FDJ3" s="98"/>
      <c r="FDK3" s="98"/>
      <c r="FDL3" s="98"/>
      <c r="FDM3" s="98"/>
      <c r="FDN3" s="98"/>
      <c r="FDO3" s="98"/>
      <c r="FDP3" s="98"/>
      <c r="FDQ3" s="98"/>
      <c r="FDR3" s="98"/>
      <c r="FDS3" s="98"/>
      <c r="FDT3" s="98"/>
      <c r="FDU3" s="98"/>
      <c r="FDV3" s="98"/>
      <c r="FDW3" s="98"/>
      <c r="FDX3" s="98"/>
      <c r="FDY3" s="98"/>
      <c r="FDZ3" s="98"/>
      <c r="FEA3" s="98"/>
      <c r="FEB3" s="98"/>
      <c r="FEC3" s="98"/>
      <c r="FED3" s="98"/>
      <c r="FEE3" s="98"/>
      <c r="FEF3" s="98"/>
      <c r="FEG3" s="98"/>
      <c r="FEH3" s="98"/>
      <c r="FEI3" s="98"/>
      <c r="FEJ3" s="98"/>
      <c r="FEK3" s="98"/>
      <c r="FEL3" s="98"/>
      <c r="FEM3" s="98"/>
      <c r="FEN3" s="98"/>
      <c r="FEO3" s="98"/>
      <c r="FEP3" s="98"/>
      <c r="FEQ3" s="98"/>
      <c r="FER3" s="98"/>
      <c r="FES3" s="98"/>
      <c r="FET3" s="98"/>
      <c r="FEU3" s="98"/>
      <c r="FEV3" s="98"/>
      <c r="FEW3" s="98"/>
      <c r="FEX3" s="98"/>
      <c r="FEY3" s="98"/>
      <c r="FEZ3" s="98"/>
      <c r="FFA3" s="98"/>
      <c r="FFB3" s="98"/>
      <c r="FFC3" s="98"/>
      <c r="FFD3" s="98"/>
      <c r="FFE3" s="98"/>
      <c r="FFF3" s="98"/>
      <c r="FFG3" s="98"/>
      <c r="FFH3" s="98"/>
      <c r="FFI3" s="98"/>
      <c r="FFJ3" s="98"/>
      <c r="FFK3" s="98"/>
      <c r="FFL3" s="98"/>
      <c r="FFM3" s="98"/>
      <c r="FFN3" s="98"/>
      <c r="FFO3" s="98"/>
      <c r="FFP3" s="98"/>
      <c r="FFQ3" s="98"/>
      <c r="FFR3" s="98"/>
      <c r="FFS3" s="98"/>
      <c r="FFT3" s="98"/>
      <c r="FFU3" s="98"/>
      <c r="FFV3" s="98"/>
      <c r="FFW3" s="98"/>
      <c r="FFX3" s="98"/>
      <c r="FFY3" s="98"/>
      <c r="FFZ3" s="98"/>
      <c r="FGA3" s="98"/>
      <c r="FGB3" s="98"/>
      <c r="FGC3" s="98"/>
      <c r="FGD3" s="98"/>
      <c r="FGE3" s="98"/>
      <c r="FGF3" s="98"/>
      <c r="FGG3" s="98"/>
      <c r="FGH3" s="98"/>
      <c r="FGI3" s="98"/>
      <c r="FGJ3" s="98"/>
      <c r="FGK3" s="98"/>
      <c r="FGL3" s="98"/>
      <c r="FGM3" s="98"/>
      <c r="FGN3" s="98"/>
      <c r="FGO3" s="98"/>
      <c r="FGP3" s="98"/>
      <c r="FGQ3" s="98"/>
      <c r="FGR3" s="98"/>
      <c r="FGS3" s="98"/>
      <c r="FGT3" s="98"/>
      <c r="FGU3" s="98"/>
      <c r="FGV3" s="98"/>
      <c r="FGW3" s="98"/>
      <c r="FGX3" s="98"/>
      <c r="FGY3" s="98"/>
      <c r="FGZ3" s="98"/>
      <c r="FHA3" s="98"/>
      <c r="FHB3" s="98"/>
      <c r="FHC3" s="98"/>
      <c r="FHD3" s="98"/>
      <c r="FHE3" s="98"/>
      <c r="FHF3" s="98"/>
      <c r="FHG3" s="98"/>
      <c r="FHH3" s="98"/>
      <c r="FHI3" s="98"/>
      <c r="FHJ3" s="98"/>
      <c r="FHK3" s="98"/>
      <c r="FHL3" s="98"/>
      <c r="FHM3" s="98"/>
      <c r="FHN3" s="98"/>
      <c r="FHO3" s="98"/>
      <c r="FHP3" s="98"/>
      <c r="FHQ3" s="98"/>
      <c r="FHR3" s="98"/>
      <c r="FHS3" s="98"/>
      <c r="FHT3" s="98"/>
      <c r="FHU3" s="98"/>
      <c r="FHV3" s="98"/>
      <c r="FHW3" s="98"/>
      <c r="FHX3" s="98"/>
      <c r="FHY3" s="98"/>
      <c r="FHZ3" s="98"/>
      <c r="FIA3" s="98"/>
      <c r="FIB3" s="98"/>
      <c r="FIC3" s="98"/>
      <c r="FID3" s="98"/>
      <c r="FIE3" s="98"/>
      <c r="FIF3" s="98"/>
      <c r="FIG3" s="98"/>
      <c r="FIH3" s="98"/>
      <c r="FII3" s="98"/>
      <c r="FIJ3" s="98"/>
      <c r="FIK3" s="98"/>
      <c r="FIL3" s="98"/>
      <c r="FIM3" s="98"/>
      <c r="FIN3" s="98"/>
      <c r="FIO3" s="98"/>
      <c r="FIP3" s="98"/>
      <c r="FIQ3" s="98"/>
      <c r="FIR3" s="98"/>
      <c r="FIS3" s="98"/>
      <c r="FIT3" s="98"/>
      <c r="FIU3" s="98"/>
      <c r="FIV3" s="98"/>
      <c r="FIW3" s="98"/>
      <c r="FIX3" s="98"/>
      <c r="FIY3" s="98"/>
      <c r="FIZ3" s="98"/>
      <c r="FJA3" s="98"/>
      <c r="FJB3" s="98"/>
      <c r="FJC3" s="98"/>
      <c r="FJD3" s="98"/>
      <c r="FJE3" s="98"/>
      <c r="FJF3" s="98"/>
      <c r="FJG3" s="98"/>
      <c r="FJH3" s="98"/>
      <c r="FJI3" s="98"/>
      <c r="FJJ3" s="98"/>
      <c r="FJK3" s="98"/>
      <c r="FJL3" s="98"/>
      <c r="FJM3" s="98"/>
      <c r="FJN3" s="98"/>
      <c r="FJO3" s="98"/>
      <c r="FJP3" s="98"/>
      <c r="FJQ3" s="98"/>
      <c r="FJR3" s="98"/>
      <c r="FJS3" s="98"/>
      <c r="FJT3" s="98"/>
      <c r="FJU3" s="98"/>
      <c r="FJV3" s="98"/>
      <c r="FJW3" s="98"/>
      <c r="FJX3" s="98"/>
      <c r="FJY3" s="98"/>
      <c r="FJZ3" s="98"/>
      <c r="FKA3" s="98"/>
      <c r="FKB3" s="98"/>
      <c r="FKC3" s="98"/>
      <c r="FKD3" s="98"/>
      <c r="FKE3" s="98"/>
      <c r="FKF3" s="98"/>
      <c r="FKG3" s="98"/>
      <c r="FKH3" s="98"/>
      <c r="FKI3" s="98"/>
      <c r="FKJ3" s="98"/>
      <c r="FKK3" s="98"/>
      <c r="FKL3" s="98"/>
      <c r="FKM3" s="98"/>
      <c r="FKN3" s="98"/>
      <c r="FKO3" s="98"/>
      <c r="FKP3" s="98"/>
      <c r="FKQ3" s="98"/>
      <c r="FKR3" s="98"/>
      <c r="FKS3" s="98"/>
      <c r="FKT3" s="98"/>
      <c r="FKU3" s="98"/>
      <c r="FKV3" s="98"/>
      <c r="FKW3" s="98"/>
      <c r="FKX3" s="98"/>
      <c r="FKY3" s="98"/>
      <c r="FKZ3" s="98"/>
      <c r="FLA3" s="98"/>
      <c r="FLB3" s="98"/>
      <c r="FLC3" s="98"/>
      <c r="FLD3" s="98"/>
      <c r="FLE3" s="98"/>
      <c r="FLF3" s="98"/>
      <c r="FLG3" s="98"/>
      <c r="FLH3" s="98"/>
      <c r="FLI3" s="98"/>
      <c r="FLJ3" s="98"/>
      <c r="FLK3" s="98"/>
      <c r="FLL3" s="98"/>
      <c r="FLM3" s="98"/>
      <c r="FLN3" s="98"/>
      <c r="FLO3" s="98"/>
      <c r="FLP3" s="98"/>
      <c r="FLQ3" s="98"/>
      <c r="FLR3" s="98"/>
      <c r="FLS3" s="98"/>
      <c r="FLT3" s="98"/>
      <c r="FLU3" s="98"/>
      <c r="FLV3" s="98"/>
      <c r="FLW3" s="98"/>
      <c r="FLX3" s="98"/>
      <c r="FLY3" s="98"/>
      <c r="FLZ3" s="98"/>
      <c r="FMA3" s="98"/>
      <c r="FMB3" s="98"/>
      <c r="FMC3" s="98"/>
      <c r="FMD3" s="98"/>
      <c r="FME3" s="98"/>
      <c r="FMF3" s="98"/>
      <c r="FMG3" s="98"/>
      <c r="FMH3" s="98"/>
      <c r="FMI3" s="98"/>
      <c r="FMJ3" s="98"/>
      <c r="FMK3" s="98"/>
      <c r="FML3" s="98"/>
      <c r="FMM3" s="98"/>
      <c r="FMN3" s="98"/>
      <c r="FMO3" s="98"/>
      <c r="FMP3" s="98"/>
      <c r="FMQ3" s="98"/>
      <c r="FMR3" s="98"/>
      <c r="FMS3" s="98"/>
      <c r="FMT3" s="98"/>
      <c r="FMU3" s="98"/>
      <c r="FMV3" s="98"/>
      <c r="FMW3" s="98"/>
      <c r="FMX3" s="98"/>
      <c r="FMY3" s="98"/>
      <c r="FMZ3" s="98"/>
      <c r="FNA3" s="98"/>
      <c r="FNB3" s="98"/>
      <c r="FNC3" s="98"/>
      <c r="FND3" s="98"/>
      <c r="FNE3" s="98"/>
      <c r="FNF3" s="98"/>
      <c r="FNG3" s="98"/>
      <c r="FNH3" s="98"/>
      <c r="FNI3" s="98"/>
      <c r="FNJ3" s="98"/>
      <c r="FNK3" s="98"/>
      <c r="FNL3" s="98"/>
      <c r="FNM3" s="98"/>
      <c r="FNN3" s="98"/>
      <c r="FNO3" s="98"/>
      <c r="FNP3" s="98"/>
      <c r="FNQ3" s="98"/>
      <c r="FNR3" s="98"/>
      <c r="FNS3" s="98"/>
      <c r="FNT3" s="98"/>
      <c r="FNU3" s="98"/>
      <c r="FNV3" s="98"/>
      <c r="FNW3" s="98"/>
      <c r="FNX3" s="98"/>
      <c r="FNY3" s="98"/>
      <c r="FNZ3" s="98"/>
      <c r="FOA3" s="98"/>
      <c r="FOB3" s="98"/>
      <c r="FOC3" s="98"/>
      <c r="FOD3" s="98"/>
      <c r="FOE3" s="98"/>
      <c r="FOF3" s="98"/>
      <c r="FOG3" s="98"/>
      <c r="FOH3" s="98"/>
      <c r="FOI3" s="98"/>
      <c r="FOJ3" s="98"/>
      <c r="FOK3" s="98"/>
      <c r="FOL3" s="98"/>
      <c r="FOM3" s="98"/>
      <c r="FON3" s="98"/>
      <c r="FOO3" s="98"/>
      <c r="FOP3" s="98"/>
      <c r="FOQ3" s="98"/>
      <c r="FOR3" s="98"/>
      <c r="FOS3" s="98"/>
      <c r="FOT3" s="98"/>
      <c r="FOU3" s="98"/>
      <c r="FOV3" s="98"/>
      <c r="FOW3" s="98"/>
      <c r="FOX3" s="98"/>
      <c r="FOY3" s="98"/>
      <c r="FOZ3" s="98"/>
      <c r="FPA3" s="98"/>
      <c r="FPB3" s="98"/>
      <c r="FPC3" s="98"/>
      <c r="FPD3" s="98"/>
      <c r="FPE3" s="98"/>
      <c r="FPF3" s="98"/>
      <c r="FPG3" s="98"/>
      <c r="FPH3" s="98"/>
      <c r="FPI3" s="98"/>
      <c r="FPJ3" s="98"/>
      <c r="FPK3" s="98"/>
      <c r="FPL3" s="98"/>
      <c r="FPM3" s="98"/>
      <c r="FPN3" s="98"/>
      <c r="FPO3" s="98"/>
      <c r="FPP3" s="98"/>
      <c r="FPQ3" s="98"/>
      <c r="FPR3" s="98"/>
      <c r="FPS3" s="98"/>
      <c r="FPT3" s="98"/>
      <c r="FPU3" s="98"/>
      <c r="FPV3" s="98"/>
      <c r="FPW3" s="98"/>
      <c r="FPX3" s="98"/>
      <c r="FPY3" s="98"/>
      <c r="FPZ3" s="98"/>
      <c r="FQA3" s="98"/>
      <c r="FQB3" s="98"/>
      <c r="FQC3" s="98"/>
      <c r="FQD3" s="98"/>
      <c r="FQE3" s="98"/>
      <c r="FQF3" s="98"/>
      <c r="FQG3" s="98"/>
      <c r="FQH3" s="98"/>
      <c r="FQI3" s="98"/>
      <c r="FQJ3" s="98"/>
      <c r="FQK3" s="98"/>
      <c r="FQL3" s="98"/>
      <c r="FQM3" s="98"/>
      <c r="FQN3" s="98"/>
      <c r="FQO3" s="98"/>
      <c r="FQP3" s="98"/>
      <c r="FQQ3" s="98"/>
      <c r="FQR3" s="98"/>
      <c r="FQS3" s="98"/>
      <c r="FQT3" s="98"/>
      <c r="FQU3" s="98"/>
      <c r="FQV3" s="98"/>
      <c r="FQW3" s="98"/>
      <c r="FQX3" s="98"/>
      <c r="FQY3" s="98"/>
      <c r="FQZ3" s="98"/>
      <c r="FRA3" s="98"/>
      <c r="FRB3" s="98"/>
      <c r="FRC3" s="98"/>
      <c r="FRD3" s="98"/>
      <c r="FRE3" s="98"/>
      <c r="FRF3" s="98"/>
      <c r="FRG3" s="98"/>
      <c r="FRH3" s="98"/>
      <c r="FRI3" s="98"/>
      <c r="FRJ3" s="98"/>
      <c r="FRK3" s="98"/>
      <c r="FRL3" s="98"/>
      <c r="FRM3" s="98"/>
      <c r="FRN3" s="98"/>
      <c r="FRO3" s="98"/>
      <c r="FRP3" s="98"/>
      <c r="FRQ3" s="98"/>
      <c r="FRR3" s="98"/>
      <c r="FRS3" s="98"/>
      <c r="FRT3" s="98"/>
      <c r="FRU3" s="98"/>
      <c r="FRV3" s="98"/>
      <c r="FRW3" s="98"/>
      <c r="FRX3" s="98"/>
      <c r="FRY3" s="98"/>
      <c r="FRZ3" s="98"/>
      <c r="FSA3" s="98"/>
      <c r="FSB3" s="98"/>
      <c r="FSC3" s="98"/>
      <c r="FSD3" s="98"/>
      <c r="FSE3" s="98"/>
      <c r="FSF3" s="98"/>
      <c r="FSG3" s="98"/>
      <c r="FSH3" s="98"/>
      <c r="FSI3" s="98"/>
      <c r="FSJ3" s="98"/>
      <c r="FSK3" s="98"/>
      <c r="FSL3" s="98"/>
      <c r="FSM3" s="98"/>
      <c r="FSN3" s="98"/>
      <c r="FSO3" s="98"/>
      <c r="FSP3" s="98"/>
      <c r="FSQ3" s="98"/>
      <c r="FSR3" s="98"/>
      <c r="FSS3" s="98"/>
      <c r="FST3" s="98"/>
      <c r="FSU3" s="98"/>
      <c r="FSV3" s="98"/>
      <c r="FSW3" s="98"/>
      <c r="FSX3" s="98"/>
      <c r="FSY3" s="98"/>
      <c r="FSZ3" s="98"/>
      <c r="FTA3" s="98"/>
      <c r="FTB3" s="98"/>
      <c r="FTC3" s="98"/>
      <c r="FTD3" s="98"/>
      <c r="FTE3" s="98"/>
      <c r="FTF3" s="98"/>
      <c r="FTG3" s="98"/>
      <c r="FTH3" s="98"/>
      <c r="FTI3" s="98"/>
      <c r="FTJ3" s="98"/>
      <c r="FTK3" s="98"/>
      <c r="FTL3" s="98"/>
      <c r="FTM3" s="98"/>
      <c r="FTN3" s="98"/>
      <c r="FTO3" s="98"/>
      <c r="FTP3" s="98"/>
      <c r="FTQ3" s="98"/>
      <c r="FTR3" s="98"/>
      <c r="FTS3" s="98"/>
      <c r="FTT3" s="98"/>
      <c r="FTU3" s="98"/>
      <c r="FTV3" s="98"/>
      <c r="FTW3" s="98"/>
      <c r="FTX3" s="98"/>
      <c r="FTY3" s="98"/>
      <c r="FTZ3" s="98"/>
      <c r="FUA3" s="98"/>
      <c r="FUB3" s="98"/>
      <c r="FUC3" s="98"/>
      <c r="FUD3" s="98"/>
      <c r="FUE3" s="98"/>
      <c r="FUF3" s="98"/>
      <c r="FUG3" s="98"/>
      <c r="FUH3" s="98"/>
      <c r="FUI3" s="98"/>
      <c r="FUJ3" s="98"/>
      <c r="FUK3" s="98"/>
      <c r="FUL3" s="98"/>
      <c r="FUM3" s="98"/>
      <c r="FUN3" s="98"/>
      <c r="FUO3" s="98"/>
      <c r="FUP3" s="98"/>
      <c r="FUQ3" s="98"/>
      <c r="FUR3" s="98"/>
      <c r="FUS3" s="98"/>
      <c r="FUT3" s="98"/>
      <c r="FUU3" s="98"/>
      <c r="FUV3" s="98"/>
      <c r="FUW3" s="98"/>
      <c r="FUX3" s="98"/>
      <c r="FUY3" s="98"/>
      <c r="FUZ3" s="98"/>
      <c r="FVA3" s="98"/>
      <c r="FVB3" s="98"/>
      <c r="FVC3" s="98"/>
      <c r="FVD3" s="98"/>
      <c r="FVE3" s="98"/>
      <c r="FVF3" s="98"/>
      <c r="FVG3" s="98"/>
      <c r="FVH3" s="98"/>
      <c r="FVI3" s="98"/>
      <c r="FVJ3" s="98"/>
      <c r="FVK3" s="98"/>
      <c r="FVL3" s="98"/>
      <c r="FVM3" s="98"/>
      <c r="FVN3" s="98"/>
      <c r="FVO3" s="98"/>
      <c r="FVP3" s="98"/>
      <c r="FVQ3" s="98"/>
      <c r="FVR3" s="98"/>
      <c r="FVS3" s="98"/>
      <c r="FVT3" s="98"/>
      <c r="FVU3" s="98"/>
      <c r="FVV3" s="98"/>
      <c r="FVW3" s="98"/>
      <c r="FVX3" s="98"/>
      <c r="FVY3" s="98"/>
      <c r="FVZ3" s="98"/>
      <c r="FWA3" s="98"/>
      <c r="FWB3" s="98"/>
      <c r="FWC3" s="98"/>
      <c r="FWD3" s="98"/>
      <c r="FWE3" s="98"/>
      <c r="FWF3" s="98"/>
      <c r="FWG3" s="98"/>
      <c r="FWH3" s="98"/>
      <c r="FWI3" s="98"/>
      <c r="FWJ3" s="98"/>
      <c r="FWK3" s="98"/>
      <c r="FWL3" s="98"/>
      <c r="FWM3" s="98"/>
      <c r="FWN3" s="98"/>
      <c r="FWO3" s="98"/>
      <c r="FWP3" s="98"/>
      <c r="FWQ3" s="98"/>
      <c r="FWR3" s="98"/>
      <c r="FWS3" s="98"/>
      <c r="FWT3" s="98"/>
      <c r="FWU3" s="98"/>
      <c r="FWV3" s="98"/>
      <c r="FWW3" s="98"/>
      <c r="FWX3" s="98"/>
      <c r="FWY3" s="98"/>
      <c r="FWZ3" s="98"/>
      <c r="FXA3" s="98"/>
      <c r="FXB3" s="98"/>
      <c r="FXC3" s="98"/>
      <c r="FXD3" s="98"/>
      <c r="FXE3" s="98"/>
      <c r="FXF3" s="98"/>
      <c r="FXG3" s="98"/>
      <c r="FXH3" s="98"/>
      <c r="FXI3" s="98"/>
      <c r="FXJ3" s="98"/>
      <c r="FXK3" s="98"/>
      <c r="FXL3" s="98"/>
      <c r="FXM3" s="98"/>
      <c r="FXN3" s="98"/>
      <c r="FXO3" s="98"/>
      <c r="FXP3" s="98"/>
      <c r="FXQ3" s="98"/>
      <c r="FXR3" s="98"/>
      <c r="FXS3" s="98"/>
      <c r="FXT3" s="98"/>
      <c r="FXU3" s="98"/>
      <c r="FXV3" s="98"/>
      <c r="FXW3" s="98"/>
      <c r="FXX3" s="98"/>
      <c r="FXY3" s="98"/>
      <c r="FXZ3" s="98"/>
      <c r="FYA3" s="98"/>
      <c r="FYB3" s="98"/>
      <c r="FYC3" s="98"/>
      <c r="FYD3" s="98"/>
      <c r="FYE3" s="98"/>
      <c r="FYF3" s="98"/>
      <c r="FYG3" s="98"/>
      <c r="FYH3" s="98"/>
      <c r="FYI3" s="98"/>
      <c r="FYJ3" s="98"/>
      <c r="FYK3" s="98"/>
      <c r="FYL3" s="98"/>
      <c r="FYM3" s="98"/>
      <c r="FYN3" s="98"/>
      <c r="FYO3" s="98"/>
      <c r="FYP3" s="98"/>
      <c r="FYQ3" s="98"/>
      <c r="FYR3" s="98"/>
      <c r="FYS3" s="98"/>
      <c r="FYT3" s="98"/>
      <c r="FYU3" s="98"/>
      <c r="FYV3" s="98"/>
      <c r="FYW3" s="98"/>
      <c r="FYX3" s="98"/>
      <c r="FYY3" s="98"/>
      <c r="FYZ3" s="98"/>
      <c r="FZA3" s="98"/>
      <c r="FZB3" s="98"/>
      <c r="FZC3" s="98"/>
      <c r="FZD3" s="98"/>
      <c r="FZE3" s="98"/>
      <c r="FZF3" s="98"/>
      <c r="FZG3" s="98"/>
      <c r="FZH3" s="98"/>
      <c r="FZI3" s="98"/>
      <c r="FZJ3" s="98"/>
      <c r="FZK3" s="98"/>
      <c r="FZL3" s="98"/>
      <c r="FZM3" s="98"/>
      <c r="FZN3" s="98"/>
      <c r="FZO3" s="98"/>
      <c r="FZP3" s="98"/>
      <c r="FZQ3" s="98"/>
      <c r="FZR3" s="98"/>
      <c r="FZS3" s="98"/>
      <c r="FZT3" s="98"/>
      <c r="FZU3" s="98"/>
      <c r="FZV3" s="98"/>
      <c r="FZW3" s="98"/>
      <c r="FZX3" s="98"/>
      <c r="FZY3" s="98"/>
      <c r="FZZ3" s="98"/>
      <c r="GAA3" s="98"/>
      <c r="GAB3" s="98"/>
      <c r="GAC3" s="98"/>
      <c r="GAD3" s="98"/>
      <c r="GAE3" s="98"/>
      <c r="GAF3" s="98"/>
      <c r="GAG3" s="98"/>
      <c r="GAH3" s="98"/>
      <c r="GAI3" s="98"/>
      <c r="GAJ3" s="98"/>
      <c r="GAK3" s="98"/>
      <c r="GAL3" s="98"/>
      <c r="GAM3" s="98"/>
      <c r="GAN3" s="98"/>
      <c r="GAO3" s="98"/>
      <c r="GAP3" s="98"/>
      <c r="GAQ3" s="98"/>
      <c r="GAR3" s="98"/>
      <c r="GAS3" s="98"/>
      <c r="GAT3" s="98"/>
      <c r="GAU3" s="98"/>
      <c r="GAV3" s="98"/>
      <c r="GAW3" s="98"/>
      <c r="GAX3" s="98"/>
      <c r="GAY3" s="98"/>
      <c r="GAZ3" s="98"/>
      <c r="GBA3" s="98"/>
      <c r="GBB3" s="98"/>
      <c r="GBC3" s="98"/>
      <c r="GBD3" s="98"/>
      <c r="GBE3" s="98"/>
      <c r="GBF3" s="98"/>
      <c r="GBG3" s="98"/>
      <c r="GBH3" s="98"/>
      <c r="GBI3" s="98"/>
      <c r="GBJ3" s="98"/>
      <c r="GBK3" s="98"/>
      <c r="GBL3" s="98"/>
      <c r="GBM3" s="98"/>
      <c r="GBN3" s="98"/>
      <c r="GBO3" s="98"/>
      <c r="GBP3" s="98"/>
      <c r="GBQ3" s="98"/>
      <c r="GBR3" s="98"/>
      <c r="GBS3" s="98"/>
      <c r="GBT3" s="98"/>
      <c r="GBU3" s="98"/>
      <c r="GBV3" s="98"/>
      <c r="GBW3" s="98"/>
      <c r="GBX3" s="98"/>
      <c r="GBY3" s="98"/>
      <c r="GBZ3" s="98"/>
      <c r="GCA3" s="98"/>
      <c r="GCB3" s="98"/>
      <c r="GCC3" s="98"/>
      <c r="GCD3" s="98"/>
      <c r="GCE3" s="98"/>
      <c r="GCF3" s="98"/>
      <c r="GCG3" s="98"/>
      <c r="GCH3" s="98"/>
      <c r="GCI3" s="98"/>
      <c r="GCJ3" s="98"/>
      <c r="GCK3" s="98"/>
      <c r="GCL3" s="98"/>
      <c r="GCM3" s="98"/>
      <c r="GCN3" s="98"/>
      <c r="GCO3" s="98"/>
      <c r="GCP3" s="98"/>
      <c r="GCQ3" s="98"/>
      <c r="GCR3" s="98"/>
      <c r="GCS3" s="98"/>
      <c r="GCT3" s="98"/>
      <c r="GCU3" s="98"/>
      <c r="GCV3" s="98"/>
      <c r="GCW3" s="98"/>
      <c r="GCX3" s="98"/>
      <c r="GCY3" s="98"/>
      <c r="GCZ3" s="98"/>
      <c r="GDA3" s="98"/>
      <c r="GDB3" s="98"/>
      <c r="GDC3" s="98"/>
      <c r="GDD3" s="98"/>
      <c r="GDE3" s="98"/>
      <c r="GDF3" s="98"/>
      <c r="GDG3" s="98"/>
      <c r="GDH3" s="98"/>
      <c r="GDI3" s="98"/>
      <c r="GDJ3" s="98"/>
      <c r="GDK3" s="98"/>
      <c r="GDL3" s="98"/>
      <c r="GDM3" s="98"/>
      <c r="GDN3" s="98"/>
      <c r="GDO3" s="98"/>
      <c r="GDP3" s="98"/>
      <c r="GDQ3" s="98"/>
      <c r="GDR3" s="98"/>
      <c r="GDS3" s="98"/>
      <c r="GDT3" s="98"/>
      <c r="GDU3" s="98"/>
      <c r="GDV3" s="98"/>
      <c r="GDW3" s="98"/>
      <c r="GDX3" s="98"/>
      <c r="GDY3" s="98"/>
      <c r="GDZ3" s="98"/>
      <c r="GEA3" s="98"/>
      <c r="GEB3" s="98"/>
      <c r="GEC3" s="98"/>
      <c r="GED3" s="98"/>
      <c r="GEE3" s="98"/>
      <c r="GEF3" s="98"/>
      <c r="GEG3" s="98"/>
      <c r="GEH3" s="98"/>
      <c r="GEI3" s="98"/>
      <c r="GEJ3" s="98"/>
      <c r="GEK3" s="98"/>
      <c r="GEL3" s="98"/>
      <c r="GEM3" s="98"/>
      <c r="GEN3" s="98"/>
      <c r="GEO3" s="98"/>
      <c r="GEP3" s="98"/>
      <c r="GEQ3" s="98"/>
      <c r="GER3" s="98"/>
      <c r="GES3" s="98"/>
      <c r="GET3" s="98"/>
      <c r="GEU3" s="98"/>
      <c r="GEV3" s="98"/>
      <c r="GEW3" s="98"/>
      <c r="GEX3" s="98"/>
      <c r="GEY3" s="98"/>
      <c r="GEZ3" s="98"/>
      <c r="GFA3" s="98"/>
      <c r="GFB3" s="98"/>
      <c r="GFC3" s="98"/>
      <c r="GFD3" s="98"/>
      <c r="GFE3" s="98"/>
      <c r="GFF3" s="98"/>
      <c r="GFG3" s="98"/>
      <c r="GFH3" s="98"/>
      <c r="GFI3" s="98"/>
      <c r="GFJ3" s="98"/>
      <c r="GFK3" s="98"/>
      <c r="GFL3" s="98"/>
      <c r="GFM3" s="98"/>
      <c r="GFN3" s="98"/>
      <c r="GFO3" s="98"/>
      <c r="GFP3" s="98"/>
      <c r="GFQ3" s="98"/>
      <c r="GFR3" s="98"/>
      <c r="GFS3" s="98"/>
      <c r="GFT3" s="98"/>
      <c r="GFU3" s="98"/>
      <c r="GFV3" s="98"/>
      <c r="GFW3" s="98"/>
      <c r="GFX3" s="98"/>
      <c r="GFY3" s="98"/>
      <c r="GFZ3" s="98"/>
      <c r="GGA3" s="98"/>
      <c r="GGB3" s="98"/>
      <c r="GGC3" s="98"/>
      <c r="GGD3" s="98"/>
      <c r="GGE3" s="98"/>
      <c r="GGF3" s="98"/>
      <c r="GGG3" s="98"/>
      <c r="GGH3" s="98"/>
      <c r="GGI3" s="98"/>
      <c r="GGJ3" s="98"/>
      <c r="GGK3" s="98"/>
      <c r="GGL3" s="98"/>
      <c r="GGM3" s="98"/>
      <c r="GGN3" s="98"/>
      <c r="GGO3" s="98"/>
      <c r="GGP3" s="98"/>
      <c r="GGQ3" s="98"/>
      <c r="GGR3" s="98"/>
      <c r="GGS3" s="98"/>
      <c r="GGT3" s="98"/>
      <c r="GGU3" s="98"/>
      <c r="GGV3" s="98"/>
      <c r="GGW3" s="98"/>
      <c r="GGX3" s="98"/>
      <c r="GGY3" s="98"/>
      <c r="GGZ3" s="98"/>
      <c r="GHA3" s="98"/>
      <c r="GHB3" s="98"/>
      <c r="GHC3" s="98"/>
      <c r="GHD3" s="98"/>
      <c r="GHE3" s="98"/>
      <c r="GHF3" s="98"/>
      <c r="GHG3" s="98"/>
      <c r="GHH3" s="98"/>
      <c r="GHI3" s="98"/>
      <c r="GHJ3" s="98"/>
      <c r="GHK3" s="98"/>
      <c r="GHL3" s="98"/>
      <c r="GHM3" s="98"/>
      <c r="GHN3" s="98"/>
      <c r="GHO3" s="98"/>
      <c r="GHP3" s="98"/>
      <c r="GHQ3" s="98"/>
      <c r="GHR3" s="98"/>
      <c r="GHS3" s="98"/>
      <c r="GHT3" s="98"/>
      <c r="GHU3" s="98"/>
      <c r="GHV3" s="98"/>
      <c r="GHW3" s="98"/>
      <c r="GHX3" s="98"/>
      <c r="GHY3" s="98"/>
      <c r="GHZ3" s="98"/>
      <c r="GIA3" s="98"/>
      <c r="GIB3" s="98"/>
      <c r="GIC3" s="98"/>
      <c r="GID3" s="98"/>
      <c r="GIE3" s="98"/>
      <c r="GIF3" s="98"/>
      <c r="GIG3" s="98"/>
      <c r="GIH3" s="98"/>
      <c r="GII3" s="98"/>
      <c r="GIJ3" s="98"/>
      <c r="GIK3" s="98"/>
      <c r="GIL3" s="98"/>
      <c r="GIM3" s="98"/>
      <c r="GIN3" s="98"/>
      <c r="GIO3" s="98"/>
      <c r="GIP3" s="98"/>
      <c r="GIQ3" s="98"/>
      <c r="GIR3" s="98"/>
      <c r="GIS3" s="98"/>
      <c r="GIT3" s="98"/>
      <c r="GIU3" s="98"/>
      <c r="GIV3" s="98"/>
      <c r="GIW3" s="98"/>
      <c r="GIX3" s="98"/>
      <c r="GIY3" s="98"/>
      <c r="GIZ3" s="98"/>
      <c r="GJA3" s="98"/>
      <c r="GJB3" s="98"/>
      <c r="GJC3" s="98"/>
      <c r="GJD3" s="98"/>
      <c r="GJE3" s="98"/>
      <c r="GJF3" s="98"/>
      <c r="GJG3" s="98"/>
      <c r="GJH3" s="98"/>
      <c r="GJI3" s="98"/>
      <c r="GJJ3" s="98"/>
      <c r="GJK3" s="98"/>
      <c r="GJL3" s="98"/>
      <c r="GJM3" s="98"/>
      <c r="GJN3" s="98"/>
      <c r="GJO3" s="98"/>
      <c r="GJP3" s="98"/>
      <c r="GJQ3" s="98"/>
      <c r="GJR3" s="98"/>
      <c r="GJS3" s="98"/>
      <c r="GJT3" s="98"/>
      <c r="GJU3" s="98"/>
      <c r="GJV3" s="98"/>
      <c r="GJW3" s="98"/>
      <c r="GJX3" s="98"/>
      <c r="GJY3" s="98"/>
      <c r="GJZ3" s="98"/>
      <c r="GKA3" s="98"/>
      <c r="GKB3" s="98"/>
      <c r="GKC3" s="98"/>
      <c r="GKD3" s="98"/>
      <c r="GKE3" s="98"/>
      <c r="GKF3" s="98"/>
      <c r="GKG3" s="98"/>
      <c r="GKH3" s="98"/>
      <c r="GKI3" s="98"/>
      <c r="GKJ3" s="98"/>
      <c r="GKK3" s="98"/>
      <c r="GKL3" s="98"/>
      <c r="GKM3" s="98"/>
      <c r="GKN3" s="98"/>
      <c r="GKO3" s="98"/>
      <c r="GKP3" s="98"/>
      <c r="GKQ3" s="98"/>
      <c r="GKR3" s="98"/>
      <c r="GKS3" s="98"/>
      <c r="GKT3" s="98"/>
      <c r="GKU3" s="98"/>
      <c r="GKV3" s="98"/>
      <c r="GKW3" s="98"/>
      <c r="GKX3" s="98"/>
      <c r="GKY3" s="98"/>
      <c r="GKZ3" s="98"/>
      <c r="GLA3" s="98"/>
      <c r="GLB3" s="98"/>
      <c r="GLC3" s="98"/>
      <c r="GLD3" s="98"/>
      <c r="GLE3" s="98"/>
      <c r="GLF3" s="98"/>
      <c r="GLG3" s="98"/>
      <c r="GLH3" s="98"/>
      <c r="GLI3" s="98"/>
      <c r="GLJ3" s="98"/>
      <c r="GLK3" s="98"/>
      <c r="GLL3" s="98"/>
      <c r="GLM3" s="98"/>
      <c r="GLN3" s="98"/>
      <c r="GLO3" s="98"/>
      <c r="GLP3" s="98"/>
      <c r="GLQ3" s="98"/>
      <c r="GLR3" s="98"/>
      <c r="GLS3" s="98"/>
      <c r="GLT3" s="98"/>
      <c r="GLU3" s="98"/>
      <c r="GLV3" s="98"/>
      <c r="GLW3" s="98"/>
      <c r="GLX3" s="98"/>
      <c r="GLY3" s="98"/>
      <c r="GLZ3" s="98"/>
      <c r="GMA3" s="98"/>
      <c r="GMB3" s="98"/>
      <c r="GMC3" s="98"/>
      <c r="GMD3" s="98"/>
      <c r="GME3" s="98"/>
      <c r="GMF3" s="98"/>
      <c r="GMG3" s="98"/>
      <c r="GMH3" s="98"/>
      <c r="GMI3" s="98"/>
      <c r="GMJ3" s="98"/>
      <c r="GMK3" s="98"/>
      <c r="GML3" s="98"/>
      <c r="GMM3" s="98"/>
      <c r="GMN3" s="98"/>
      <c r="GMO3" s="98"/>
      <c r="GMP3" s="98"/>
      <c r="GMQ3" s="98"/>
      <c r="GMR3" s="98"/>
      <c r="GMS3" s="98"/>
      <c r="GMT3" s="98"/>
      <c r="GMU3" s="98"/>
      <c r="GMV3" s="98"/>
      <c r="GMW3" s="98"/>
      <c r="GMX3" s="98"/>
      <c r="GMY3" s="98"/>
      <c r="GMZ3" s="98"/>
      <c r="GNA3" s="98"/>
      <c r="GNB3" s="98"/>
      <c r="GNC3" s="98"/>
      <c r="GND3" s="98"/>
      <c r="GNE3" s="98"/>
      <c r="GNF3" s="98"/>
      <c r="GNG3" s="98"/>
      <c r="GNH3" s="98"/>
      <c r="GNI3" s="98"/>
      <c r="GNJ3" s="98"/>
      <c r="GNK3" s="98"/>
      <c r="GNL3" s="98"/>
      <c r="GNM3" s="98"/>
      <c r="GNN3" s="98"/>
      <c r="GNO3" s="98"/>
      <c r="GNP3" s="98"/>
      <c r="GNQ3" s="98"/>
      <c r="GNR3" s="98"/>
      <c r="GNS3" s="98"/>
      <c r="GNT3" s="98"/>
      <c r="GNU3" s="98"/>
      <c r="GNV3" s="98"/>
      <c r="GNW3" s="98"/>
      <c r="GNX3" s="98"/>
      <c r="GNY3" s="98"/>
      <c r="GNZ3" s="98"/>
      <c r="GOA3" s="98"/>
      <c r="GOB3" s="98"/>
      <c r="GOC3" s="98"/>
      <c r="GOD3" s="98"/>
      <c r="GOE3" s="98"/>
      <c r="GOF3" s="98"/>
      <c r="GOG3" s="98"/>
      <c r="GOH3" s="98"/>
      <c r="GOI3" s="98"/>
      <c r="GOJ3" s="98"/>
      <c r="GOK3" s="98"/>
      <c r="GOL3" s="98"/>
      <c r="GOM3" s="98"/>
      <c r="GON3" s="98"/>
      <c r="GOO3" s="98"/>
      <c r="GOP3" s="98"/>
      <c r="GOQ3" s="98"/>
      <c r="GOR3" s="98"/>
      <c r="GOS3" s="98"/>
      <c r="GOT3" s="98"/>
      <c r="GOU3" s="98"/>
      <c r="GOV3" s="98"/>
      <c r="GOW3" s="98"/>
      <c r="GOX3" s="98"/>
      <c r="GOY3" s="98"/>
      <c r="GOZ3" s="98"/>
      <c r="GPA3" s="98"/>
      <c r="GPB3" s="98"/>
      <c r="GPC3" s="98"/>
      <c r="GPD3" s="98"/>
      <c r="GPE3" s="98"/>
      <c r="GPF3" s="98"/>
      <c r="GPG3" s="98"/>
      <c r="GPH3" s="98"/>
      <c r="GPI3" s="98"/>
      <c r="GPJ3" s="98"/>
      <c r="GPK3" s="98"/>
      <c r="GPL3" s="98"/>
      <c r="GPM3" s="98"/>
      <c r="GPN3" s="98"/>
      <c r="GPO3" s="98"/>
      <c r="GPP3" s="98"/>
      <c r="GPQ3" s="98"/>
      <c r="GPR3" s="98"/>
      <c r="GPS3" s="98"/>
      <c r="GPT3" s="98"/>
      <c r="GPU3" s="98"/>
      <c r="GPV3" s="98"/>
      <c r="GPW3" s="98"/>
      <c r="GPX3" s="98"/>
      <c r="GPY3" s="98"/>
      <c r="GPZ3" s="98"/>
      <c r="GQA3" s="98"/>
      <c r="GQB3" s="98"/>
      <c r="GQC3" s="98"/>
      <c r="GQD3" s="98"/>
      <c r="GQE3" s="98"/>
      <c r="GQF3" s="98"/>
      <c r="GQG3" s="98"/>
      <c r="GQH3" s="98"/>
      <c r="GQI3" s="98"/>
      <c r="GQJ3" s="98"/>
      <c r="GQK3" s="98"/>
      <c r="GQL3" s="98"/>
      <c r="GQM3" s="98"/>
      <c r="GQN3" s="98"/>
      <c r="GQO3" s="98"/>
      <c r="GQP3" s="98"/>
      <c r="GQQ3" s="98"/>
      <c r="GQR3" s="98"/>
      <c r="GQS3" s="98"/>
      <c r="GQT3" s="98"/>
      <c r="GQU3" s="98"/>
      <c r="GQV3" s="98"/>
      <c r="GQW3" s="98"/>
      <c r="GQX3" s="98"/>
      <c r="GQY3" s="98"/>
      <c r="GQZ3" s="98"/>
      <c r="GRA3" s="98"/>
      <c r="GRB3" s="98"/>
      <c r="GRC3" s="98"/>
      <c r="GRD3" s="98"/>
      <c r="GRE3" s="98"/>
      <c r="GRF3" s="98"/>
      <c r="GRG3" s="98"/>
      <c r="GRH3" s="98"/>
      <c r="GRI3" s="98"/>
      <c r="GRJ3" s="98"/>
      <c r="GRK3" s="98"/>
      <c r="GRL3" s="98"/>
      <c r="GRM3" s="98"/>
      <c r="GRN3" s="98"/>
      <c r="GRO3" s="98"/>
      <c r="GRP3" s="98"/>
      <c r="GRQ3" s="98"/>
      <c r="GRR3" s="98"/>
      <c r="GRS3" s="98"/>
      <c r="GRT3" s="98"/>
      <c r="GRU3" s="98"/>
      <c r="GRV3" s="98"/>
      <c r="GRW3" s="98"/>
      <c r="GRX3" s="98"/>
      <c r="GRY3" s="98"/>
      <c r="GRZ3" s="98"/>
      <c r="GSA3" s="98"/>
      <c r="GSB3" s="98"/>
      <c r="GSC3" s="98"/>
      <c r="GSD3" s="98"/>
      <c r="GSE3" s="98"/>
      <c r="GSF3" s="98"/>
      <c r="GSG3" s="98"/>
      <c r="GSH3" s="98"/>
      <c r="GSI3" s="98"/>
      <c r="GSJ3" s="98"/>
      <c r="GSK3" s="98"/>
      <c r="GSL3" s="98"/>
      <c r="GSM3" s="98"/>
      <c r="GSN3" s="98"/>
      <c r="GSO3" s="98"/>
      <c r="GSP3" s="98"/>
      <c r="GSQ3" s="98"/>
      <c r="GSR3" s="98"/>
      <c r="GSS3" s="98"/>
      <c r="GST3" s="98"/>
      <c r="GSU3" s="98"/>
      <c r="GSV3" s="98"/>
      <c r="GSW3" s="98"/>
      <c r="GSX3" s="98"/>
      <c r="GSY3" s="98"/>
      <c r="GSZ3" s="98"/>
      <c r="GTA3" s="98"/>
      <c r="GTB3" s="98"/>
      <c r="GTC3" s="98"/>
      <c r="GTD3" s="98"/>
      <c r="GTE3" s="98"/>
      <c r="GTF3" s="98"/>
      <c r="GTG3" s="98"/>
      <c r="GTH3" s="98"/>
      <c r="GTI3" s="98"/>
      <c r="GTJ3" s="98"/>
      <c r="GTK3" s="98"/>
      <c r="GTL3" s="98"/>
      <c r="GTM3" s="98"/>
      <c r="GTN3" s="98"/>
      <c r="GTO3" s="98"/>
      <c r="GTP3" s="98"/>
      <c r="GTQ3" s="98"/>
      <c r="GTR3" s="98"/>
      <c r="GTS3" s="98"/>
      <c r="GTT3" s="98"/>
      <c r="GTU3" s="98"/>
      <c r="GTV3" s="98"/>
      <c r="GTW3" s="98"/>
      <c r="GTX3" s="98"/>
      <c r="GTY3" s="98"/>
      <c r="GTZ3" s="98"/>
      <c r="GUA3" s="98"/>
      <c r="GUB3" s="98"/>
      <c r="GUC3" s="98"/>
      <c r="GUD3" s="98"/>
      <c r="GUE3" s="98"/>
      <c r="GUF3" s="98"/>
      <c r="GUG3" s="98"/>
      <c r="GUH3" s="98"/>
      <c r="GUI3" s="98"/>
      <c r="GUJ3" s="98"/>
      <c r="GUK3" s="98"/>
      <c r="GUL3" s="98"/>
      <c r="GUM3" s="98"/>
      <c r="GUN3" s="98"/>
      <c r="GUO3" s="98"/>
      <c r="GUP3" s="98"/>
      <c r="GUQ3" s="98"/>
      <c r="GUR3" s="98"/>
      <c r="GUS3" s="98"/>
      <c r="GUT3" s="98"/>
      <c r="GUU3" s="98"/>
      <c r="GUV3" s="98"/>
      <c r="GUW3" s="98"/>
      <c r="GUX3" s="98"/>
      <c r="GUY3" s="98"/>
      <c r="GUZ3" s="98"/>
      <c r="GVA3" s="98"/>
      <c r="GVB3" s="98"/>
      <c r="GVC3" s="98"/>
      <c r="GVD3" s="98"/>
      <c r="GVE3" s="98"/>
      <c r="GVF3" s="98"/>
      <c r="GVG3" s="98"/>
      <c r="GVH3" s="98"/>
      <c r="GVI3" s="98"/>
      <c r="GVJ3" s="98"/>
      <c r="GVK3" s="98"/>
      <c r="GVL3" s="98"/>
      <c r="GVM3" s="98"/>
      <c r="GVN3" s="98"/>
      <c r="GVO3" s="98"/>
      <c r="GVP3" s="98"/>
      <c r="GVQ3" s="98"/>
      <c r="GVR3" s="98"/>
      <c r="GVS3" s="98"/>
      <c r="GVT3" s="98"/>
      <c r="GVU3" s="98"/>
      <c r="GVV3" s="98"/>
      <c r="GVW3" s="98"/>
      <c r="GVX3" s="98"/>
      <c r="GVY3" s="98"/>
      <c r="GVZ3" s="98"/>
      <c r="GWA3" s="98"/>
      <c r="GWB3" s="98"/>
      <c r="GWC3" s="98"/>
      <c r="GWD3" s="98"/>
      <c r="GWE3" s="98"/>
      <c r="GWF3" s="98"/>
      <c r="GWG3" s="98"/>
      <c r="GWH3" s="98"/>
      <c r="GWI3" s="98"/>
      <c r="GWJ3" s="98"/>
      <c r="GWK3" s="98"/>
      <c r="GWL3" s="98"/>
      <c r="GWM3" s="98"/>
      <c r="GWN3" s="98"/>
      <c r="GWO3" s="98"/>
      <c r="GWP3" s="98"/>
      <c r="GWQ3" s="98"/>
      <c r="GWR3" s="98"/>
      <c r="GWS3" s="98"/>
      <c r="GWT3" s="98"/>
      <c r="GWU3" s="98"/>
      <c r="GWV3" s="98"/>
      <c r="GWW3" s="98"/>
      <c r="GWX3" s="98"/>
      <c r="GWY3" s="98"/>
      <c r="GWZ3" s="98"/>
      <c r="GXA3" s="98"/>
      <c r="GXB3" s="98"/>
      <c r="GXC3" s="98"/>
      <c r="GXD3" s="98"/>
      <c r="GXE3" s="98"/>
      <c r="GXF3" s="98"/>
      <c r="GXG3" s="98"/>
      <c r="GXH3" s="98"/>
      <c r="GXI3" s="98"/>
      <c r="GXJ3" s="98"/>
      <c r="GXK3" s="98"/>
      <c r="GXL3" s="98"/>
      <c r="GXM3" s="98"/>
      <c r="GXN3" s="98"/>
      <c r="GXO3" s="98"/>
      <c r="GXP3" s="98"/>
      <c r="GXQ3" s="98"/>
      <c r="GXR3" s="98"/>
      <c r="GXS3" s="98"/>
      <c r="GXT3" s="98"/>
      <c r="GXU3" s="98"/>
      <c r="GXV3" s="98"/>
      <c r="GXW3" s="98"/>
      <c r="GXX3" s="98"/>
      <c r="GXY3" s="98"/>
      <c r="GXZ3" s="98"/>
      <c r="GYA3" s="98"/>
      <c r="GYB3" s="98"/>
      <c r="GYC3" s="98"/>
      <c r="GYD3" s="98"/>
      <c r="GYE3" s="98"/>
      <c r="GYF3" s="98"/>
      <c r="GYG3" s="98"/>
      <c r="GYH3" s="98"/>
      <c r="GYI3" s="98"/>
      <c r="GYJ3" s="98"/>
      <c r="GYK3" s="98"/>
      <c r="GYL3" s="98"/>
      <c r="GYM3" s="98"/>
      <c r="GYN3" s="98"/>
      <c r="GYO3" s="98"/>
      <c r="GYP3" s="98"/>
      <c r="GYQ3" s="98"/>
      <c r="GYR3" s="98"/>
      <c r="GYS3" s="98"/>
      <c r="GYT3" s="98"/>
      <c r="GYU3" s="98"/>
      <c r="GYV3" s="98"/>
      <c r="GYW3" s="98"/>
      <c r="GYX3" s="98"/>
      <c r="GYY3" s="98"/>
      <c r="GYZ3" s="98"/>
      <c r="GZA3" s="98"/>
      <c r="GZB3" s="98"/>
      <c r="GZC3" s="98"/>
      <c r="GZD3" s="98"/>
      <c r="GZE3" s="98"/>
      <c r="GZF3" s="98"/>
      <c r="GZG3" s="98"/>
      <c r="GZH3" s="98"/>
      <c r="GZI3" s="98"/>
      <c r="GZJ3" s="98"/>
      <c r="GZK3" s="98"/>
      <c r="GZL3" s="98"/>
      <c r="GZM3" s="98"/>
      <c r="GZN3" s="98"/>
      <c r="GZO3" s="98"/>
      <c r="GZP3" s="98"/>
      <c r="GZQ3" s="98"/>
      <c r="GZR3" s="98"/>
      <c r="GZS3" s="98"/>
      <c r="GZT3" s="98"/>
      <c r="GZU3" s="98"/>
      <c r="GZV3" s="98"/>
      <c r="GZW3" s="98"/>
      <c r="GZX3" s="98"/>
      <c r="GZY3" s="98"/>
      <c r="GZZ3" s="98"/>
      <c r="HAA3" s="98"/>
      <c r="HAB3" s="98"/>
      <c r="HAC3" s="98"/>
      <c r="HAD3" s="98"/>
      <c r="HAE3" s="98"/>
      <c r="HAF3" s="98"/>
      <c r="HAG3" s="98"/>
      <c r="HAH3" s="98"/>
      <c r="HAI3" s="98"/>
      <c r="HAJ3" s="98"/>
      <c r="HAK3" s="98"/>
      <c r="HAL3" s="98"/>
      <c r="HAM3" s="98"/>
      <c r="HAN3" s="98"/>
      <c r="HAO3" s="98"/>
      <c r="HAP3" s="98"/>
      <c r="HAQ3" s="98"/>
      <c r="HAR3" s="98"/>
      <c r="HAS3" s="98"/>
      <c r="HAT3" s="98"/>
      <c r="HAU3" s="98"/>
      <c r="HAV3" s="98"/>
      <c r="HAW3" s="98"/>
      <c r="HAX3" s="98"/>
      <c r="HAY3" s="98"/>
      <c r="HAZ3" s="98"/>
      <c r="HBA3" s="98"/>
      <c r="HBB3" s="98"/>
      <c r="HBC3" s="98"/>
      <c r="HBD3" s="98"/>
      <c r="HBE3" s="98"/>
      <c r="HBF3" s="98"/>
      <c r="HBG3" s="98"/>
      <c r="HBH3" s="98"/>
      <c r="HBI3" s="98"/>
      <c r="HBJ3" s="98"/>
      <c r="HBK3" s="98"/>
      <c r="HBL3" s="98"/>
      <c r="HBM3" s="98"/>
      <c r="HBN3" s="98"/>
      <c r="HBO3" s="98"/>
      <c r="HBP3" s="98"/>
      <c r="HBQ3" s="98"/>
      <c r="HBR3" s="98"/>
      <c r="HBS3" s="98"/>
      <c r="HBT3" s="98"/>
      <c r="HBU3" s="98"/>
      <c r="HBV3" s="98"/>
      <c r="HBW3" s="98"/>
      <c r="HBX3" s="98"/>
      <c r="HBY3" s="98"/>
      <c r="HBZ3" s="98"/>
      <c r="HCA3" s="98"/>
      <c r="HCB3" s="98"/>
      <c r="HCC3" s="98"/>
      <c r="HCD3" s="98"/>
      <c r="HCE3" s="98"/>
      <c r="HCF3" s="98"/>
      <c r="HCG3" s="98"/>
      <c r="HCH3" s="98"/>
      <c r="HCI3" s="98"/>
      <c r="HCJ3" s="98"/>
      <c r="HCK3" s="98"/>
      <c r="HCL3" s="98"/>
      <c r="HCM3" s="98"/>
      <c r="HCN3" s="98"/>
      <c r="HCO3" s="98"/>
      <c r="HCP3" s="98"/>
      <c r="HCQ3" s="98"/>
      <c r="HCR3" s="98"/>
      <c r="HCS3" s="98"/>
      <c r="HCT3" s="98"/>
      <c r="HCU3" s="98"/>
      <c r="HCV3" s="98"/>
      <c r="HCW3" s="98"/>
      <c r="HCX3" s="98"/>
      <c r="HCY3" s="98"/>
      <c r="HCZ3" s="98"/>
      <c r="HDA3" s="98"/>
      <c r="HDB3" s="98"/>
      <c r="HDC3" s="98"/>
      <c r="HDD3" s="98"/>
      <c r="HDE3" s="98"/>
      <c r="HDF3" s="98"/>
      <c r="HDG3" s="98"/>
      <c r="HDH3" s="98"/>
      <c r="HDI3" s="98"/>
      <c r="HDJ3" s="98"/>
      <c r="HDK3" s="98"/>
      <c r="HDL3" s="98"/>
      <c r="HDM3" s="98"/>
      <c r="HDN3" s="98"/>
      <c r="HDO3" s="98"/>
      <c r="HDP3" s="98"/>
      <c r="HDQ3" s="98"/>
      <c r="HDR3" s="98"/>
      <c r="HDS3" s="98"/>
      <c r="HDT3" s="98"/>
      <c r="HDU3" s="98"/>
      <c r="HDV3" s="98"/>
      <c r="HDW3" s="98"/>
      <c r="HDX3" s="98"/>
      <c r="HDY3" s="98"/>
      <c r="HDZ3" s="98"/>
      <c r="HEA3" s="98"/>
      <c r="HEB3" s="98"/>
      <c r="HEC3" s="98"/>
      <c r="HED3" s="98"/>
      <c r="HEE3" s="98"/>
      <c r="HEF3" s="98"/>
      <c r="HEG3" s="98"/>
      <c r="HEH3" s="98"/>
      <c r="HEI3" s="98"/>
      <c r="HEJ3" s="98"/>
      <c r="HEK3" s="98"/>
      <c r="HEL3" s="98"/>
      <c r="HEM3" s="98"/>
      <c r="HEN3" s="98"/>
      <c r="HEO3" s="98"/>
      <c r="HEP3" s="98"/>
      <c r="HEQ3" s="98"/>
      <c r="HER3" s="98"/>
      <c r="HES3" s="98"/>
      <c r="HET3" s="98"/>
      <c r="HEU3" s="98"/>
      <c r="HEV3" s="98"/>
      <c r="HEW3" s="98"/>
      <c r="HEX3" s="98"/>
      <c r="HEY3" s="98"/>
      <c r="HEZ3" s="98"/>
      <c r="HFA3" s="98"/>
      <c r="HFB3" s="98"/>
      <c r="HFC3" s="98"/>
      <c r="HFD3" s="98"/>
      <c r="HFE3" s="98"/>
      <c r="HFF3" s="98"/>
      <c r="HFG3" s="98"/>
      <c r="HFH3" s="98"/>
      <c r="HFI3" s="98"/>
      <c r="HFJ3" s="98"/>
      <c r="HFK3" s="98"/>
      <c r="HFL3" s="98"/>
      <c r="HFM3" s="98"/>
      <c r="HFN3" s="98"/>
      <c r="HFO3" s="98"/>
      <c r="HFP3" s="98"/>
      <c r="HFQ3" s="98"/>
      <c r="HFR3" s="98"/>
      <c r="HFS3" s="98"/>
      <c r="HFT3" s="98"/>
      <c r="HFU3" s="98"/>
      <c r="HFV3" s="98"/>
      <c r="HFW3" s="98"/>
      <c r="HFX3" s="98"/>
      <c r="HFY3" s="98"/>
      <c r="HFZ3" s="98"/>
      <c r="HGA3" s="98"/>
      <c r="HGB3" s="98"/>
      <c r="HGC3" s="98"/>
      <c r="HGD3" s="98"/>
      <c r="HGE3" s="98"/>
      <c r="HGF3" s="98"/>
      <c r="HGG3" s="98"/>
      <c r="HGH3" s="98"/>
      <c r="HGI3" s="98"/>
      <c r="HGJ3" s="98"/>
      <c r="HGK3" s="98"/>
      <c r="HGL3" s="98"/>
      <c r="HGM3" s="98"/>
      <c r="HGN3" s="98"/>
      <c r="HGO3" s="98"/>
      <c r="HGP3" s="98"/>
      <c r="HGQ3" s="98"/>
      <c r="HGR3" s="98"/>
      <c r="HGS3" s="98"/>
      <c r="HGT3" s="98"/>
      <c r="HGU3" s="98"/>
      <c r="HGV3" s="98"/>
      <c r="HGW3" s="98"/>
      <c r="HGX3" s="98"/>
      <c r="HGY3" s="98"/>
      <c r="HGZ3" s="98"/>
      <c r="HHA3" s="98"/>
      <c r="HHB3" s="98"/>
      <c r="HHC3" s="98"/>
      <c r="HHD3" s="98"/>
      <c r="HHE3" s="98"/>
      <c r="HHF3" s="98"/>
      <c r="HHG3" s="98"/>
      <c r="HHH3" s="98"/>
      <c r="HHI3" s="98"/>
      <c r="HHJ3" s="98"/>
      <c r="HHK3" s="98"/>
      <c r="HHL3" s="98"/>
      <c r="HHM3" s="98"/>
      <c r="HHN3" s="98"/>
      <c r="HHO3" s="98"/>
      <c r="HHP3" s="98"/>
      <c r="HHQ3" s="98"/>
      <c r="HHR3" s="98"/>
      <c r="HHS3" s="98"/>
      <c r="HHT3" s="98"/>
      <c r="HHU3" s="98"/>
      <c r="HHV3" s="98"/>
      <c r="HHW3" s="98"/>
      <c r="HHX3" s="98"/>
      <c r="HHY3" s="98"/>
      <c r="HHZ3" s="98"/>
      <c r="HIA3" s="98"/>
      <c r="HIB3" s="98"/>
      <c r="HIC3" s="98"/>
      <c r="HID3" s="98"/>
      <c r="HIE3" s="98"/>
      <c r="HIF3" s="98"/>
      <c r="HIG3" s="98"/>
      <c r="HIH3" s="98"/>
      <c r="HII3" s="98"/>
      <c r="HIJ3" s="98"/>
      <c r="HIK3" s="98"/>
      <c r="HIL3" s="98"/>
      <c r="HIM3" s="98"/>
      <c r="HIN3" s="98"/>
      <c r="HIO3" s="98"/>
      <c r="HIP3" s="98"/>
      <c r="HIQ3" s="98"/>
      <c r="HIR3" s="98"/>
      <c r="HIS3" s="98"/>
      <c r="HIT3" s="98"/>
      <c r="HIU3" s="98"/>
      <c r="HIV3" s="98"/>
      <c r="HIW3" s="98"/>
      <c r="HIX3" s="98"/>
      <c r="HIY3" s="98"/>
      <c r="HIZ3" s="98"/>
      <c r="HJA3" s="98"/>
      <c r="HJB3" s="98"/>
      <c r="HJC3" s="98"/>
      <c r="HJD3" s="98"/>
      <c r="HJE3" s="98"/>
      <c r="HJF3" s="98"/>
      <c r="HJG3" s="98"/>
      <c r="HJH3" s="98"/>
      <c r="HJI3" s="98"/>
      <c r="HJJ3" s="98"/>
      <c r="HJK3" s="98"/>
      <c r="HJL3" s="98"/>
      <c r="HJM3" s="98"/>
      <c r="HJN3" s="98"/>
      <c r="HJO3" s="98"/>
      <c r="HJP3" s="98"/>
      <c r="HJQ3" s="98"/>
      <c r="HJR3" s="98"/>
      <c r="HJS3" s="98"/>
      <c r="HJT3" s="98"/>
      <c r="HJU3" s="98"/>
      <c r="HJV3" s="98"/>
      <c r="HJW3" s="98"/>
      <c r="HJX3" s="98"/>
      <c r="HJY3" s="98"/>
      <c r="HJZ3" s="98"/>
      <c r="HKA3" s="98"/>
      <c r="HKB3" s="98"/>
      <c r="HKC3" s="98"/>
      <c r="HKD3" s="98"/>
      <c r="HKE3" s="98"/>
      <c r="HKF3" s="98"/>
      <c r="HKG3" s="98"/>
      <c r="HKH3" s="98"/>
      <c r="HKI3" s="98"/>
      <c r="HKJ3" s="98"/>
      <c r="HKK3" s="98"/>
      <c r="HKL3" s="98"/>
      <c r="HKM3" s="98"/>
      <c r="HKN3" s="98"/>
      <c r="HKO3" s="98"/>
      <c r="HKP3" s="98"/>
      <c r="HKQ3" s="98"/>
      <c r="HKR3" s="98"/>
      <c r="HKS3" s="98"/>
      <c r="HKT3" s="98"/>
      <c r="HKU3" s="98"/>
      <c r="HKV3" s="98"/>
      <c r="HKW3" s="98"/>
      <c r="HKX3" s="98"/>
      <c r="HKY3" s="98"/>
      <c r="HKZ3" s="98"/>
      <c r="HLA3" s="98"/>
      <c r="HLB3" s="98"/>
      <c r="HLC3" s="98"/>
      <c r="HLD3" s="98"/>
      <c r="HLE3" s="98"/>
      <c r="HLF3" s="98"/>
      <c r="HLG3" s="98"/>
      <c r="HLH3" s="98"/>
      <c r="HLI3" s="98"/>
      <c r="HLJ3" s="98"/>
      <c r="HLK3" s="98"/>
      <c r="HLL3" s="98"/>
      <c r="HLM3" s="98"/>
      <c r="HLN3" s="98"/>
      <c r="HLO3" s="98"/>
      <c r="HLP3" s="98"/>
      <c r="HLQ3" s="98"/>
      <c r="HLR3" s="98"/>
      <c r="HLS3" s="98"/>
      <c r="HLT3" s="98"/>
      <c r="HLU3" s="98"/>
      <c r="HLV3" s="98"/>
      <c r="HLW3" s="98"/>
      <c r="HLX3" s="98"/>
      <c r="HLY3" s="98"/>
      <c r="HLZ3" s="98"/>
      <c r="HMA3" s="98"/>
      <c r="HMB3" s="98"/>
      <c r="HMC3" s="98"/>
      <c r="HMD3" s="98"/>
      <c r="HME3" s="98"/>
      <c r="HMF3" s="98"/>
      <c r="HMG3" s="98"/>
      <c r="HMH3" s="98"/>
      <c r="HMI3" s="98"/>
      <c r="HMJ3" s="98"/>
      <c r="HMK3" s="98"/>
      <c r="HML3" s="98"/>
      <c r="HMM3" s="98"/>
      <c r="HMN3" s="98"/>
      <c r="HMO3" s="98"/>
      <c r="HMP3" s="98"/>
      <c r="HMQ3" s="98"/>
      <c r="HMR3" s="98"/>
      <c r="HMS3" s="98"/>
      <c r="HMT3" s="98"/>
      <c r="HMU3" s="98"/>
      <c r="HMV3" s="98"/>
      <c r="HMW3" s="98"/>
      <c r="HMX3" s="98"/>
      <c r="HMY3" s="98"/>
      <c r="HMZ3" s="98"/>
      <c r="HNA3" s="98"/>
      <c r="HNB3" s="98"/>
      <c r="HNC3" s="98"/>
      <c r="HND3" s="98"/>
      <c r="HNE3" s="98"/>
      <c r="HNF3" s="98"/>
      <c r="HNG3" s="98"/>
      <c r="HNH3" s="98"/>
      <c r="HNI3" s="98"/>
      <c r="HNJ3" s="98"/>
      <c r="HNK3" s="98"/>
      <c r="HNL3" s="98"/>
      <c r="HNM3" s="98"/>
      <c r="HNN3" s="98"/>
      <c r="HNO3" s="98"/>
      <c r="HNP3" s="98"/>
      <c r="HNQ3" s="98"/>
      <c r="HNR3" s="98"/>
      <c r="HNS3" s="98"/>
      <c r="HNT3" s="98"/>
      <c r="HNU3" s="98"/>
      <c r="HNV3" s="98"/>
      <c r="HNW3" s="98"/>
      <c r="HNX3" s="98"/>
      <c r="HNY3" s="98"/>
      <c r="HNZ3" s="98"/>
      <c r="HOA3" s="98"/>
      <c r="HOB3" s="98"/>
      <c r="HOC3" s="98"/>
      <c r="HOD3" s="98"/>
      <c r="HOE3" s="98"/>
      <c r="HOF3" s="98"/>
      <c r="HOG3" s="98"/>
      <c r="HOH3" s="98"/>
      <c r="HOI3" s="98"/>
      <c r="HOJ3" s="98"/>
      <c r="HOK3" s="98"/>
      <c r="HOL3" s="98"/>
      <c r="HOM3" s="98"/>
      <c r="HON3" s="98"/>
      <c r="HOO3" s="98"/>
      <c r="HOP3" s="98"/>
      <c r="HOQ3" s="98"/>
      <c r="HOR3" s="98"/>
      <c r="HOS3" s="98"/>
      <c r="HOT3" s="98"/>
      <c r="HOU3" s="98"/>
      <c r="HOV3" s="98"/>
      <c r="HOW3" s="98"/>
      <c r="HOX3" s="98"/>
      <c r="HOY3" s="98"/>
      <c r="HOZ3" s="98"/>
      <c r="HPA3" s="98"/>
      <c r="HPB3" s="98"/>
      <c r="HPC3" s="98"/>
      <c r="HPD3" s="98"/>
      <c r="HPE3" s="98"/>
      <c r="HPF3" s="98"/>
      <c r="HPG3" s="98"/>
      <c r="HPH3" s="98"/>
      <c r="HPI3" s="98"/>
      <c r="HPJ3" s="98"/>
      <c r="HPK3" s="98"/>
      <c r="HPL3" s="98"/>
      <c r="HPM3" s="98"/>
      <c r="HPN3" s="98"/>
      <c r="HPO3" s="98"/>
      <c r="HPP3" s="98"/>
      <c r="HPQ3" s="98"/>
      <c r="HPR3" s="98"/>
      <c r="HPS3" s="98"/>
      <c r="HPT3" s="98"/>
      <c r="HPU3" s="98"/>
      <c r="HPV3" s="98"/>
      <c r="HPW3" s="98"/>
      <c r="HPX3" s="98"/>
      <c r="HPY3" s="98"/>
      <c r="HPZ3" s="98"/>
      <c r="HQA3" s="98"/>
      <c r="HQB3" s="98"/>
      <c r="HQC3" s="98"/>
      <c r="HQD3" s="98"/>
      <c r="HQE3" s="98"/>
      <c r="HQF3" s="98"/>
      <c r="HQG3" s="98"/>
      <c r="HQH3" s="98"/>
      <c r="HQI3" s="98"/>
      <c r="HQJ3" s="98"/>
      <c r="HQK3" s="98"/>
      <c r="HQL3" s="98"/>
      <c r="HQM3" s="98"/>
      <c r="HQN3" s="98"/>
      <c r="HQO3" s="98"/>
      <c r="HQP3" s="98"/>
      <c r="HQQ3" s="98"/>
      <c r="HQR3" s="98"/>
      <c r="HQS3" s="98"/>
      <c r="HQT3" s="98"/>
      <c r="HQU3" s="98"/>
      <c r="HQV3" s="98"/>
      <c r="HQW3" s="98"/>
      <c r="HQX3" s="98"/>
      <c r="HQY3" s="98"/>
      <c r="HQZ3" s="98"/>
      <c r="HRA3" s="98"/>
      <c r="HRB3" s="98"/>
      <c r="HRC3" s="98"/>
      <c r="HRD3" s="98"/>
      <c r="HRE3" s="98"/>
      <c r="HRF3" s="98"/>
      <c r="HRG3" s="98"/>
      <c r="HRH3" s="98"/>
      <c r="HRI3" s="98"/>
      <c r="HRJ3" s="98"/>
      <c r="HRK3" s="98"/>
      <c r="HRL3" s="98"/>
      <c r="HRM3" s="98"/>
      <c r="HRN3" s="98"/>
      <c r="HRO3" s="98"/>
      <c r="HRP3" s="98"/>
      <c r="HRQ3" s="98"/>
      <c r="HRR3" s="98"/>
      <c r="HRS3" s="98"/>
      <c r="HRT3" s="98"/>
      <c r="HRU3" s="98"/>
      <c r="HRV3" s="98"/>
      <c r="HRW3" s="98"/>
      <c r="HRX3" s="98"/>
      <c r="HRY3" s="98"/>
      <c r="HRZ3" s="98"/>
      <c r="HSA3" s="98"/>
      <c r="HSB3" s="98"/>
      <c r="HSC3" s="98"/>
      <c r="HSD3" s="98"/>
      <c r="HSE3" s="98"/>
      <c r="HSF3" s="98"/>
      <c r="HSG3" s="98"/>
      <c r="HSH3" s="98"/>
      <c r="HSI3" s="98"/>
      <c r="HSJ3" s="98"/>
      <c r="HSK3" s="98"/>
      <c r="HSL3" s="98"/>
      <c r="HSM3" s="98"/>
      <c r="HSN3" s="98"/>
      <c r="HSO3" s="98"/>
      <c r="HSP3" s="98"/>
      <c r="HSQ3" s="98"/>
      <c r="HSR3" s="98"/>
      <c r="HSS3" s="98"/>
      <c r="HST3" s="98"/>
      <c r="HSU3" s="98"/>
      <c r="HSV3" s="98"/>
      <c r="HSW3" s="98"/>
      <c r="HSX3" s="98"/>
      <c r="HSY3" s="98"/>
      <c r="HSZ3" s="98"/>
      <c r="HTA3" s="98"/>
      <c r="HTB3" s="98"/>
      <c r="HTC3" s="98"/>
      <c r="HTD3" s="98"/>
      <c r="HTE3" s="98"/>
      <c r="HTF3" s="98"/>
      <c r="HTG3" s="98"/>
      <c r="HTH3" s="98"/>
      <c r="HTI3" s="98"/>
      <c r="HTJ3" s="98"/>
      <c r="HTK3" s="98"/>
      <c r="HTL3" s="98"/>
      <c r="HTM3" s="98"/>
      <c r="HTN3" s="98"/>
      <c r="HTO3" s="98"/>
      <c r="HTP3" s="98"/>
      <c r="HTQ3" s="98"/>
      <c r="HTR3" s="98"/>
      <c r="HTS3" s="98"/>
      <c r="HTT3" s="98"/>
      <c r="HTU3" s="98"/>
      <c r="HTV3" s="98"/>
      <c r="HTW3" s="98"/>
      <c r="HTX3" s="98"/>
      <c r="HTY3" s="98"/>
      <c r="HTZ3" s="98"/>
      <c r="HUA3" s="98"/>
      <c r="HUB3" s="98"/>
      <c r="HUC3" s="98"/>
      <c r="HUD3" s="98"/>
      <c r="HUE3" s="98"/>
      <c r="HUF3" s="98"/>
      <c r="HUG3" s="98"/>
      <c r="HUH3" s="98"/>
      <c r="HUI3" s="98"/>
      <c r="HUJ3" s="98"/>
      <c r="HUK3" s="98"/>
      <c r="HUL3" s="98"/>
      <c r="HUM3" s="98"/>
      <c r="HUN3" s="98"/>
      <c r="HUO3" s="98"/>
      <c r="HUP3" s="98"/>
      <c r="HUQ3" s="98"/>
      <c r="HUR3" s="98"/>
      <c r="HUS3" s="98"/>
      <c r="HUT3" s="98"/>
      <c r="HUU3" s="98"/>
      <c r="HUV3" s="98"/>
      <c r="HUW3" s="98"/>
      <c r="HUX3" s="98"/>
      <c r="HUY3" s="98"/>
      <c r="HUZ3" s="98"/>
      <c r="HVA3" s="98"/>
      <c r="HVB3" s="98"/>
      <c r="HVC3" s="98"/>
      <c r="HVD3" s="98"/>
      <c r="HVE3" s="98"/>
      <c r="HVF3" s="98"/>
      <c r="HVG3" s="98"/>
      <c r="HVH3" s="98"/>
      <c r="HVI3" s="98"/>
      <c r="HVJ3" s="98"/>
      <c r="HVK3" s="98"/>
      <c r="HVL3" s="98"/>
      <c r="HVM3" s="98"/>
      <c r="HVN3" s="98"/>
      <c r="HVO3" s="98"/>
      <c r="HVP3" s="98"/>
      <c r="HVQ3" s="98"/>
      <c r="HVR3" s="98"/>
      <c r="HVS3" s="98"/>
      <c r="HVT3" s="98"/>
      <c r="HVU3" s="98"/>
      <c r="HVV3" s="98"/>
      <c r="HVW3" s="98"/>
      <c r="HVX3" s="98"/>
      <c r="HVY3" s="98"/>
      <c r="HVZ3" s="98"/>
      <c r="HWA3" s="98"/>
      <c r="HWB3" s="98"/>
      <c r="HWC3" s="98"/>
      <c r="HWD3" s="98"/>
      <c r="HWE3" s="98"/>
      <c r="HWF3" s="98"/>
      <c r="HWG3" s="98"/>
      <c r="HWH3" s="98"/>
      <c r="HWI3" s="98"/>
      <c r="HWJ3" s="98"/>
      <c r="HWK3" s="98"/>
      <c r="HWL3" s="98"/>
      <c r="HWM3" s="98"/>
      <c r="HWN3" s="98"/>
      <c r="HWO3" s="98"/>
      <c r="HWP3" s="98"/>
      <c r="HWQ3" s="98"/>
      <c r="HWR3" s="98"/>
      <c r="HWS3" s="98"/>
      <c r="HWT3" s="98"/>
      <c r="HWU3" s="98"/>
      <c r="HWV3" s="98"/>
      <c r="HWW3" s="98"/>
      <c r="HWX3" s="98"/>
      <c r="HWY3" s="98"/>
      <c r="HWZ3" s="98"/>
      <c r="HXA3" s="98"/>
      <c r="HXB3" s="98"/>
      <c r="HXC3" s="98"/>
      <c r="HXD3" s="98"/>
      <c r="HXE3" s="98"/>
      <c r="HXF3" s="98"/>
      <c r="HXG3" s="98"/>
      <c r="HXH3" s="98"/>
      <c r="HXI3" s="98"/>
      <c r="HXJ3" s="98"/>
      <c r="HXK3" s="98"/>
      <c r="HXL3" s="98"/>
      <c r="HXM3" s="98"/>
      <c r="HXN3" s="98"/>
      <c r="HXO3" s="98"/>
      <c r="HXP3" s="98"/>
      <c r="HXQ3" s="98"/>
      <c r="HXR3" s="98"/>
      <c r="HXS3" s="98"/>
      <c r="HXT3" s="98"/>
      <c r="HXU3" s="98"/>
      <c r="HXV3" s="98"/>
      <c r="HXW3" s="98"/>
      <c r="HXX3" s="98"/>
      <c r="HXY3" s="98"/>
      <c r="HXZ3" s="98"/>
      <c r="HYA3" s="98"/>
      <c r="HYB3" s="98"/>
      <c r="HYC3" s="98"/>
      <c r="HYD3" s="98"/>
      <c r="HYE3" s="98"/>
      <c r="HYF3" s="98"/>
      <c r="HYG3" s="98"/>
      <c r="HYH3" s="98"/>
      <c r="HYI3" s="98"/>
      <c r="HYJ3" s="98"/>
      <c r="HYK3" s="98"/>
      <c r="HYL3" s="98"/>
      <c r="HYM3" s="98"/>
      <c r="HYN3" s="98"/>
      <c r="HYO3" s="98"/>
      <c r="HYP3" s="98"/>
      <c r="HYQ3" s="98"/>
      <c r="HYR3" s="98"/>
      <c r="HYS3" s="98"/>
      <c r="HYT3" s="98"/>
      <c r="HYU3" s="98"/>
      <c r="HYV3" s="98"/>
      <c r="HYW3" s="98"/>
      <c r="HYX3" s="98"/>
      <c r="HYY3" s="98"/>
      <c r="HYZ3" s="98"/>
      <c r="HZA3" s="98"/>
      <c r="HZB3" s="98"/>
      <c r="HZC3" s="98"/>
      <c r="HZD3" s="98"/>
      <c r="HZE3" s="98"/>
      <c r="HZF3" s="98"/>
      <c r="HZG3" s="98"/>
      <c r="HZH3" s="98"/>
      <c r="HZI3" s="98"/>
      <c r="HZJ3" s="98"/>
      <c r="HZK3" s="98"/>
      <c r="HZL3" s="98"/>
      <c r="HZM3" s="98"/>
      <c r="HZN3" s="98"/>
      <c r="HZO3" s="98"/>
      <c r="HZP3" s="98"/>
      <c r="HZQ3" s="98"/>
      <c r="HZR3" s="98"/>
      <c r="HZS3" s="98"/>
      <c r="HZT3" s="98"/>
      <c r="HZU3" s="98"/>
      <c r="HZV3" s="98"/>
      <c r="HZW3" s="98"/>
      <c r="HZX3" s="98"/>
      <c r="HZY3" s="98"/>
      <c r="HZZ3" s="98"/>
      <c r="IAA3" s="98"/>
      <c r="IAB3" s="98"/>
      <c r="IAC3" s="98"/>
      <c r="IAD3" s="98"/>
      <c r="IAE3" s="98"/>
      <c r="IAF3" s="98"/>
      <c r="IAG3" s="98"/>
      <c r="IAH3" s="98"/>
      <c r="IAI3" s="98"/>
      <c r="IAJ3" s="98"/>
      <c r="IAK3" s="98"/>
      <c r="IAL3" s="98"/>
      <c r="IAM3" s="98"/>
      <c r="IAN3" s="98"/>
      <c r="IAO3" s="98"/>
      <c r="IAP3" s="98"/>
      <c r="IAQ3" s="98"/>
      <c r="IAR3" s="98"/>
      <c r="IAS3" s="98"/>
      <c r="IAT3" s="98"/>
      <c r="IAU3" s="98"/>
      <c r="IAV3" s="98"/>
      <c r="IAW3" s="98"/>
      <c r="IAX3" s="98"/>
      <c r="IAY3" s="98"/>
      <c r="IAZ3" s="98"/>
      <c r="IBA3" s="98"/>
      <c r="IBB3" s="98"/>
      <c r="IBC3" s="98"/>
      <c r="IBD3" s="98"/>
      <c r="IBE3" s="98"/>
      <c r="IBF3" s="98"/>
      <c r="IBG3" s="98"/>
      <c r="IBH3" s="98"/>
      <c r="IBI3" s="98"/>
      <c r="IBJ3" s="98"/>
      <c r="IBK3" s="98"/>
      <c r="IBL3" s="98"/>
      <c r="IBM3" s="98"/>
      <c r="IBN3" s="98"/>
      <c r="IBO3" s="98"/>
      <c r="IBP3" s="98"/>
      <c r="IBQ3" s="98"/>
      <c r="IBR3" s="98"/>
      <c r="IBS3" s="98"/>
      <c r="IBT3" s="98"/>
      <c r="IBU3" s="98"/>
      <c r="IBV3" s="98"/>
      <c r="IBW3" s="98"/>
      <c r="IBX3" s="98"/>
      <c r="IBY3" s="98"/>
      <c r="IBZ3" s="98"/>
      <c r="ICA3" s="98"/>
      <c r="ICB3" s="98"/>
      <c r="ICC3" s="98"/>
      <c r="ICD3" s="98"/>
      <c r="ICE3" s="98"/>
      <c r="ICF3" s="98"/>
      <c r="ICG3" s="98"/>
      <c r="ICH3" s="98"/>
      <c r="ICI3" s="98"/>
      <c r="ICJ3" s="98"/>
      <c r="ICK3" s="98"/>
      <c r="ICL3" s="98"/>
      <c r="ICM3" s="98"/>
      <c r="ICN3" s="98"/>
      <c r="ICO3" s="98"/>
      <c r="ICP3" s="98"/>
      <c r="ICQ3" s="98"/>
      <c r="ICR3" s="98"/>
      <c r="ICS3" s="98"/>
      <c r="ICT3" s="98"/>
      <c r="ICU3" s="98"/>
      <c r="ICV3" s="98"/>
      <c r="ICW3" s="98"/>
      <c r="ICX3" s="98"/>
      <c r="ICY3" s="98"/>
      <c r="ICZ3" s="98"/>
      <c r="IDA3" s="98"/>
      <c r="IDB3" s="98"/>
      <c r="IDC3" s="98"/>
      <c r="IDD3" s="98"/>
      <c r="IDE3" s="98"/>
      <c r="IDF3" s="98"/>
      <c r="IDG3" s="98"/>
      <c r="IDH3" s="98"/>
      <c r="IDI3" s="98"/>
      <c r="IDJ3" s="98"/>
      <c r="IDK3" s="98"/>
      <c r="IDL3" s="98"/>
      <c r="IDM3" s="98"/>
      <c r="IDN3" s="98"/>
      <c r="IDO3" s="98"/>
      <c r="IDP3" s="98"/>
      <c r="IDQ3" s="98"/>
      <c r="IDR3" s="98"/>
      <c r="IDS3" s="98"/>
      <c r="IDT3" s="98"/>
      <c r="IDU3" s="98"/>
      <c r="IDV3" s="98"/>
      <c r="IDW3" s="98"/>
      <c r="IDX3" s="98"/>
      <c r="IDY3" s="98"/>
      <c r="IDZ3" s="98"/>
      <c r="IEA3" s="98"/>
      <c r="IEB3" s="98"/>
      <c r="IEC3" s="98"/>
      <c r="IED3" s="98"/>
      <c r="IEE3" s="98"/>
      <c r="IEF3" s="98"/>
      <c r="IEG3" s="98"/>
      <c r="IEH3" s="98"/>
      <c r="IEI3" s="98"/>
      <c r="IEJ3" s="98"/>
      <c r="IEK3" s="98"/>
      <c r="IEL3" s="98"/>
      <c r="IEM3" s="98"/>
      <c r="IEN3" s="98"/>
      <c r="IEO3" s="98"/>
      <c r="IEP3" s="98"/>
      <c r="IEQ3" s="98"/>
      <c r="IER3" s="98"/>
      <c r="IES3" s="98"/>
      <c r="IET3" s="98"/>
      <c r="IEU3" s="98"/>
      <c r="IEV3" s="98"/>
      <c r="IEW3" s="98"/>
      <c r="IEX3" s="98"/>
      <c r="IEY3" s="98"/>
      <c r="IEZ3" s="98"/>
      <c r="IFA3" s="98"/>
      <c r="IFB3" s="98"/>
      <c r="IFC3" s="98"/>
      <c r="IFD3" s="98"/>
      <c r="IFE3" s="98"/>
      <c r="IFF3" s="98"/>
      <c r="IFG3" s="98"/>
      <c r="IFH3" s="98"/>
      <c r="IFI3" s="98"/>
      <c r="IFJ3" s="98"/>
      <c r="IFK3" s="98"/>
      <c r="IFL3" s="98"/>
      <c r="IFM3" s="98"/>
      <c r="IFN3" s="98"/>
      <c r="IFO3" s="98"/>
      <c r="IFP3" s="98"/>
      <c r="IFQ3" s="98"/>
      <c r="IFR3" s="98"/>
      <c r="IFS3" s="98"/>
      <c r="IFT3" s="98"/>
      <c r="IFU3" s="98"/>
      <c r="IFV3" s="98"/>
      <c r="IFW3" s="98"/>
      <c r="IFX3" s="98"/>
      <c r="IFY3" s="98"/>
      <c r="IFZ3" s="98"/>
      <c r="IGA3" s="98"/>
      <c r="IGB3" s="98"/>
      <c r="IGC3" s="98"/>
      <c r="IGD3" s="98"/>
      <c r="IGE3" s="98"/>
      <c r="IGF3" s="98"/>
      <c r="IGG3" s="98"/>
      <c r="IGH3" s="98"/>
      <c r="IGI3" s="98"/>
      <c r="IGJ3" s="98"/>
      <c r="IGK3" s="98"/>
      <c r="IGL3" s="98"/>
      <c r="IGM3" s="98"/>
      <c r="IGN3" s="98"/>
      <c r="IGO3" s="98"/>
      <c r="IGP3" s="98"/>
      <c r="IGQ3" s="98"/>
      <c r="IGR3" s="98"/>
      <c r="IGS3" s="98"/>
      <c r="IGT3" s="98"/>
      <c r="IGU3" s="98"/>
      <c r="IGV3" s="98"/>
      <c r="IGW3" s="98"/>
      <c r="IGX3" s="98"/>
      <c r="IGY3" s="98"/>
      <c r="IGZ3" s="98"/>
      <c r="IHA3" s="98"/>
      <c r="IHB3" s="98"/>
      <c r="IHC3" s="98"/>
      <c r="IHD3" s="98"/>
      <c r="IHE3" s="98"/>
      <c r="IHF3" s="98"/>
      <c r="IHG3" s="98"/>
      <c r="IHH3" s="98"/>
      <c r="IHI3" s="98"/>
      <c r="IHJ3" s="98"/>
      <c r="IHK3" s="98"/>
      <c r="IHL3" s="98"/>
      <c r="IHM3" s="98"/>
      <c r="IHN3" s="98"/>
      <c r="IHO3" s="98"/>
      <c r="IHP3" s="98"/>
      <c r="IHQ3" s="98"/>
      <c r="IHR3" s="98"/>
      <c r="IHS3" s="98"/>
      <c r="IHT3" s="98"/>
      <c r="IHU3" s="98"/>
      <c r="IHV3" s="98"/>
      <c r="IHW3" s="98"/>
      <c r="IHX3" s="98"/>
      <c r="IHY3" s="98"/>
      <c r="IHZ3" s="98"/>
      <c r="IIA3" s="98"/>
      <c r="IIB3" s="98"/>
      <c r="IIC3" s="98"/>
      <c r="IID3" s="98"/>
      <c r="IIE3" s="98"/>
      <c r="IIF3" s="98"/>
      <c r="IIG3" s="98"/>
      <c r="IIH3" s="98"/>
      <c r="III3" s="98"/>
      <c r="IIJ3" s="98"/>
      <c r="IIK3" s="98"/>
      <c r="IIL3" s="98"/>
      <c r="IIM3" s="98"/>
      <c r="IIN3" s="98"/>
      <c r="IIO3" s="98"/>
      <c r="IIP3" s="98"/>
      <c r="IIQ3" s="98"/>
      <c r="IIR3" s="98"/>
      <c r="IIS3" s="98"/>
      <c r="IIT3" s="98"/>
      <c r="IIU3" s="98"/>
      <c r="IIV3" s="98"/>
      <c r="IIW3" s="98"/>
      <c r="IIX3" s="98"/>
      <c r="IIY3" s="98"/>
      <c r="IIZ3" s="98"/>
      <c r="IJA3" s="98"/>
      <c r="IJB3" s="98"/>
      <c r="IJC3" s="98"/>
      <c r="IJD3" s="98"/>
      <c r="IJE3" s="98"/>
      <c r="IJF3" s="98"/>
      <c r="IJG3" s="98"/>
      <c r="IJH3" s="98"/>
      <c r="IJI3" s="98"/>
      <c r="IJJ3" s="98"/>
      <c r="IJK3" s="98"/>
      <c r="IJL3" s="98"/>
      <c r="IJM3" s="98"/>
      <c r="IJN3" s="98"/>
      <c r="IJO3" s="98"/>
      <c r="IJP3" s="98"/>
      <c r="IJQ3" s="98"/>
      <c r="IJR3" s="98"/>
      <c r="IJS3" s="98"/>
      <c r="IJT3" s="98"/>
      <c r="IJU3" s="98"/>
      <c r="IJV3" s="98"/>
      <c r="IJW3" s="98"/>
      <c r="IJX3" s="98"/>
      <c r="IJY3" s="98"/>
      <c r="IJZ3" s="98"/>
      <c r="IKA3" s="98"/>
      <c r="IKB3" s="98"/>
      <c r="IKC3" s="98"/>
      <c r="IKD3" s="98"/>
      <c r="IKE3" s="98"/>
      <c r="IKF3" s="98"/>
      <c r="IKG3" s="98"/>
      <c r="IKH3" s="98"/>
      <c r="IKI3" s="98"/>
      <c r="IKJ3" s="98"/>
      <c r="IKK3" s="98"/>
      <c r="IKL3" s="98"/>
      <c r="IKM3" s="98"/>
      <c r="IKN3" s="98"/>
      <c r="IKO3" s="98"/>
      <c r="IKP3" s="98"/>
      <c r="IKQ3" s="98"/>
      <c r="IKR3" s="98"/>
      <c r="IKS3" s="98"/>
      <c r="IKT3" s="98"/>
      <c r="IKU3" s="98"/>
      <c r="IKV3" s="98"/>
      <c r="IKW3" s="98"/>
      <c r="IKX3" s="98"/>
      <c r="IKY3" s="98"/>
      <c r="IKZ3" s="98"/>
      <c r="ILA3" s="98"/>
      <c r="ILB3" s="98"/>
      <c r="ILC3" s="98"/>
      <c r="ILD3" s="98"/>
      <c r="ILE3" s="98"/>
      <c r="ILF3" s="98"/>
      <c r="ILG3" s="98"/>
      <c r="ILH3" s="98"/>
      <c r="ILI3" s="98"/>
      <c r="ILJ3" s="98"/>
      <c r="ILK3" s="98"/>
      <c r="ILL3" s="98"/>
      <c r="ILM3" s="98"/>
      <c r="ILN3" s="98"/>
      <c r="ILO3" s="98"/>
      <c r="ILP3" s="98"/>
      <c r="ILQ3" s="98"/>
      <c r="ILR3" s="98"/>
      <c r="ILS3" s="98"/>
      <c r="ILT3" s="98"/>
      <c r="ILU3" s="98"/>
      <c r="ILV3" s="98"/>
      <c r="ILW3" s="98"/>
      <c r="ILX3" s="98"/>
      <c r="ILY3" s="98"/>
      <c r="ILZ3" s="98"/>
      <c r="IMA3" s="98"/>
      <c r="IMB3" s="98"/>
      <c r="IMC3" s="98"/>
      <c r="IMD3" s="98"/>
      <c r="IME3" s="98"/>
      <c r="IMF3" s="98"/>
      <c r="IMG3" s="98"/>
      <c r="IMH3" s="98"/>
      <c r="IMI3" s="98"/>
      <c r="IMJ3" s="98"/>
      <c r="IMK3" s="98"/>
      <c r="IML3" s="98"/>
      <c r="IMM3" s="98"/>
      <c r="IMN3" s="98"/>
      <c r="IMO3" s="98"/>
      <c r="IMP3" s="98"/>
      <c r="IMQ3" s="98"/>
      <c r="IMR3" s="98"/>
      <c r="IMS3" s="98"/>
      <c r="IMT3" s="98"/>
      <c r="IMU3" s="98"/>
      <c r="IMV3" s="98"/>
      <c r="IMW3" s="98"/>
      <c r="IMX3" s="98"/>
      <c r="IMY3" s="98"/>
      <c r="IMZ3" s="98"/>
      <c r="INA3" s="98"/>
      <c r="INB3" s="98"/>
      <c r="INC3" s="98"/>
      <c r="IND3" s="98"/>
      <c r="INE3" s="98"/>
      <c r="INF3" s="98"/>
      <c r="ING3" s="98"/>
      <c r="INH3" s="98"/>
      <c r="INI3" s="98"/>
      <c r="INJ3" s="98"/>
      <c r="INK3" s="98"/>
      <c r="INL3" s="98"/>
      <c r="INM3" s="98"/>
      <c r="INN3" s="98"/>
      <c r="INO3" s="98"/>
      <c r="INP3" s="98"/>
      <c r="INQ3" s="98"/>
      <c r="INR3" s="98"/>
      <c r="INS3" s="98"/>
      <c r="INT3" s="98"/>
      <c r="INU3" s="98"/>
      <c r="INV3" s="98"/>
      <c r="INW3" s="98"/>
      <c r="INX3" s="98"/>
      <c r="INY3" s="98"/>
      <c r="INZ3" s="98"/>
      <c r="IOA3" s="98"/>
      <c r="IOB3" s="98"/>
      <c r="IOC3" s="98"/>
      <c r="IOD3" s="98"/>
      <c r="IOE3" s="98"/>
      <c r="IOF3" s="98"/>
      <c r="IOG3" s="98"/>
      <c r="IOH3" s="98"/>
      <c r="IOI3" s="98"/>
      <c r="IOJ3" s="98"/>
      <c r="IOK3" s="98"/>
      <c r="IOL3" s="98"/>
      <c r="IOM3" s="98"/>
      <c r="ION3" s="98"/>
      <c r="IOO3" s="98"/>
      <c r="IOP3" s="98"/>
      <c r="IOQ3" s="98"/>
      <c r="IOR3" s="98"/>
      <c r="IOS3" s="98"/>
      <c r="IOT3" s="98"/>
      <c r="IOU3" s="98"/>
      <c r="IOV3" s="98"/>
      <c r="IOW3" s="98"/>
      <c r="IOX3" s="98"/>
      <c r="IOY3" s="98"/>
      <c r="IOZ3" s="98"/>
      <c r="IPA3" s="98"/>
      <c r="IPB3" s="98"/>
      <c r="IPC3" s="98"/>
      <c r="IPD3" s="98"/>
      <c r="IPE3" s="98"/>
      <c r="IPF3" s="98"/>
      <c r="IPG3" s="98"/>
      <c r="IPH3" s="98"/>
      <c r="IPI3" s="98"/>
      <c r="IPJ3" s="98"/>
      <c r="IPK3" s="98"/>
      <c r="IPL3" s="98"/>
      <c r="IPM3" s="98"/>
      <c r="IPN3" s="98"/>
      <c r="IPO3" s="98"/>
      <c r="IPP3" s="98"/>
      <c r="IPQ3" s="98"/>
      <c r="IPR3" s="98"/>
      <c r="IPS3" s="98"/>
      <c r="IPT3" s="98"/>
      <c r="IPU3" s="98"/>
      <c r="IPV3" s="98"/>
      <c r="IPW3" s="98"/>
      <c r="IPX3" s="98"/>
      <c r="IPY3" s="98"/>
      <c r="IPZ3" s="98"/>
      <c r="IQA3" s="98"/>
      <c r="IQB3" s="98"/>
      <c r="IQC3" s="98"/>
      <c r="IQD3" s="98"/>
      <c r="IQE3" s="98"/>
      <c r="IQF3" s="98"/>
      <c r="IQG3" s="98"/>
      <c r="IQH3" s="98"/>
      <c r="IQI3" s="98"/>
      <c r="IQJ3" s="98"/>
      <c r="IQK3" s="98"/>
      <c r="IQL3" s="98"/>
      <c r="IQM3" s="98"/>
      <c r="IQN3" s="98"/>
      <c r="IQO3" s="98"/>
      <c r="IQP3" s="98"/>
      <c r="IQQ3" s="98"/>
      <c r="IQR3" s="98"/>
      <c r="IQS3" s="98"/>
      <c r="IQT3" s="98"/>
      <c r="IQU3" s="98"/>
      <c r="IQV3" s="98"/>
      <c r="IQW3" s="98"/>
      <c r="IQX3" s="98"/>
      <c r="IQY3" s="98"/>
      <c r="IQZ3" s="98"/>
      <c r="IRA3" s="98"/>
      <c r="IRB3" s="98"/>
      <c r="IRC3" s="98"/>
      <c r="IRD3" s="98"/>
      <c r="IRE3" s="98"/>
      <c r="IRF3" s="98"/>
      <c r="IRG3" s="98"/>
      <c r="IRH3" s="98"/>
      <c r="IRI3" s="98"/>
      <c r="IRJ3" s="98"/>
      <c r="IRK3" s="98"/>
      <c r="IRL3" s="98"/>
      <c r="IRM3" s="98"/>
      <c r="IRN3" s="98"/>
      <c r="IRO3" s="98"/>
      <c r="IRP3" s="98"/>
      <c r="IRQ3" s="98"/>
      <c r="IRR3" s="98"/>
      <c r="IRS3" s="98"/>
      <c r="IRT3" s="98"/>
      <c r="IRU3" s="98"/>
      <c r="IRV3" s="98"/>
      <c r="IRW3" s="98"/>
      <c r="IRX3" s="98"/>
      <c r="IRY3" s="98"/>
      <c r="IRZ3" s="98"/>
      <c r="ISA3" s="98"/>
      <c r="ISB3" s="98"/>
      <c r="ISC3" s="98"/>
      <c r="ISD3" s="98"/>
      <c r="ISE3" s="98"/>
      <c r="ISF3" s="98"/>
      <c r="ISG3" s="98"/>
      <c r="ISH3" s="98"/>
      <c r="ISI3" s="98"/>
      <c r="ISJ3" s="98"/>
      <c r="ISK3" s="98"/>
      <c r="ISL3" s="98"/>
      <c r="ISM3" s="98"/>
      <c r="ISN3" s="98"/>
      <c r="ISO3" s="98"/>
      <c r="ISP3" s="98"/>
      <c r="ISQ3" s="98"/>
      <c r="ISR3" s="98"/>
      <c r="ISS3" s="98"/>
      <c r="IST3" s="98"/>
      <c r="ISU3" s="98"/>
      <c r="ISV3" s="98"/>
      <c r="ISW3" s="98"/>
      <c r="ISX3" s="98"/>
      <c r="ISY3" s="98"/>
      <c r="ISZ3" s="98"/>
      <c r="ITA3" s="98"/>
      <c r="ITB3" s="98"/>
      <c r="ITC3" s="98"/>
      <c r="ITD3" s="98"/>
      <c r="ITE3" s="98"/>
      <c r="ITF3" s="98"/>
      <c r="ITG3" s="98"/>
      <c r="ITH3" s="98"/>
      <c r="ITI3" s="98"/>
      <c r="ITJ3" s="98"/>
      <c r="ITK3" s="98"/>
      <c r="ITL3" s="98"/>
      <c r="ITM3" s="98"/>
      <c r="ITN3" s="98"/>
      <c r="ITO3" s="98"/>
      <c r="ITP3" s="98"/>
      <c r="ITQ3" s="98"/>
      <c r="ITR3" s="98"/>
      <c r="ITS3" s="98"/>
      <c r="ITT3" s="98"/>
      <c r="ITU3" s="98"/>
      <c r="ITV3" s="98"/>
      <c r="ITW3" s="98"/>
      <c r="ITX3" s="98"/>
      <c r="ITY3" s="98"/>
      <c r="ITZ3" s="98"/>
      <c r="IUA3" s="98"/>
      <c r="IUB3" s="98"/>
      <c r="IUC3" s="98"/>
      <c r="IUD3" s="98"/>
      <c r="IUE3" s="98"/>
      <c r="IUF3" s="98"/>
      <c r="IUG3" s="98"/>
      <c r="IUH3" s="98"/>
      <c r="IUI3" s="98"/>
      <c r="IUJ3" s="98"/>
      <c r="IUK3" s="98"/>
      <c r="IUL3" s="98"/>
      <c r="IUM3" s="98"/>
      <c r="IUN3" s="98"/>
      <c r="IUO3" s="98"/>
      <c r="IUP3" s="98"/>
      <c r="IUQ3" s="98"/>
      <c r="IUR3" s="98"/>
      <c r="IUS3" s="98"/>
      <c r="IUT3" s="98"/>
      <c r="IUU3" s="98"/>
      <c r="IUV3" s="98"/>
      <c r="IUW3" s="98"/>
      <c r="IUX3" s="98"/>
      <c r="IUY3" s="98"/>
      <c r="IUZ3" s="98"/>
      <c r="IVA3" s="98"/>
      <c r="IVB3" s="98"/>
      <c r="IVC3" s="98"/>
      <c r="IVD3" s="98"/>
      <c r="IVE3" s="98"/>
      <c r="IVF3" s="98"/>
      <c r="IVG3" s="98"/>
      <c r="IVH3" s="98"/>
      <c r="IVI3" s="98"/>
      <c r="IVJ3" s="98"/>
      <c r="IVK3" s="98"/>
      <c r="IVL3" s="98"/>
      <c r="IVM3" s="98"/>
      <c r="IVN3" s="98"/>
      <c r="IVO3" s="98"/>
      <c r="IVP3" s="98"/>
      <c r="IVQ3" s="98"/>
      <c r="IVR3" s="98"/>
      <c r="IVS3" s="98"/>
      <c r="IVT3" s="98"/>
      <c r="IVU3" s="98"/>
      <c r="IVV3" s="98"/>
      <c r="IVW3" s="98"/>
      <c r="IVX3" s="98"/>
      <c r="IVY3" s="98"/>
      <c r="IVZ3" s="98"/>
      <c r="IWA3" s="98"/>
      <c r="IWB3" s="98"/>
      <c r="IWC3" s="98"/>
      <c r="IWD3" s="98"/>
      <c r="IWE3" s="98"/>
      <c r="IWF3" s="98"/>
      <c r="IWG3" s="98"/>
      <c r="IWH3" s="98"/>
      <c r="IWI3" s="98"/>
      <c r="IWJ3" s="98"/>
      <c r="IWK3" s="98"/>
      <c r="IWL3" s="98"/>
      <c r="IWM3" s="98"/>
      <c r="IWN3" s="98"/>
      <c r="IWO3" s="98"/>
      <c r="IWP3" s="98"/>
      <c r="IWQ3" s="98"/>
      <c r="IWR3" s="98"/>
      <c r="IWS3" s="98"/>
      <c r="IWT3" s="98"/>
      <c r="IWU3" s="98"/>
      <c r="IWV3" s="98"/>
      <c r="IWW3" s="98"/>
      <c r="IWX3" s="98"/>
      <c r="IWY3" s="98"/>
      <c r="IWZ3" s="98"/>
      <c r="IXA3" s="98"/>
      <c r="IXB3" s="98"/>
      <c r="IXC3" s="98"/>
      <c r="IXD3" s="98"/>
      <c r="IXE3" s="98"/>
      <c r="IXF3" s="98"/>
      <c r="IXG3" s="98"/>
      <c r="IXH3" s="98"/>
      <c r="IXI3" s="98"/>
      <c r="IXJ3" s="98"/>
      <c r="IXK3" s="98"/>
      <c r="IXL3" s="98"/>
      <c r="IXM3" s="98"/>
      <c r="IXN3" s="98"/>
      <c r="IXO3" s="98"/>
      <c r="IXP3" s="98"/>
      <c r="IXQ3" s="98"/>
      <c r="IXR3" s="98"/>
      <c r="IXS3" s="98"/>
      <c r="IXT3" s="98"/>
      <c r="IXU3" s="98"/>
      <c r="IXV3" s="98"/>
      <c r="IXW3" s="98"/>
      <c r="IXX3" s="98"/>
      <c r="IXY3" s="98"/>
      <c r="IXZ3" s="98"/>
      <c r="IYA3" s="98"/>
      <c r="IYB3" s="98"/>
      <c r="IYC3" s="98"/>
      <c r="IYD3" s="98"/>
      <c r="IYE3" s="98"/>
      <c r="IYF3" s="98"/>
      <c r="IYG3" s="98"/>
      <c r="IYH3" s="98"/>
      <c r="IYI3" s="98"/>
      <c r="IYJ3" s="98"/>
      <c r="IYK3" s="98"/>
      <c r="IYL3" s="98"/>
      <c r="IYM3" s="98"/>
      <c r="IYN3" s="98"/>
      <c r="IYO3" s="98"/>
      <c r="IYP3" s="98"/>
      <c r="IYQ3" s="98"/>
      <c r="IYR3" s="98"/>
      <c r="IYS3" s="98"/>
      <c r="IYT3" s="98"/>
      <c r="IYU3" s="98"/>
      <c r="IYV3" s="98"/>
      <c r="IYW3" s="98"/>
      <c r="IYX3" s="98"/>
      <c r="IYY3" s="98"/>
      <c r="IYZ3" s="98"/>
      <c r="IZA3" s="98"/>
      <c r="IZB3" s="98"/>
      <c r="IZC3" s="98"/>
      <c r="IZD3" s="98"/>
      <c r="IZE3" s="98"/>
      <c r="IZF3" s="98"/>
      <c r="IZG3" s="98"/>
      <c r="IZH3" s="98"/>
      <c r="IZI3" s="98"/>
      <c r="IZJ3" s="98"/>
      <c r="IZK3" s="98"/>
      <c r="IZL3" s="98"/>
      <c r="IZM3" s="98"/>
      <c r="IZN3" s="98"/>
      <c r="IZO3" s="98"/>
      <c r="IZP3" s="98"/>
      <c r="IZQ3" s="98"/>
      <c r="IZR3" s="98"/>
      <c r="IZS3" s="98"/>
      <c r="IZT3" s="98"/>
      <c r="IZU3" s="98"/>
      <c r="IZV3" s="98"/>
      <c r="IZW3" s="98"/>
      <c r="IZX3" s="98"/>
      <c r="IZY3" s="98"/>
      <c r="IZZ3" s="98"/>
      <c r="JAA3" s="98"/>
      <c r="JAB3" s="98"/>
      <c r="JAC3" s="98"/>
      <c r="JAD3" s="98"/>
      <c r="JAE3" s="98"/>
      <c r="JAF3" s="98"/>
      <c r="JAG3" s="98"/>
      <c r="JAH3" s="98"/>
      <c r="JAI3" s="98"/>
      <c r="JAJ3" s="98"/>
      <c r="JAK3" s="98"/>
      <c r="JAL3" s="98"/>
      <c r="JAM3" s="98"/>
      <c r="JAN3" s="98"/>
      <c r="JAO3" s="98"/>
      <c r="JAP3" s="98"/>
      <c r="JAQ3" s="98"/>
      <c r="JAR3" s="98"/>
      <c r="JAS3" s="98"/>
      <c r="JAT3" s="98"/>
      <c r="JAU3" s="98"/>
      <c r="JAV3" s="98"/>
      <c r="JAW3" s="98"/>
      <c r="JAX3" s="98"/>
      <c r="JAY3" s="98"/>
      <c r="JAZ3" s="98"/>
      <c r="JBA3" s="98"/>
      <c r="JBB3" s="98"/>
      <c r="JBC3" s="98"/>
      <c r="JBD3" s="98"/>
      <c r="JBE3" s="98"/>
      <c r="JBF3" s="98"/>
      <c r="JBG3" s="98"/>
      <c r="JBH3" s="98"/>
      <c r="JBI3" s="98"/>
      <c r="JBJ3" s="98"/>
      <c r="JBK3" s="98"/>
      <c r="JBL3" s="98"/>
      <c r="JBM3" s="98"/>
      <c r="JBN3" s="98"/>
      <c r="JBO3" s="98"/>
      <c r="JBP3" s="98"/>
      <c r="JBQ3" s="98"/>
      <c r="JBR3" s="98"/>
      <c r="JBS3" s="98"/>
      <c r="JBT3" s="98"/>
      <c r="JBU3" s="98"/>
      <c r="JBV3" s="98"/>
      <c r="JBW3" s="98"/>
      <c r="JBX3" s="98"/>
      <c r="JBY3" s="98"/>
      <c r="JBZ3" s="98"/>
      <c r="JCA3" s="98"/>
      <c r="JCB3" s="98"/>
      <c r="JCC3" s="98"/>
      <c r="JCD3" s="98"/>
      <c r="JCE3" s="98"/>
      <c r="JCF3" s="98"/>
      <c r="JCG3" s="98"/>
      <c r="JCH3" s="98"/>
      <c r="JCI3" s="98"/>
      <c r="JCJ3" s="98"/>
      <c r="JCK3" s="98"/>
      <c r="JCL3" s="98"/>
      <c r="JCM3" s="98"/>
      <c r="JCN3" s="98"/>
      <c r="JCO3" s="98"/>
      <c r="JCP3" s="98"/>
      <c r="JCQ3" s="98"/>
      <c r="JCR3" s="98"/>
      <c r="JCS3" s="98"/>
      <c r="JCT3" s="98"/>
      <c r="JCU3" s="98"/>
      <c r="JCV3" s="98"/>
      <c r="JCW3" s="98"/>
      <c r="JCX3" s="98"/>
      <c r="JCY3" s="98"/>
      <c r="JCZ3" s="98"/>
      <c r="JDA3" s="98"/>
      <c r="JDB3" s="98"/>
      <c r="JDC3" s="98"/>
      <c r="JDD3" s="98"/>
      <c r="JDE3" s="98"/>
      <c r="JDF3" s="98"/>
      <c r="JDG3" s="98"/>
      <c r="JDH3" s="98"/>
      <c r="JDI3" s="98"/>
      <c r="JDJ3" s="98"/>
      <c r="JDK3" s="98"/>
      <c r="JDL3" s="98"/>
      <c r="JDM3" s="98"/>
      <c r="JDN3" s="98"/>
      <c r="JDO3" s="98"/>
      <c r="JDP3" s="98"/>
      <c r="JDQ3" s="98"/>
      <c r="JDR3" s="98"/>
      <c r="JDS3" s="98"/>
      <c r="JDT3" s="98"/>
      <c r="JDU3" s="98"/>
      <c r="JDV3" s="98"/>
      <c r="JDW3" s="98"/>
      <c r="JDX3" s="98"/>
      <c r="JDY3" s="98"/>
      <c r="JDZ3" s="98"/>
      <c r="JEA3" s="98"/>
      <c r="JEB3" s="98"/>
      <c r="JEC3" s="98"/>
      <c r="JED3" s="98"/>
      <c r="JEE3" s="98"/>
      <c r="JEF3" s="98"/>
      <c r="JEG3" s="98"/>
      <c r="JEH3" s="98"/>
      <c r="JEI3" s="98"/>
      <c r="JEJ3" s="98"/>
      <c r="JEK3" s="98"/>
      <c r="JEL3" s="98"/>
      <c r="JEM3" s="98"/>
      <c r="JEN3" s="98"/>
      <c r="JEO3" s="98"/>
      <c r="JEP3" s="98"/>
      <c r="JEQ3" s="98"/>
      <c r="JER3" s="98"/>
      <c r="JES3" s="98"/>
      <c r="JET3" s="98"/>
      <c r="JEU3" s="98"/>
      <c r="JEV3" s="98"/>
      <c r="JEW3" s="98"/>
      <c r="JEX3" s="98"/>
      <c r="JEY3" s="98"/>
      <c r="JEZ3" s="98"/>
      <c r="JFA3" s="98"/>
      <c r="JFB3" s="98"/>
      <c r="JFC3" s="98"/>
      <c r="JFD3" s="98"/>
      <c r="JFE3" s="98"/>
      <c r="JFF3" s="98"/>
      <c r="JFG3" s="98"/>
      <c r="JFH3" s="98"/>
      <c r="JFI3" s="98"/>
      <c r="JFJ3" s="98"/>
      <c r="JFK3" s="98"/>
      <c r="JFL3" s="98"/>
      <c r="JFM3" s="98"/>
      <c r="JFN3" s="98"/>
      <c r="JFO3" s="98"/>
      <c r="JFP3" s="98"/>
      <c r="JFQ3" s="98"/>
      <c r="JFR3" s="98"/>
      <c r="JFS3" s="98"/>
      <c r="JFT3" s="98"/>
      <c r="JFU3" s="98"/>
      <c r="JFV3" s="98"/>
      <c r="JFW3" s="98"/>
      <c r="JFX3" s="98"/>
      <c r="JFY3" s="98"/>
      <c r="JFZ3" s="98"/>
      <c r="JGA3" s="98"/>
      <c r="JGB3" s="98"/>
      <c r="JGC3" s="98"/>
      <c r="JGD3" s="98"/>
      <c r="JGE3" s="98"/>
      <c r="JGF3" s="98"/>
      <c r="JGG3" s="98"/>
      <c r="JGH3" s="98"/>
      <c r="JGI3" s="98"/>
      <c r="JGJ3" s="98"/>
      <c r="JGK3" s="98"/>
      <c r="JGL3" s="98"/>
      <c r="JGM3" s="98"/>
      <c r="JGN3" s="98"/>
      <c r="JGO3" s="98"/>
      <c r="JGP3" s="98"/>
      <c r="JGQ3" s="98"/>
      <c r="JGR3" s="98"/>
      <c r="JGS3" s="98"/>
      <c r="JGT3" s="98"/>
      <c r="JGU3" s="98"/>
      <c r="JGV3" s="98"/>
      <c r="JGW3" s="98"/>
      <c r="JGX3" s="98"/>
      <c r="JGY3" s="98"/>
      <c r="JGZ3" s="98"/>
      <c r="JHA3" s="98"/>
      <c r="JHB3" s="98"/>
      <c r="JHC3" s="98"/>
      <c r="JHD3" s="98"/>
      <c r="JHE3" s="98"/>
      <c r="JHF3" s="98"/>
      <c r="JHG3" s="98"/>
      <c r="JHH3" s="98"/>
      <c r="JHI3" s="98"/>
      <c r="JHJ3" s="98"/>
      <c r="JHK3" s="98"/>
      <c r="JHL3" s="98"/>
      <c r="JHM3" s="98"/>
      <c r="JHN3" s="98"/>
      <c r="JHO3" s="98"/>
      <c r="JHP3" s="98"/>
      <c r="JHQ3" s="98"/>
      <c r="JHR3" s="98"/>
      <c r="JHS3" s="98"/>
      <c r="JHT3" s="98"/>
      <c r="JHU3" s="98"/>
      <c r="JHV3" s="98"/>
      <c r="JHW3" s="98"/>
      <c r="JHX3" s="98"/>
      <c r="JHY3" s="98"/>
      <c r="JHZ3" s="98"/>
      <c r="JIA3" s="98"/>
      <c r="JIB3" s="98"/>
      <c r="JIC3" s="98"/>
      <c r="JID3" s="98"/>
      <c r="JIE3" s="98"/>
      <c r="JIF3" s="98"/>
      <c r="JIG3" s="98"/>
      <c r="JIH3" s="98"/>
      <c r="JII3" s="98"/>
      <c r="JIJ3" s="98"/>
      <c r="JIK3" s="98"/>
      <c r="JIL3" s="98"/>
      <c r="JIM3" s="98"/>
      <c r="JIN3" s="98"/>
      <c r="JIO3" s="98"/>
      <c r="JIP3" s="98"/>
      <c r="JIQ3" s="98"/>
      <c r="JIR3" s="98"/>
      <c r="JIS3" s="98"/>
      <c r="JIT3" s="98"/>
      <c r="JIU3" s="98"/>
      <c r="JIV3" s="98"/>
      <c r="JIW3" s="98"/>
      <c r="JIX3" s="98"/>
      <c r="JIY3" s="98"/>
      <c r="JIZ3" s="98"/>
      <c r="JJA3" s="98"/>
      <c r="JJB3" s="98"/>
      <c r="JJC3" s="98"/>
      <c r="JJD3" s="98"/>
      <c r="JJE3" s="98"/>
      <c r="JJF3" s="98"/>
      <c r="JJG3" s="98"/>
      <c r="JJH3" s="98"/>
      <c r="JJI3" s="98"/>
      <c r="JJJ3" s="98"/>
      <c r="JJK3" s="98"/>
      <c r="JJL3" s="98"/>
      <c r="JJM3" s="98"/>
      <c r="JJN3" s="98"/>
      <c r="JJO3" s="98"/>
      <c r="JJP3" s="98"/>
      <c r="JJQ3" s="98"/>
      <c r="JJR3" s="98"/>
      <c r="JJS3" s="98"/>
      <c r="JJT3" s="98"/>
      <c r="JJU3" s="98"/>
      <c r="JJV3" s="98"/>
      <c r="JJW3" s="98"/>
      <c r="JJX3" s="98"/>
      <c r="JJY3" s="98"/>
      <c r="JJZ3" s="98"/>
      <c r="JKA3" s="98"/>
      <c r="JKB3" s="98"/>
      <c r="JKC3" s="98"/>
      <c r="JKD3" s="98"/>
      <c r="JKE3" s="98"/>
      <c r="JKF3" s="98"/>
      <c r="JKG3" s="98"/>
      <c r="JKH3" s="98"/>
      <c r="JKI3" s="98"/>
      <c r="JKJ3" s="98"/>
      <c r="JKK3" s="98"/>
      <c r="JKL3" s="98"/>
      <c r="JKM3" s="98"/>
      <c r="JKN3" s="98"/>
      <c r="JKO3" s="98"/>
      <c r="JKP3" s="98"/>
      <c r="JKQ3" s="98"/>
      <c r="JKR3" s="98"/>
      <c r="JKS3" s="98"/>
      <c r="JKT3" s="98"/>
      <c r="JKU3" s="98"/>
      <c r="JKV3" s="98"/>
      <c r="JKW3" s="98"/>
      <c r="JKX3" s="98"/>
      <c r="JKY3" s="98"/>
      <c r="JKZ3" s="98"/>
      <c r="JLA3" s="98"/>
      <c r="JLB3" s="98"/>
      <c r="JLC3" s="98"/>
      <c r="JLD3" s="98"/>
      <c r="JLE3" s="98"/>
      <c r="JLF3" s="98"/>
      <c r="JLG3" s="98"/>
      <c r="JLH3" s="98"/>
      <c r="JLI3" s="98"/>
      <c r="JLJ3" s="98"/>
      <c r="JLK3" s="98"/>
      <c r="JLL3" s="98"/>
      <c r="JLM3" s="98"/>
      <c r="JLN3" s="98"/>
      <c r="JLO3" s="98"/>
      <c r="JLP3" s="98"/>
      <c r="JLQ3" s="98"/>
      <c r="JLR3" s="98"/>
      <c r="JLS3" s="98"/>
      <c r="JLT3" s="98"/>
      <c r="JLU3" s="98"/>
      <c r="JLV3" s="98"/>
      <c r="JLW3" s="98"/>
      <c r="JLX3" s="98"/>
      <c r="JLY3" s="98"/>
      <c r="JLZ3" s="98"/>
      <c r="JMA3" s="98"/>
      <c r="JMB3" s="98"/>
      <c r="JMC3" s="98"/>
      <c r="JMD3" s="98"/>
      <c r="JME3" s="98"/>
      <c r="JMF3" s="98"/>
      <c r="JMG3" s="98"/>
      <c r="JMH3" s="98"/>
      <c r="JMI3" s="98"/>
      <c r="JMJ3" s="98"/>
      <c r="JMK3" s="98"/>
      <c r="JML3" s="98"/>
      <c r="JMM3" s="98"/>
      <c r="JMN3" s="98"/>
      <c r="JMO3" s="98"/>
      <c r="JMP3" s="98"/>
      <c r="JMQ3" s="98"/>
      <c r="JMR3" s="98"/>
      <c r="JMS3" s="98"/>
      <c r="JMT3" s="98"/>
      <c r="JMU3" s="98"/>
      <c r="JMV3" s="98"/>
      <c r="JMW3" s="98"/>
      <c r="JMX3" s="98"/>
      <c r="JMY3" s="98"/>
      <c r="JMZ3" s="98"/>
      <c r="JNA3" s="98"/>
      <c r="JNB3" s="98"/>
      <c r="JNC3" s="98"/>
      <c r="JND3" s="98"/>
      <c r="JNE3" s="98"/>
      <c r="JNF3" s="98"/>
      <c r="JNG3" s="98"/>
      <c r="JNH3" s="98"/>
      <c r="JNI3" s="98"/>
      <c r="JNJ3" s="98"/>
      <c r="JNK3" s="98"/>
      <c r="JNL3" s="98"/>
      <c r="JNM3" s="98"/>
      <c r="JNN3" s="98"/>
      <c r="JNO3" s="98"/>
      <c r="JNP3" s="98"/>
      <c r="JNQ3" s="98"/>
      <c r="JNR3" s="98"/>
      <c r="JNS3" s="98"/>
      <c r="JNT3" s="98"/>
      <c r="JNU3" s="98"/>
      <c r="JNV3" s="98"/>
      <c r="JNW3" s="98"/>
      <c r="JNX3" s="98"/>
      <c r="JNY3" s="98"/>
      <c r="JNZ3" s="98"/>
      <c r="JOA3" s="98"/>
      <c r="JOB3" s="98"/>
      <c r="JOC3" s="98"/>
      <c r="JOD3" s="98"/>
      <c r="JOE3" s="98"/>
      <c r="JOF3" s="98"/>
      <c r="JOG3" s="98"/>
      <c r="JOH3" s="98"/>
      <c r="JOI3" s="98"/>
      <c r="JOJ3" s="98"/>
      <c r="JOK3" s="98"/>
      <c r="JOL3" s="98"/>
      <c r="JOM3" s="98"/>
      <c r="JON3" s="98"/>
      <c r="JOO3" s="98"/>
      <c r="JOP3" s="98"/>
      <c r="JOQ3" s="98"/>
      <c r="JOR3" s="98"/>
      <c r="JOS3" s="98"/>
      <c r="JOT3" s="98"/>
      <c r="JOU3" s="98"/>
      <c r="JOV3" s="98"/>
      <c r="JOW3" s="98"/>
      <c r="JOX3" s="98"/>
      <c r="JOY3" s="98"/>
      <c r="JOZ3" s="98"/>
      <c r="JPA3" s="98"/>
      <c r="JPB3" s="98"/>
      <c r="JPC3" s="98"/>
      <c r="JPD3" s="98"/>
      <c r="JPE3" s="98"/>
      <c r="JPF3" s="98"/>
      <c r="JPG3" s="98"/>
      <c r="JPH3" s="98"/>
      <c r="JPI3" s="98"/>
      <c r="JPJ3" s="98"/>
      <c r="JPK3" s="98"/>
      <c r="JPL3" s="98"/>
      <c r="JPM3" s="98"/>
      <c r="JPN3" s="98"/>
      <c r="JPO3" s="98"/>
      <c r="JPP3" s="98"/>
      <c r="JPQ3" s="98"/>
      <c r="JPR3" s="98"/>
      <c r="JPS3" s="98"/>
      <c r="JPT3" s="98"/>
      <c r="JPU3" s="98"/>
      <c r="JPV3" s="98"/>
      <c r="JPW3" s="98"/>
      <c r="JPX3" s="98"/>
      <c r="JPY3" s="98"/>
      <c r="JPZ3" s="98"/>
      <c r="JQA3" s="98"/>
      <c r="JQB3" s="98"/>
      <c r="JQC3" s="98"/>
      <c r="JQD3" s="98"/>
      <c r="JQE3" s="98"/>
      <c r="JQF3" s="98"/>
      <c r="JQG3" s="98"/>
      <c r="JQH3" s="98"/>
      <c r="JQI3" s="98"/>
      <c r="JQJ3" s="98"/>
      <c r="JQK3" s="98"/>
      <c r="JQL3" s="98"/>
      <c r="JQM3" s="98"/>
      <c r="JQN3" s="98"/>
      <c r="JQO3" s="98"/>
      <c r="JQP3" s="98"/>
      <c r="JQQ3" s="98"/>
      <c r="JQR3" s="98"/>
      <c r="JQS3" s="98"/>
      <c r="JQT3" s="98"/>
      <c r="JQU3" s="98"/>
      <c r="JQV3" s="98"/>
      <c r="JQW3" s="98"/>
      <c r="JQX3" s="98"/>
      <c r="JQY3" s="98"/>
      <c r="JQZ3" s="98"/>
      <c r="JRA3" s="98"/>
      <c r="JRB3" s="98"/>
      <c r="JRC3" s="98"/>
      <c r="JRD3" s="98"/>
      <c r="JRE3" s="98"/>
      <c r="JRF3" s="98"/>
      <c r="JRG3" s="98"/>
      <c r="JRH3" s="98"/>
      <c r="JRI3" s="98"/>
      <c r="JRJ3" s="98"/>
      <c r="JRK3" s="98"/>
      <c r="JRL3" s="98"/>
      <c r="JRM3" s="98"/>
      <c r="JRN3" s="98"/>
      <c r="JRO3" s="98"/>
      <c r="JRP3" s="98"/>
      <c r="JRQ3" s="98"/>
      <c r="JRR3" s="98"/>
      <c r="JRS3" s="98"/>
      <c r="JRT3" s="98"/>
      <c r="JRU3" s="98"/>
      <c r="JRV3" s="98"/>
      <c r="JRW3" s="98"/>
      <c r="JRX3" s="98"/>
      <c r="JRY3" s="98"/>
      <c r="JRZ3" s="98"/>
      <c r="JSA3" s="98"/>
      <c r="JSB3" s="98"/>
      <c r="JSC3" s="98"/>
      <c r="JSD3" s="98"/>
      <c r="JSE3" s="98"/>
      <c r="JSF3" s="98"/>
      <c r="JSG3" s="98"/>
      <c r="JSH3" s="98"/>
      <c r="JSI3" s="98"/>
      <c r="JSJ3" s="98"/>
      <c r="JSK3" s="98"/>
      <c r="JSL3" s="98"/>
      <c r="JSM3" s="98"/>
      <c r="JSN3" s="98"/>
      <c r="JSO3" s="98"/>
      <c r="JSP3" s="98"/>
      <c r="JSQ3" s="98"/>
      <c r="JSR3" s="98"/>
      <c r="JSS3" s="98"/>
      <c r="JST3" s="98"/>
      <c r="JSU3" s="98"/>
      <c r="JSV3" s="98"/>
      <c r="JSW3" s="98"/>
      <c r="JSX3" s="98"/>
      <c r="JSY3" s="98"/>
      <c r="JSZ3" s="98"/>
      <c r="JTA3" s="98"/>
      <c r="JTB3" s="98"/>
      <c r="JTC3" s="98"/>
      <c r="JTD3" s="98"/>
      <c r="JTE3" s="98"/>
      <c r="JTF3" s="98"/>
      <c r="JTG3" s="98"/>
      <c r="JTH3" s="98"/>
      <c r="JTI3" s="98"/>
      <c r="JTJ3" s="98"/>
      <c r="JTK3" s="98"/>
      <c r="JTL3" s="98"/>
      <c r="JTM3" s="98"/>
      <c r="JTN3" s="98"/>
      <c r="JTO3" s="98"/>
      <c r="JTP3" s="98"/>
      <c r="JTQ3" s="98"/>
      <c r="JTR3" s="98"/>
      <c r="JTS3" s="98"/>
      <c r="JTT3" s="98"/>
      <c r="JTU3" s="98"/>
      <c r="JTV3" s="98"/>
      <c r="JTW3" s="98"/>
      <c r="JTX3" s="98"/>
      <c r="JTY3" s="98"/>
      <c r="JTZ3" s="98"/>
      <c r="JUA3" s="98"/>
      <c r="JUB3" s="98"/>
      <c r="JUC3" s="98"/>
      <c r="JUD3" s="98"/>
      <c r="JUE3" s="98"/>
      <c r="JUF3" s="98"/>
      <c r="JUG3" s="98"/>
      <c r="JUH3" s="98"/>
      <c r="JUI3" s="98"/>
      <c r="JUJ3" s="98"/>
      <c r="JUK3" s="98"/>
      <c r="JUL3" s="98"/>
      <c r="JUM3" s="98"/>
      <c r="JUN3" s="98"/>
      <c r="JUO3" s="98"/>
      <c r="JUP3" s="98"/>
      <c r="JUQ3" s="98"/>
      <c r="JUR3" s="98"/>
      <c r="JUS3" s="98"/>
      <c r="JUT3" s="98"/>
      <c r="JUU3" s="98"/>
      <c r="JUV3" s="98"/>
      <c r="JUW3" s="98"/>
      <c r="JUX3" s="98"/>
      <c r="JUY3" s="98"/>
      <c r="JUZ3" s="98"/>
      <c r="JVA3" s="98"/>
      <c r="JVB3" s="98"/>
      <c r="JVC3" s="98"/>
      <c r="JVD3" s="98"/>
      <c r="JVE3" s="98"/>
      <c r="JVF3" s="98"/>
      <c r="JVG3" s="98"/>
      <c r="JVH3" s="98"/>
      <c r="JVI3" s="98"/>
      <c r="JVJ3" s="98"/>
      <c r="JVK3" s="98"/>
      <c r="JVL3" s="98"/>
      <c r="JVM3" s="98"/>
      <c r="JVN3" s="98"/>
      <c r="JVO3" s="98"/>
      <c r="JVP3" s="98"/>
      <c r="JVQ3" s="98"/>
      <c r="JVR3" s="98"/>
      <c r="JVS3" s="98"/>
      <c r="JVT3" s="98"/>
      <c r="JVU3" s="98"/>
      <c r="JVV3" s="98"/>
      <c r="JVW3" s="98"/>
      <c r="JVX3" s="98"/>
      <c r="JVY3" s="98"/>
      <c r="JVZ3" s="98"/>
      <c r="JWA3" s="98"/>
      <c r="JWB3" s="98"/>
      <c r="JWC3" s="98"/>
      <c r="JWD3" s="98"/>
      <c r="JWE3" s="98"/>
      <c r="JWF3" s="98"/>
      <c r="JWG3" s="98"/>
      <c r="JWH3" s="98"/>
      <c r="JWI3" s="98"/>
      <c r="JWJ3" s="98"/>
      <c r="JWK3" s="98"/>
      <c r="JWL3" s="98"/>
      <c r="JWM3" s="98"/>
      <c r="JWN3" s="98"/>
      <c r="JWO3" s="98"/>
      <c r="JWP3" s="98"/>
      <c r="JWQ3" s="98"/>
      <c r="JWR3" s="98"/>
      <c r="JWS3" s="98"/>
      <c r="JWT3" s="98"/>
      <c r="JWU3" s="98"/>
      <c r="JWV3" s="98"/>
      <c r="JWW3" s="98"/>
      <c r="JWX3" s="98"/>
      <c r="JWY3" s="98"/>
      <c r="JWZ3" s="98"/>
      <c r="JXA3" s="98"/>
      <c r="JXB3" s="98"/>
      <c r="JXC3" s="98"/>
      <c r="JXD3" s="98"/>
      <c r="JXE3" s="98"/>
      <c r="JXF3" s="98"/>
      <c r="JXG3" s="98"/>
      <c r="JXH3" s="98"/>
      <c r="JXI3" s="98"/>
      <c r="JXJ3" s="98"/>
      <c r="JXK3" s="98"/>
      <c r="JXL3" s="98"/>
      <c r="JXM3" s="98"/>
      <c r="JXN3" s="98"/>
      <c r="JXO3" s="98"/>
      <c r="JXP3" s="98"/>
      <c r="JXQ3" s="98"/>
      <c r="JXR3" s="98"/>
      <c r="JXS3" s="98"/>
      <c r="JXT3" s="98"/>
      <c r="JXU3" s="98"/>
      <c r="JXV3" s="98"/>
      <c r="JXW3" s="98"/>
      <c r="JXX3" s="98"/>
      <c r="JXY3" s="98"/>
      <c r="JXZ3" s="98"/>
      <c r="JYA3" s="98"/>
      <c r="JYB3" s="98"/>
      <c r="JYC3" s="98"/>
      <c r="JYD3" s="98"/>
      <c r="JYE3" s="98"/>
      <c r="JYF3" s="98"/>
      <c r="JYG3" s="98"/>
      <c r="JYH3" s="98"/>
      <c r="JYI3" s="98"/>
      <c r="JYJ3" s="98"/>
      <c r="JYK3" s="98"/>
      <c r="JYL3" s="98"/>
      <c r="JYM3" s="98"/>
      <c r="JYN3" s="98"/>
      <c r="JYO3" s="98"/>
      <c r="JYP3" s="98"/>
      <c r="JYQ3" s="98"/>
      <c r="JYR3" s="98"/>
      <c r="JYS3" s="98"/>
      <c r="JYT3" s="98"/>
      <c r="JYU3" s="98"/>
      <c r="JYV3" s="98"/>
      <c r="JYW3" s="98"/>
      <c r="JYX3" s="98"/>
      <c r="JYY3" s="98"/>
      <c r="JYZ3" s="98"/>
      <c r="JZA3" s="98"/>
      <c r="JZB3" s="98"/>
      <c r="JZC3" s="98"/>
      <c r="JZD3" s="98"/>
      <c r="JZE3" s="98"/>
      <c r="JZF3" s="98"/>
      <c r="JZG3" s="98"/>
      <c r="JZH3" s="98"/>
      <c r="JZI3" s="98"/>
      <c r="JZJ3" s="98"/>
      <c r="JZK3" s="98"/>
      <c r="JZL3" s="98"/>
      <c r="JZM3" s="98"/>
      <c r="JZN3" s="98"/>
      <c r="JZO3" s="98"/>
      <c r="JZP3" s="98"/>
      <c r="JZQ3" s="98"/>
      <c r="JZR3" s="98"/>
      <c r="JZS3" s="98"/>
      <c r="JZT3" s="98"/>
      <c r="JZU3" s="98"/>
      <c r="JZV3" s="98"/>
      <c r="JZW3" s="98"/>
      <c r="JZX3" s="98"/>
      <c r="JZY3" s="98"/>
      <c r="JZZ3" s="98"/>
      <c r="KAA3" s="98"/>
      <c r="KAB3" s="98"/>
      <c r="KAC3" s="98"/>
      <c r="KAD3" s="98"/>
      <c r="KAE3" s="98"/>
      <c r="KAF3" s="98"/>
      <c r="KAG3" s="98"/>
      <c r="KAH3" s="98"/>
      <c r="KAI3" s="98"/>
      <c r="KAJ3" s="98"/>
      <c r="KAK3" s="98"/>
      <c r="KAL3" s="98"/>
      <c r="KAM3" s="98"/>
      <c r="KAN3" s="98"/>
      <c r="KAO3" s="98"/>
      <c r="KAP3" s="98"/>
      <c r="KAQ3" s="98"/>
      <c r="KAR3" s="98"/>
      <c r="KAS3" s="98"/>
      <c r="KAT3" s="98"/>
      <c r="KAU3" s="98"/>
      <c r="KAV3" s="98"/>
      <c r="KAW3" s="98"/>
      <c r="KAX3" s="98"/>
      <c r="KAY3" s="98"/>
      <c r="KAZ3" s="98"/>
      <c r="KBA3" s="98"/>
      <c r="KBB3" s="98"/>
      <c r="KBC3" s="98"/>
      <c r="KBD3" s="98"/>
      <c r="KBE3" s="98"/>
      <c r="KBF3" s="98"/>
      <c r="KBG3" s="98"/>
      <c r="KBH3" s="98"/>
      <c r="KBI3" s="98"/>
      <c r="KBJ3" s="98"/>
      <c r="KBK3" s="98"/>
      <c r="KBL3" s="98"/>
      <c r="KBM3" s="98"/>
      <c r="KBN3" s="98"/>
      <c r="KBO3" s="98"/>
      <c r="KBP3" s="98"/>
      <c r="KBQ3" s="98"/>
      <c r="KBR3" s="98"/>
      <c r="KBS3" s="98"/>
      <c r="KBT3" s="98"/>
      <c r="KBU3" s="98"/>
      <c r="KBV3" s="98"/>
      <c r="KBW3" s="98"/>
      <c r="KBX3" s="98"/>
      <c r="KBY3" s="98"/>
      <c r="KBZ3" s="98"/>
      <c r="KCA3" s="98"/>
      <c r="KCB3" s="98"/>
      <c r="KCC3" s="98"/>
      <c r="KCD3" s="98"/>
      <c r="KCE3" s="98"/>
      <c r="KCF3" s="98"/>
      <c r="KCG3" s="98"/>
      <c r="KCH3" s="98"/>
      <c r="KCI3" s="98"/>
      <c r="KCJ3" s="98"/>
      <c r="KCK3" s="98"/>
      <c r="KCL3" s="98"/>
      <c r="KCM3" s="98"/>
      <c r="KCN3" s="98"/>
      <c r="KCO3" s="98"/>
      <c r="KCP3" s="98"/>
      <c r="KCQ3" s="98"/>
      <c r="KCR3" s="98"/>
      <c r="KCS3" s="98"/>
      <c r="KCT3" s="98"/>
      <c r="KCU3" s="98"/>
      <c r="KCV3" s="98"/>
      <c r="KCW3" s="98"/>
      <c r="KCX3" s="98"/>
      <c r="KCY3" s="98"/>
      <c r="KCZ3" s="98"/>
      <c r="KDA3" s="98"/>
      <c r="KDB3" s="98"/>
      <c r="KDC3" s="98"/>
      <c r="KDD3" s="98"/>
      <c r="KDE3" s="98"/>
      <c r="KDF3" s="98"/>
      <c r="KDG3" s="98"/>
      <c r="KDH3" s="98"/>
      <c r="KDI3" s="98"/>
      <c r="KDJ3" s="98"/>
      <c r="KDK3" s="98"/>
      <c r="KDL3" s="98"/>
      <c r="KDM3" s="98"/>
      <c r="KDN3" s="98"/>
      <c r="KDO3" s="98"/>
      <c r="KDP3" s="98"/>
      <c r="KDQ3" s="98"/>
      <c r="KDR3" s="98"/>
      <c r="KDS3" s="98"/>
      <c r="KDT3" s="98"/>
      <c r="KDU3" s="98"/>
      <c r="KDV3" s="98"/>
      <c r="KDW3" s="98"/>
      <c r="KDX3" s="98"/>
      <c r="KDY3" s="98"/>
      <c r="KDZ3" s="98"/>
      <c r="KEA3" s="98"/>
      <c r="KEB3" s="98"/>
      <c r="KEC3" s="98"/>
      <c r="KED3" s="98"/>
      <c r="KEE3" s="98"/>
      <c r="KEF3" s="98"/>
      <c r="KEG3" s="98"/>
      <c r="KEH3" s="98"/>
      <c r="KEI3" s="98"/>
      <c r="KEJ3" s="98"/>
      <c r="KEK3" s="98"/>
      <c r="KEL3" s="98"/>
      <c r="KEM3" s="98"/>
      <c r="KEN3" s="98"/>
      <c r="KEO3" s="98"/>
      <c r="KEP3" s="98"/>
      <c r="KEQ3" s="98"/>
      <c r="KER3" s="98"/>
      <c r="KES3" s="98"/>
      <c r="KET3" s="98"/>
      <c r="KEU3" s="98"/>
      <c r="KEV3" s="98"/>
      <c r="KEW3" s="98"/>
      <c r="KEX3" s="98"/>
      <c r="KEY3" s="98"/>
      <c r="KEZ3" s="98"/>
      <c r="KFA3" s="98"/>
      <c r="KFB3" s="98"/>
      <c r="KFC3" s="98"/>
      <c r="KFD3" s="98"/>
      <c r="KFE3" s="98"/>
      <c r="KFF3" s="98"/>
      <c r="KFG3" s="98"/>
      <c r="KFH3" s="98"/>
      <c r="KFI3" s="98"/>
      <c r="KFJ3" s="98"/>
      <c r="KFK3" s="98"/>
      <c r="KFL3" s="98"/>
      <c r="KFM3" s="98"/>
      <c r="KFN3" s="98"/>
      <c r="KFO3" s="98"/>
      <c r="KFP3" s="98"/>
      <c r="KFQ3" s="98"/>
      <c r="KFR3" s="98"/>
      <c r="KFS3" s="98"/>
      <c r="KFT3" s="98"/>
      <c r="KFU3" s="98"/>
      <c r="KFV3" s="98"/>
      <c r="KFW3" s="98"/>
      <c r="KFX3" s="98"/>
      <c r="KFY3" s="98"/>
      <c r="KFZ3" s="98"/>
      <c r="KGA3" s="98"/>
      <c r="KGB3" s="98"/>
      <c r="KGC3" s="98"/>
      <c r="KGD3" s="98"/>
      <c r="KGE3" s="98"/>
      <c r="KGF3" s="98"/>
      <c r="KGG3" s="98"/>
      <c r="KGH3" s="98"/>
      <c r="KGI3" s="98"/>
      <c r="KGJ3" s="98"/>
      <c r="KGK3" s="98"/>
      <c r="KGL3" s="98"/>
      <c r="KGM3" s="98"/>
      <c r="KGN3" s="98"/>
      <c r="KGO3" s="98"/>
      <c r="KGP3" s="98"/>
      <c r="KGQ3" s="98"/>
      <c r="KGR3" s="98"/>
      <c r="KGS3" s="98"/>
      <c r="KGT3" s="98"/>
      <c r="KGU3" s="98"/>
      <c r="KGV3" s="98"/>
      <c r="KGW3" s="98"/>
      <c r="KGX3" s="98"/>
      <c r="KGY3" s="98"/>
      <c r="KGZ3" s="98"/>
      <c r="KHA3" s="98"/>
      <c r="KHB3" s="98"/>
      <c r="KHC3" s="98"/>
      <c r="KHD3" s="98"/>
      <c r="KHE3" s="98"/>
      <c r="KHF3" s="98"/>
      <c r="KHG3" s="98"/>
      <c r="KHH3" s="98"/>
      <c r="KHI3" s="98"/>
      <c r="KHJ3" s="98"/>
      <c r="KHK3" s="98"/>
      <c r="KHL3" s="98"/>
      <c r="KHM3" s="98"/>
      <c r="KHN3" s="98"/>
      <c r="KHO3" s="98"/>
      <c r="KHP3" s="98"/>
      <c r="KHQ3" s="98"/>
      <c r="KHR3" s="98"/>
      <c r="KHS3" s="98"/>
      <c r="KHT3" s="98"/>
      <c r="KHU3" s="98"/>
      <c r="KHV3" s="98"/>
      <c r="KHW3" s="98"/>
      <c r="KHX3" s="98"/>
      <c r="KHY3" s="98"/>
      <c r="KHZ3" s="98"/>
      <c r="KIA3" s="98"/>
      <c r="KIB3" s="98"/>
      <c r="KIC3" s="98"/>
      <c r="KID3" s="98"/>
      <c r="KIE3" s="98"/>
      <c r="KIF3" s="98"/>
      <c r="KIG3" s="98"/>
      <c r="KIH3" s="98"/>
      <c r="KII3" s="98"/>
      <c r="KIJ3" s="98"/>
      <c r="KIK3" s="98"/>
      <c r="KIL3" s="98"/>
      <c r="KIM3" s="98"/>
      <c r="KIN3" s="98"/>
      <c r="KIO3" s="98"/>
      <c r="KIP3" s="98"/>
      <c r="KIQ3" s="98"/>
      <c r="KIR3" s="98"/>
      <c r="KIS3" s="98"/>
      <c r="KIT3" s="98"/>
      <c r="KIU3" s="98"/>
      <c r="KIV3" s="98"/>
      <c r="KIW3" s="98"/>
      <c r="KIX3" s="98"/>
      <c r="KIY3" s="98"/>
      <c r="KIZ3" s="98"/>
      <c r="KJA3" s="98"/>
      <c r="KJB3" s="98"/>
      <c r="KJC3" s="98"/>
      <c r="KJD3" s="98"/>
      <c r="KJE3" s="98"/>
      <c r="KJF3" s="98"/>
      <c r="KJG3" s="98"/>
      <c r="KJH3" s="98"/>
      <c r="KJI3" s="98"/>
      <c r="KJJ3" s="98"/>
      <c r="KJK3" s="98"/>
      <c r="KJL3" s="98"/>
      <c r="KJM3" s="98"/>
      <c r="KJN3" s="98"/>
      <c r="KJO3" s="98"/>
      <c r="KJP3" s="98"/>
      <c r="KJQ3" s="98"/>
      <c r="KJR3" s="98"/>
      <c r="KJS3" s="98"/>
      <c r="KJT3" s="98"/>
      <c r="KJU3" s="98"/>
      <c r="KJV3" s="98"/>
      <c r="KJW3" s="98"/>
      <c r="KJX3" s="98"/>
      <c r="KJY3" s="98"/>
      <c r="KJZ3" s="98"/>
      <c r="KKA3" s="98"/>
      <c r="KKB3" s="98"/>
      <c r="KKC3" s="98"/>
      <c r="KKD3" s="98"/>
      <c r="KKE3" s="98"/>
      <c r="KKF3" s="98"/>
      <c r="KKG3" s="98"/>
      <c r="KKH3" s="98"/>
      <c r="KKI3" s="98"/>
      <c r="KKJ3" s="98"/>
      <c r="KKK3" s="98"/>
      <c r="KKL3" s="98"/>
      <c r="KKM3" s="98"/>
      <c r="KKN3" s="98"/>
      <c r="KKO3" s="98"/>
      <c r="KKP3" s="98"/>
      <c r="KKQ3" s="98"/>
      <c r="KKR3" s="98"/>
      <c r="KKS3" s="98"/>
      <c r="KKT3" s="98"/>
      <c r="KKU3" s="98"/>
      <c r="KKV3" s="98"/>
      <c r="KKW3" s="98"/>
      <c r="KKX3" s="98"/>
      <c r="KKY3" s="98"/>
      <c r="KKZ3" s="98"/>
      <c r="KLA3" s="98"/>
      <c r="KLB3" s="98"/>
      <c r="KLC3" s="98"/>
      <c r="KLD3" s="98"/>
      <c r="KLE3" s="98"/>
      <c r="KLF3" s="98"/>
      <c r="KLG3" s="98"/>
      <c r="KLH3" s="98"/>
      <c r="KLI3" s="98"/>
      <c r="KLJ3" s="98"/>
      <c r="KLK3" s="98"/>
      <c r="KLL3" s="98"/>
      <c r="KLM3" s="98"/>
      <c r="KLN3" s="98"/>
      <c r="KLO3" s="98"/>
      <c r="KLP3" s="98"/>
      <c r="KLQ3" s="98"/>
      <c r="KLR3" s="98"/>
      <c r="KLS3" s="98"/>
      <c r="KLT3" s="98"/>
      <c r="KLU3" s="98"/>
      <c r="KLV3" s="98"/>
      <c r="KLW3" s="98"/>
      <c r="KLX3" s="98"/>
      <c r="KLY3" s="98"/>
      <c r="KLZ3" s="98"/>
      <c r="KMA3" s="98"/>
      <c r="KMB3" s="98"/>
      <c r="KMC3" s="98"/>
      <c r="KMD3" s="98"/>
      <c r="KME3" s="98"/>
      <c r="KMF3" s="98"/>
      <c r="KMG3" s="98"/>
      <c r="KMH3" s="98"/>
      <c r="KMI3" s="98"/>
      <c r="KMJ3" s="98"/>
      <c r="KMK3" s="98"/>
      <c r="KML3" s="98"/>
      <c r="KMM3" s="98"/>
      <c r="KMN3" s="98"/>
      <c r="KMO3" s="98"/>
      <c r="KMP3" s="98"/>
      <c r="KMQ3" s="98"/>
      <c r="KMR3" s="98"/>
      <c r="KMS3" s="98"/>
      <c r="KMT3" s="98"/>
      <c r="KMU3" s="98"/>
      <c r="KMV3" s="98"/>
      <c r="KMW3" s="98"/>
      <c r="KMX3" s="98"/>
      <c r="KMY3" s="98"/>
      <c r="KMZ3" s="98"/>
      <c r="KNA3" s="98"/>
      <c r="KNB3" s="98"/>
      <c r="KNC3" s="98"/>
      <c r="KND3" s="98"/>
      <c r="KNE3" s="98"/>
      <c r="KNF3" s="98"/>
      <c r="KNG3" s="98"/>
      <c r="KNH3" s="98"/>
      <c r="KNI3" s="98"/>
      <c r="KNJ3" s="98"/>
      <c r="KNK3" s="98"/>
      <c r="KNL3" s="98"/>
      <c r="KNM3" s="98"/>
      <c r="KNN3" s="98"/>
      <c r="KNO3" s="98"/>
      <c r="KNP3" s="98"/>
      <c r="KNQ3" s="98"/>
      <c r="KNR3" s="98"/>
      <c r="KNS3" s="98"/>
      <c r="KNT3" s="98"/>
      <c r="KNU3" s="98"/>
      <c r="KNV3" s="98"/>
      <c r="KNW3" s="98"/>
      <c r="KNX3" s="98"/>
      <c r="KNY3" s="98"/>
      <c r="KNZ3" s="98"/>
      <c r="KOA3" s="98"/>
      <c r="KOB3" s="98"/>
      <c r="KOC3" s="98"/>
      <c r="KOD3" s="98"/>
      <c r="KOE3" s="98"/>
      <c r="KOF3" s="98"/>
      <c r="KOG3" s="98"/>
      <c r="KOH3" s="98"/>
      <c r="KOI3" s="98"/>
      <c r="KOJ3" s="98"/>
      <c r="KOK3" s="98"/>
      <c r="KOL3" s="98"/>
      <c r="KOM3" s="98"/>
      <c r="KON3" s="98"/>
      <c r="KOO3" s="98"/>
      <c r="KOP3" s="98"/>
      <c r="KOQ3" s="98"/>
      <c r="KOR3" s="98"/>
      <c r="KOS3" s="98"/>
      <c r="KOT3" s="98"/>
      <c r="KOU3" s="98"/>
      <c r="KOV3" s="98"/>
      <c r="KOW3" s="98"/>
      <c r="KOX3" s="98"/>
      <c r="KOY3" s="98"/>
      <c r="KOZ3" s="98"/>
      <c r="KPA3" s="98"/>
      <c r="KPB3" s="98"/>
      <c r="KPC3" s="98"/>
      <c r="KPD3" s="98"/>
      <c r="KPE3" s="98"/>
      <c r="KPF3" s="98"/>
      <c r="KPG3" s="98"/>
      <c r="KPH3" s="98"/>
      <c r="KPI3" s="98"/>
      <c r="KPJ3" s="98"/>
      <c r="KPK3" s="98"/>
      <c r="KPL3" s="98"/>
      <c r="KPM3" s="98"/>
      <c r="KPN3" s="98"/>
      <c r="KPO3" s="98"/>
      <c r="KPP3" s="98"/>
      <c r="KPQ3" s="98"/>
      <c r="KPR3" s="98"/>
      <c r="KPS3" s="98"/>
      <c r="KPT3" s="98"/>
      <c r="KPU3" s="98"/>
      <c r="KPV3" s="98"/>
      <c r="KPW3" s="98"/>
      <c r="KPX3" s="98"/>
      <c r="KPY3" s="98"/>
      <c r="KPZ3" s="98"/>
      <c r="KQA3" s="98"/>
      <c r="KQB3" s="98"/>
      <c r="KQC3" s="98"/>
      <c r="KQD3" s="98"/>
      <c r="KQE3" s="98"/>
      <c r="KQF3" s="98"/>
      <c r="KQG3" s="98"/>
      <c r="KQH3" s="98"/>
      <c r="KQI3" s="98"/>
      <c r="KQJ3" s="98"/>
      <c r="KQK3" s="98"/>
      <c r="KQL3" s="98"/>
      <c r="KQM3" s="98"/>
      <c r="KQN3" s="98"/>
      <c r="KQO3" s="98"/>
      <c r="KQP3" s="98"/>
      <c r="KQQ3" s="98"/>
      <c r="KQR3" s="98"/>
      <c r="KQS3" s="98"/>
      <c r="KQT3" s="98"/>
      <c r="KQU3" s="98"/>
      <c r="KQV3" s="98"/>
      <c r="KQW3" s="98"/>
      <c r="KQX3" s="98"/>
      <c r="KQY3" s="98"/>
      <c r="KQZ3" s="98"/>
      <c r="KRA3" s="98"/>
      <c r="KRB3" s="98"/>
      <c r="KRC3" s="98"/>
      <c r="KRD3" s="98"/>
      <c r="KRE3" s="98"/>
      <c r="KRF3" s="98"/>
      <c r="KRG3" s="98"/>
      <c r="KRH3" s="98"/>
      <c r="KRI3" s="98"/>
      <c r="KRJ3" s="98"/>
      <c r="KRK3" s="98"/>
      <c r="KRL3" s="98"/>
      <c r="KRM3" s="98"/>
      <c r="KRN3" s="98"/>
      <c r="KRO3" s="98"/>
      <c r="KRP3" s="98"/>
      <c r="KRQ3" s="98"/>
      <c r="KRR3" s="98"/>
      <c r="KRS3" s="98"/>
      <c r="KRT3" s="98"/>
      <c r="KRU3" s="98"/>
      <c r="KRV3" s="98"/>
      <c r="KRW3" s="98"/>
      <c r="KRX3" s="98"/>
      <c r="KRY3" s="98"/>
      <c r="KRZ3" s="98"/>
      <c r="KSA3" s="98"/>
      <c r="KSB3" s="98"/>
      <c r="KSC3" s="98"/>
      <c r="KSD3" s="98"/>
      <c r="KSE3" s="98"/>
      <c r="KSF3" s="98"/>
      <c r="KSG3" s="98"/>
      <c r="KSH3" s="98"/>
      <c r="KSI3" s="98"/>
      <c r="KSJ3" s="98"/>
      <c r="KSK3" s="98"/>
      <c r="KSL3" s="98"/>
      <c r="KSM3" s="98"/>
      <c r="KSN3" s="98"/>
      <c r="KSO3" s="98"/>
      <c r="KSP3" s="98"/>
      <c r="KSQ3" s="98"/>
      <c r="KSR3" s="98"/>
      <c r="KSS3" s="98"/>
      <c r="KST3" s="98"/>
      <c r="KSU3" s="98"/>
      <c r="KSV3" s="98"/>
      <c r="KSW3" s="98"/>
      <c r="KSX3" s="98"/>
      <c r="KSY3" s="98"/>
      <c r="KSZ3" s="98"/>
      <c r="KTA3" s="98"/>
      <c r="KTB3" s="98"/>
      <c r="KTC3" s="98"/>
      <c r="KTD3" s="98"/>
      <c r="KTE3" s="98"/>
      <c r="KTF3" s="98"/>
      <c r="KTG3" s="98"/>
      <c r="KTH3" s="98"/>
      <c r="KTI3" s="98"/>
      <c r="KTJ3" s="98"/>
      <c r="KTK3" s="98"/>
      <c r="KTL3" s="98"/>
      <c r="KTM3" s="98"/>
      <c r="KTN3" s="98"/>
      <c r="KTO3" s="98"/>
      <c r="KTP3" s="98"/>
      <c r="KTQ3" s="98"/>
      <c r="KTR3" s="98"/>
      <c r="KTS3" s="98"/>
      <c r="KTT3" s="98"/>
      <c r="KTU3" s="98"/>
      <c r="KTV3" s="98"/>
      <c r="KTW3" s="98"/>
      <c r="KTX3" s="98"/>
      <c r="KTY3" s="98"/>
      <c r="KTZ3" s="98"/>
      <c r="KUA3" s="98"/>
      <c r="KUB3" s="98"/>
      <c r="KUC3" s="98"/>
      <c r="KUD3" s="98"/>
      <c r="KUE3" s="98"/>
      <c r="KUF3" s="98"/>
      <c r="KUG3" s="98"/>
      <c r="KUH3" s="98"/>
      <c r="KUI3" s="98"/>
      <c r="KUJ3" s="98"/>
      <c r="KUK3" s="98"/>
      <c r="KUL3" s="98"/>
      <c r="KUM3" s="98"/>
      <c r="KUN3" s="98"/>
      <c r="KUO3" s="98"/>
      <c r="KUP3" s="98"/>
      <c r="KUQ3" s="98"/>
      <c r="KUR3" s="98"/>
      <c r="KUS3" s="98"/>
      <c r="KUT3" s="98"/>
      <c r="KUU3" s="98"/>
      <c r="KUV3" s="98"/>
      <c r="KUW3" s="98"/>
      <c r="KUX3" s="98"/>
      <c r="KUY3" s="98"/>
      <c r="KUZ3" s="98"/>
      <c r="KVA3" s="98"/>
      <c r="KVB3" s="98"/>
      <c r="KVC3" s="98"/>
      <c r="KVD3" s="98"/>
      <c r="KVE3" s="98"/>
      <c r="KVF3" s="98"/>
      <c r="KVG3" s="98"/>
      <c r="KVH3" s="98"/>
      <c r="KVI3" s="98"/>
      <c r="KVJ3" s="98"/>
      <c r="KVK3" s="98"/>
      <c r="KVL3" s="98"/>
      <c r="KVM3" s="98"/>
      <c r="KVN3" s="98"/>
      <c r="KVO3" s="98"/>
      <c r="KVP3" s="98"/>
      <c r="KVQ3" s="98"/>
      <c r="KVR3" s="98"/>
      <c r="KVS3" s="98"/>
      <c r="KVT3" s="98"/>
      <c r="KVU3" s="98"/>
      <c r="KVV3" s="98"/>
      <c r="KVW3" s="98"/>
      <c r="KVX3" s="98"/>
      <c r="KVY3" s="98"/>
      <c r="KVZ3" s="98"/>
      <c r="KWA3" s="98"/>
      <c r="KWB3" s="98"/>
      <c r="KWC3" s="98"/>
      <c r="KWD3" s="98"/>
      <c r="KWE3" s="98"/>
      <c r="KWF3" s="98"/>
      <c r="KWG3" s="98"/>
      <c r="KWH3" s="98"/>
      <c r="KWI3" s="98"/>
      <c r="KWJ3" s="98"/>
      <c r="KWK3" s="98"/>
      <c r="KWL3" s="98"/>
      <c r="KWM3" s="98"/>
      <c r="KWN3" s="98"/>
      <c r="KWO3" s="98"/>
      <c r="KWP3" s="98"/>
      <c r="KWQ3" s="98"/>
      <c r="KWR3" s="98"/>
      <c r="KWS3" s="98"/>
      <c r="KWT3" s="98"/>
      <c r="KWU3" s="98"/>
      <c r="KWV3" s="98"/>
      <c r="KWW3" s="98"/>
      <c r="KWX3" s="98"/>
      <c r="KWY3" s="98"/>
      <c r="KWZ3" s="98"/>
      <c r="KXA3" s="98"/>
      <c r="KXB3" s="98"/>
      <c r="KXC3" s="98"/>
      <c r="KXD3" s="98"/>
      <c r="KXE3" s="98"/>
      <c r="KXF3" s="98"/>
      <c r="KXG3" s="98"/>
      <c r="KXH3" s="98"/>
      <c r="KXI3" s="98"/>
      <c r="KXJ3" s="98"/>
      <c r="KXK3" s="98"/>
      <c r="KXL3" s="98"/>
      <c r="KXM3" s="98"/>
      <c r="KXN3" s="98"/>
      <c r="KXO3" s="98"/>
      <c r="KXP3" s="98"/>
      <c r="KXQ3" s="98"/>
      <c r="KXR3" s="98"/>
      <c r="KXS3" s="98"/>
      <c r="KXT3" s="98"/>
      <c r="KXU3" s="98"/>
      <c r="KXV3" s="98"/>
      <c r="KXW3" s="98"/>
      <c r="KXX3" s="98"/>
      <c r="KXY3" s="98"/>
      <c r="KXZ3" s="98"/>
      <c r="KYA3" s="98"/>
      <c r="KYB3" s="98"/>
      <c r="KYC3" s="98"/>
      <c r="KYD3" s="98"/>
      <c r="KYE3" s="98"/>
      <c r="KYF3" s="98"/>
      <c r="KYG3" s="98"/>
      <c r="KYH3" s="98"/>
      <c r="KYI3" s="98"/>
      <c r="KYJ3" s="98"/>
      <c r="KYK3" s="98"/>
      <c r="KYL3" s="98"/>
      <c r="KYM3" s="98"/>
      <c r="KYN3" s="98"/>
      <c r="KYO3" s="98"/>
      <c r="KYP3" s="98"/>
      <c r="KYQ3" s="98"/>
      <c r="KYR3" s="98"/>
      <c r="KYS3" s="98"/>
      <c r="KYT3" s="98"/>
      <c r="KYU3" s="98"/>
      <c r="KYV3" s="98"/>
      <c r="KYW3" s="98"/>
      <c r="KYX3" s="98"/>
      <c r="KYY3" s="98"/>
      <c r="KYZ3" s="98"/>
      <c r="KZA3" s="98"/>
      <c r="KZB3" s="98"/>
      <c r="KZC3" s="98"/>
      <c r="KZD3" s="98"/>
      <c r="KZE3" s="98"/>
      <c r="KZF3" s="98"/>
      <c r="KZG3" s="98"/>
      <c r="KZH3" s="98"/>
      <c r="KZI3" s="98"/>
      <c r="KZJ3" s="98"/>
      <c r="KZK3" s="98"/>
      <c r="KZL3" s="98"/>
      <c r="KZM3" s="98"/>
      <c r="KZN3" s="98"/>
      <c r="KZO3" s="98"/>
      <c r="KZP3" s="98"/>
      <c r="KZQ3" s="98"/>
      <c r="KZR3" s="98"/>
      <c r="KZS3" s="98"/>
      <c r="KZT3" s="98"/>
      <c r="KZU3" s="98"/>
      <c r="KZV3" s="98"/>
      <c r="KZW3" s="98"/>
      <c r="KZX3" s="98"/>
      <c r="KZY3" s="98"/>
      <c r="KZZ3" s="98"/>
      <c r="LAA3" s="98"/>
      <c r="LAB3" s="98"/>
      <c r="LAC3" s="98"/>
      <c r="LAD3" s="98"/>
      <c r="LAE3" s="98"/>
      <c r="LAF3" s="98"/>
      <c r="LAG3" s="98"/>
      <c r="LAH3" s="98"/>
      <c r="LAI3" s="98"/>
      <c r="LAJ3" s="98"/>
      <c r="LAK3" s="98"/>
      <c r="LAL3" s="98"/>
      <c r="LAM3" s="98"/>
      <c r="LAN3" s="98"/>
      <c r="LAO3" s="98"/>
      <c r="LAP3" s="98"/>
      <c r="LAQ3" s="98"/>
      <c r="LAR3" s="98"/>
      <c r="LAS3" s="98"/>
      <c r="LAT3" s="98"/>
      <c r="LAU3" s="98"/>
      <c r="LAV3" s="98"/>
      <c r="LAW3" s="98"/>
      <c r="LAX3" s="98"/>
      <c r="LAY3" s="98"/>
      <c r="LAZ3" s="98"/>
      <c r="LBA3" s="98"/>
      <c r="LBB3" s="98"/>
      <c r="LBC3" s="98"/>
      <c r="LBD3" s="98"/>
      <c r="LBE3" s="98"/>
      <c r="LBF3" s="98"/>
      <c r="LBG3" s="98"/>
      <c r="LBH3" s="98"/>
      <c r="LBI3" s="98"/>
      <c r="LBJ3" s="98"/>
      <c r="LBK3" s="98"/>
      <c r="LBL3" s="98"/>
      <c r="LBM3" s="98"/>
      <c r="LBN3" s="98"/>
      <c r="LBO3" s="98"/>
      <c r="LBP3" s="98"/>
      <c r="LBQ3" s="98"/>
      <c r="LBR3" s="98"/>
      <c r="LBS3" s="98"/>
      <c r="LBT3" s="98"/>
      <c r="LBU3" s="98"/>
      <c r="LBV3" s="98"/>
      <c r="LBW3" s="98"/>
      <c r="LBX3" s="98"/>
      <c r="LBY3" s="98"/>
      <c r="LBZ3" s="98"/>
      <c r="LCA3" s="98"/>
      <c r="LCB3" s="98"/>
      <c r="LCC3" s="98"/>
      <c r="LCD3" s="98"/>
      <c r="LCE3" s="98"/>
      <c r="LCF3" s="98"/>
      <c r="LCG3" s="98"/>
      <c r="LCH3" s="98"/>
      <c r="LCI3" s="98"/>
      <c r="LCJ3" s="98"/>
      <c r="LCK3" s="98"/>
      <c r="LCL3" s="98"/>
      <c r="LCM3" s="98"/>
      <c r="LCN3" s="98"/>
      <c r="LCO3" s="98"/>
      <c r="LCP3" s="98"/>
      <c r="LCQ3" s="98"/>
      <c r="LCR3" s="98"/>
      <c r="LCS3" s="98"/>
      <c r="LCT3" s="98"/>
      <c r="LCU3" s="98"/>
      <c r="LCV3" s="98"/>
      <c r="LCW3" s="98"/>
      <c r="LCX3" s="98"/>
      <c r="LCY3" s="98"/>
      <c r="LCZ3" s="98"/>
      <c r="LDA3" s="98"/>
      <c r="LDB3" s="98"/>
      <c r="LDC3" s="98"/>
      <c r="LDD3" s="98"/>
      <c r="LDE3" s="98"/>
      <c r="LDF3" s="98"/>
      <c r="LDG3" s="98"/>
      <c r="LDH3" s="98"/>
      <c r="LDI3" s="98"/>
      <c r="LDJ3" s="98"/>
      <c r="LDK3" s="98"/>
      <c r="LDL3" s="98"/>
      <c r="LDM3" s="98"/>
      <c r="LDN3" s="98"/>
      <c r="LDO3" s="98"/>
      <c r="LDP3" s="98"/>
      <c r="LDQ3" s="98"/>
      <c r="LDR3" s="98"/>
      <c r="LDS3" s="98"/>
      <c r="LDT3" s="98"/>
      <c r="LDU3" s="98"/>
      <c r="LDV3" s="98"/>
      <c r="LDW3" s="98"/>
      <c r="LDX3" s="98"/>
      <c r="LDY3" s="98"/>
      <c r="LDZ3" s="98"/>
      <c r="LEA3" s="98"/>
      <c r="LEB3" s="98"/>
      <c r="LEC3" s="98"/>
      <c r="LED3" s="98"/>
      <c r="LEE3" s="98"/>
      <c r="LEF3" s="98"/>
      <c r="LEG3" s="98"/>
      <c r="LEH3" s="98"/>
      <c r="LEI3" s="98"/>
      <c r="LEJ3" s="98"/>
      <c r="LEK3" s="98"/>
      <c r="LEL3" s="98"/>
      <c r="LEM3" s="98"/>
      <c r="LEN3" s="98"/>
      <c r="LEO3" s="98"/>
      <c r="LEP3" s="98"/>
      <c r="LEQ3" s="98"/>
      <c r="LER3" s="98"/>
      <c r="LES3" s="98"/>
      <c r="LET3" s="98"/>
      <c r="LEU3" s="98"/>
      <c r="LEV3" s="98"/>
      <c r="LEW3" s="98"/>
      <c r="LEX3" s="98"/>
      <c r="LEY3" s="98"/>
      <c r="LEZ3" s="98"/>
      <c r="LFA3" s="98"/>
      <c r="LFB3" s="98"/>
      <c r="LFC3" s="98"/>
      <c r="LFD3" s="98"/>
      <c r="LFE3" s="98"/>
      <c r="LFF3" s="98"/>
      <c r="LFG3" s="98"/>
      <c r="LFH3" s="98"/>
      <c r="LFI3" s="98"/>
      <c r="LFJ3" s="98"/>
      <c r="LFK3" s="98"/>
      <c r="LFL3" s="98"/>
      <c r="LFM3" s="98"/>
      <c r="LFN3" s="98"/>
      <c r="LFO3" s="98"/>
      <c r="LFP3" s="98"/>
      <c r="LFQ3" s="98"/>
      <c r="LFR3" s="98"/>
      <c r="LFS3" s="98"/>
      <c r="LFT3" s="98"/>
      <c r="LFU3" s="98"/>
      <c r="LFV3" s="98"/>
      <c r="LFW3" s="98"/>
      <c r="LFX3" s="98"/>
      <c r="LFY3" s="98"/>
      <c r="LFZ3" s="98"/>
      <c r="LGA3" s="98"/>
      <c r="LGB3" s="98"/>
      <c r="LGC3" s="98"/>
      <c r="LGD3" s="98"/>
      <c r="LGE3" s="98"/>
      <c r="LGF3" s="98"/>
      <c r="LGG3" s="98"/>
      <c r="LGH3" s="98"/>
      <c r="LGI3" s="98"/>
      <c r="LGJ3" s="98"/>
      <c r="LGK3" s="98"/>
      <c r="LGL3" s="98"/>
      <c r="LGM3" s="98"/>
      <c r="LGN3" s="98"/>
      <c r="LGO3" s="98"/>
      <c r="LGP3" s="98"/>
      <c r="LGQ3" s="98"/>
      <c r="LGR3" s="98"/>
      <c r="LGS3" s="98"/>
      <c r="LGT3" s="98"/>
      <c r="LGU3" s="98"/>
      <c r="LGV3" s="98"/>
      <c r="LGW3" s="98"/>
      <c r="LGX3" s="98"/>
      <c r="LGY3" s="98"/>
      <c r="LGZ3" s="98"/>
      <c r="LHA3" s="98"/>
      <c r="LHB3" s="98"/>
      <c r="LHC3" s="98"/>
      <c r="LHD3" s="98"/>
      <c r="LHE3" s="98"/>
      <c r="LHF3" s="98"/>
      <c r="LHG3" s="98"/>
      <c r="LHH3" s="98"/>
      <c r="LHI3" s="98"/>
      <c r="LHJ3" s="98"/>
      <c r="LHK3" s="98"/>
      <c r="LHL3" s="98"/>
      <c r="LHM3" s="98"/>
      <c r="LHN3" s="98"/>
      <c r="LHO3" s="98"/>
      <c r="LHP3" s="98"/>
      <c r="LHQ3" s="98"/>
      <c r="LHR3" s="98"/>
      <c r="LHS3" s="98"/>
      <c r="LHT3" s="98"/>
      <c r="LHU3" s="98"/>
      <c r="LHV3" s="98"/>
      <c r="LHW3" s="98"/>
      <c r="LHX3" s="98"/>
      <c r="LHY3" s="98"/>
      <c r="LHZ3" s="98"/>
      <c r="LIA3" s="98"/>
      <c r="LIB3" s="98"/>
      <c r="LIC3" s="98"/>
      <c r="LID3" s="98"/>
      <c r="LIE3" s="98"/>
      <c r="LIF3" s="98"/>
      <c r="LIG3" s="98"/>
      <c r="LIH3" s="98"/>
      <c r="LII3" s="98"/>
      <c r="LIJ3" s="98"/>
      <c r="LIK3" s="98"/>
      <c r="LIL3" s="98"/>
      <c r="LIM3" s="98"/>
      <c r="LIN3" s="98"/>
      <c r="LIO3" s="98"/>
      <c r="LIP3" s="98"/>
      <c r="LIQ3" s="98"/>
      <c r="LIR3" s="98"/>
      <c r="LIS3" s="98"/>
      <c r="LIT3" s="98"/>
      <c r="LIU3" s="98"/>
      <c r="LIV3" s="98"/>
      <c r="LIW3" s="98"/>
      <c r="LIX3" s="98"/>
      <c r="LIY3" s="98"/>
      <c r="LIZ3" s="98"/>
      <c r="LJA3" s="98"/>
      <c r="LJB3" s="98"/>
      <c r="LJC3" s="98"/>
      <c r="LJD3" s="98"/>
      <c r="LJE3" s="98"/>
      <c r="LJF3" s="98"/>
      <c r="LJG3" s="98"/>
      <c r="LJH3" s="98"/>
      <c r="LJI3" s="98"/>
      <c r="LJJ3" s="98"/>
      <c r="LJK3" s="98"/>
      <c r="LJL3" s="98"/>
      <c r="LJM3" s="98"/>
      <c r="LJN3" s="98"/>
      <c r="LJO3" s="98"/>
      <c r="LJP3" s="98"/>
      <c r="LJQ3" s="98"/>
      <c r="LJR3" s="98"/>
      <c r="LJS3" s="98"/>
      <c r="LJT3" s="98"/>
      <c r="LJU3" s="98"/>
      <c r="LJV3" s="98"/>
      <c r="LJW3" s="98"/>
      <c r="LJX3" s="98"/>
      <c r="LJY3" s="98"/>
      <c r="LJZ3" s="98"/>
      <c r="LKA3" s="98"/>
      <c r="LKB3" s="98"/>
      <c r="LKC3" s="98"/>
      <c r="LKD3" s="98"/>
      <c r="LKE3" s="98"/>
      <c r="LKF3" s="98"/>
      <c r="LKG3" s="98"/>
      <c r="LKH3" s="98"/>
      <c r="LKI3" s="98"/>
      <c r="LKJ3" s="98"/>
      <c r="LKK3" s="98"/>
      <c r="LKL3" s="98"/>
      <c r="LKM3" s="98"/>
      <c r="LKN3" s="98"/>
      <c r="LKO3" s="98"/>
      <c r="LKP3" s="98"/>
      <c r="LKQ3" s="98"/>
      <c r="LKR3" s="98"/>
      <c r="LKS3" s="98"/>
      <c r="LKT3" s="98"/>
      <c r="LKU3" s="98"/>
      <c r="LKV3" s="98"/>
      <c r="LKW3" s="98"/>
      <c r="LKX3" s="98"/>
      <c r="LKY3" s="98"/>
      <c r="LKZ3" s="98"/>
      <c r="LLA3" s="98"/>
      <c r="LLB3" s="98"/>
      <c r="LLC3" s="98"/>
      <c r="LLD3" s="98"/>
      <c r="LLE3" s="98"/>
      <c r="LLF3" s="98"/>
      <c r="LLG3" s="98"/>
      <c r="LLH3" s="98"/>
      <c r="LLI3" s="98"/>
      <c r="LLJ3" s="98"/>
      <c r="LLK3" s="98"/>
      <c r="LLL3" s="98"/>
      <c r="LLM3" s="98"/>
      <c r="LLN3" s="98"/>
      <c r="LLO3" s="98"/>
      <c r="LLP3" s="98"/>
      <c r="LLQ3" s="98"/>
      <c r="LLR3" s="98"/>
      <c r="LLS3" s="98"/>
      <c r="LLT3" s="98"/>
      <c r="LLU3" s="98"/>
      <c r="LLV3" s="98"/>
      <c r="LLW3" s="98"/>
      <c r="LLX3" s="98"/>
      <c r="LLY3" s="98"/>
      <c r="LLZ3" s="98"/>
      <c r="LMA3" s="98"/>
      <c r="LMB3" s="98"/>
      <c r="LMC3" s="98"/>
      <c r="LMD3" s="98"/>
      <c r="LME3" s="98"/>
      <c r="LMF3" s="98"/>
      <c r="LMG3" s="98"/>
      <c r="LMH3" s="98"/>
      <c r="LMI3" s="98"/>
      <c r="LMJ3" s="98"/>
      <c r="LMK3" s="98"/>
      <c r="LML3" s="98"/>
      <c r="LMM3" s="98"/>
      <c r="LMN3" s="98"/>
      <c r="LMO3" s="98"/>
      <c r="LMP3" s="98"/>
      <c r="LMQ3" s="98"/>
      <c r="LMR3" s="98"/>
      <c r="LMS3" s="98"/>
      <c r="LMT3" s="98"/>
      <c r="LMU3" s="98"/>
      <c r="LMV3" s="98"/>
      <c r="LMW3" s="98"/>
      <c r="LMX3" s="98"/>
      <c r="LMY3" s="98"/>
      <c r="LMZ3" s="98"/>
      <c r="LNA3" s="98"/>
      <c r="LNB3" s="98"/>
      <c r="LNC3" s="98"/>
      <c r="LND3" s="98"/>
      <c r="LNE3" s="98"/>
      <c r="LNF3" s="98"/>
      <c r="LNG3" s="98"/>
      <c r="LNH3" s="98"/>
      <c r="LNI3" s="98"/>
      <c r="LNJ3" s="98"/>
      <c r="LNK3" s="98"/>
      <c r="LNL3" s="98"/>
      <c r="LNM3" s="98"/>
      <c r="LNN3" s="98"/>
      <c r="LNO3" s="98"/>
      <c r="LNP3" s="98"/>
      <c r="LNQ3" s="98"/>
      <c r="LNR3" s="98"/>
      <c r="LNS3" s="98"/>
      <c r="LNT3" s="98"/>
      <c r="LNU3" s="98"/>
      <c r="LNV3" s="98"/>
      <c r="LNW3" s="98"/>
      <c r="LNX3" s="98"/>
      <c r="LNY3" s="98"/>
      <c r="LNZ3" s="98"/>
      <c r="LOA3" s="98"/>
      <c r="LOB3" s="98"/>
      <c r="LOC3" s="98"/>
      <c r="LOD3" s="98"/>
      <c r="LOE3" s="98"/>
      <c r="LOF3" s="98"/>
      <c r="LOG3" s="98"/>
      <c r="LOH3" s="98"/>
      <c r="LOI3" s="98"/>
      <c r="LOJ3" s="98"/>
      <c r="LOK3" s="98"/>
      <c r="LOL3" s="98"/>
      <c r="LOM3" s="98"/>
      <c r="LON3" s="98"/>
      <c r="LOO3" s="98"/>
      <c r="LOP3" s="98"/>
      <c r="LOQ3" s="98"/>
      <c r="LOR3" s="98"/>
      <c r="LOS3" s="98"/>
      <c r="LOT3" s="98"/>
      <c r="LOU3" s="98"/>
      <c r="LOV3" s="98"/>
      <c r="LOW3" s="98"/>
      <c r="LOX3" s="98"/>
      <c r="LOY3" s="98"/>
      <c r="LOZ3" s="98"/>
      <c r="LPA3" s="98"/>
      <c r="LPB3" s="98"/>
      <c r="LPC3" s="98"/>
      <c r="LPD3" s="98"/>
      <c r="LPE3" s="98"/>
      <c r="LPF3" s="98"/>
      <c r="LPG3" s="98"/>
      <c r="LPH3" s="98"/>
      <c r="LPI3" s="98"/>
      <c r="LPJ3" s="98"/>
      <c r="LPK3" s="98"/>
      <c r="LPL3" s="98"/>
      <c r="LPM3" s="98"/>
      <c r="LPN3" s="98"/>
      <c r="LPO3" s="98"/>
      <c r="LPP3" s="98"/>
      <c r="LPQ3" s="98"/>
      <c r="LPR3" s="98"/>
      <c r="LPS3" s="98"/>
      <c r="LPT3" s="98"/>
      <c r="LPU3" s="98"/>
      <c r="LPV3" s="98"/>
      <c r="LPW3" s="98"/>
      <c r="LPX3" s="98"/>
      <c r="LPY3" s="98"/>
      <c r="LPZ3" s="98"/>
      <c r="LQA3" s="98"/>
      <c r="LQB3" s="98"/>
      <c r="LQC3" s="98"/>
      <c r="LQD3" s="98"/>
      <c r="LQE3" s="98"/>
      <c r="LQF3" s="98"/>
      <c r="LQG3" s="98"/>
      <c r="LQH3" s="98"/>
      <c r="LQI3" s="98"/>
      <c r="LQJ3" s="98"/>
      <c r="LQK3" s="98"/>
      <c r="LQL3" s="98"/>
      <c r="LQM3" s="98"/>
      <c r="LQN3" s="98"/>
      <c r="LQO3" s="98"/>
      <c r="LQP3" s="98"/>
      <c r="LQQ3" s="98"/>
      <c r="LQR3" s="98"/>
      <c r="LQS3" s="98"/>
      <c r="LQT3" s="98"/>
      <c r="LQU3" s="98"/>
      <c r="LQV3" s="98"/>
      <c r="LQW3" s="98"/>
      <c r="LQX3" s="98"/>
      <c r="LQY3" s="98"/>
      <c r="LQZ3" s="98"/>
      <c r="LRA3" s="98"/>
      <c r="LRB3" s="98"/>
      <c r="LRC3" s="98"/>
      <c r="LRD3" s="98"/>
      <c r="LRE3" s="98"/>
      <c r="LRF3" s="98"/>
      <c r="LRG3" s="98"/>
      <c r="LRH3" s="98"/>
      <c r="LRI3" s="98"/>
      <c r="LRJ3" s="98"/>
      <c r="LRK3" s="98"/>
      <c r="LRL3" s="98"/>
      <c r="LRM3" s="98"/>
      <c r="LRN3" s="98"/>
      <c r="LRO3" s="98"/>
      <c r="LRP3" s="98"/>
      <c r="LRQ3" s="98"/>
      <c r="LRR3" s="98"/>
      <c r="LRS3" s="98"/>
      <c r="LRT3" s="98"/>
      <c r="LRU3" s="98"/>
      <c r="LRV3" s="98"/>
      <c r="LRW3" s="98"/>
      <c r="LRX3" s="98"/>
      <c r="LRY3" s="98"/>
      <c r="LRZ3" s="98"/>
      <c r="LSA3" s="98"/>
      <c r="LSB3" s="98"/>
      <c r="LSC3" s="98"/>
      <c r="LSD3" s="98"/>
      <c r="LSE3" s="98"/>
      <c r="LSF3" s="98"/>
      <c r="LSG3" s="98"/>
      <c r="LSH3" s="98"/>
      <c r="LSI3" s="98"/>
      <c r="LSJ3" s="98"/>
      <c r="LSK3" s="98"/>
      <c r="LSL3" s="98"/>
      <c r="LSM3" s="98"/>
      <c r="LSN3" s="98"/>
      <c r="LSO3" s="98"/>
      <c r="LSP3" s="98"/>
      <c r="LSQ3" s="98"/>
      <c r="LSR3" s="98"/>
      <c r="LSS3" s="98"/>
      <c r="LST3" s="98"/>
      <c r="LSU3" s="98"/>
      <c r="LSV3" s="98"/>
      <c r="LSW3" s="98"/>
      <c r="LSX3" s="98"/>
      <c r="LSY3" s="98"/>
      <c r="LSZ3" s="98"/>
      <c r="LTA3" s="98"/>
      <c r="LTB3" s="98"/>
      <c r="LTC3" s="98"/>
      <c r="LTD3" s="98"/>
      <c r="LTE3" s="98"/>
      <c r="LTF3" s="98"/>
      <c r="LTG3" s="98"/>
      <c r="LTH3" s="98"/>
      <c r="LTI3" s="98"/>
      <c r="LTJ3" s="98"/>
      <c r="LTK3" s="98"/>
      <c r="LTL3" s="98"/>
      <c r="LTM3" s="98"/>
      <c r="LTN3" s="98"/>
      <c r="LTO3" s="98"/>
      <c r="LTP3" s="98"/>
      <c r="LTQ3" s="98"/>
      <c r="LTR3" s="98"/>
      <c r="LTS3" s="98"/>
      <c r="LTT3" s="98"/>
      <c r="LTU3" s="98"/>
      <c r="LTV3" s="98"/>
      <c r="LTW3" s="98"/>
      <c r="LTX3" s="98"/>
      <c r="LTY3" s="98"/>
      <c r="LTZ3" s="98"/>
      <c r="LUA3" s="98"/>
      <c r="LUB3" s="98"/>
      <c r="LUC3" s="98"/>
      <c r="LUD3" s="98"/>
      <c r="LUE3" s="98"/>
      <c r="LUF3" s="98"/>
      <c r="LUG3" s="98"/>
      <c r="LUH3" s="98"/>
      <c r="LUI3" s="98"/>
      <c r="LUJ3" s="98"/>
      <c r="LUK3" s="98"/>
      <c r="LUL3" s="98"/>
      <c r="LUM3" s="98"/>
      <c r="LUN3" s="98"/>
      <c r="LUO3" s="98"/>
      <c r="LUP3" s="98"/>
      <c r="LUQ3" s="98"/>
      <c r="LUR3" s="98"/>
      <c r="LUS3" s="98"/>
      <c r="LUT3" s="98"/>
      <c r="LUU3" s="98"/>
      <c r="LUV3" s="98"/>
      <c r="LUW3" s="98"/>
      <c r="LUX3" s="98"/>
      <c r="LUY3" s="98"/>
      <c r="LUZ3" s="98"/>
      <c r="LVA3" s="98"/>
      <c r="LVB3" s="98"/>
      <c r="LVC3" s="98"/>
      <c r="LVD3" s="98"/>
      <c r="LVE3" s="98"/>
      <c r="LVF3" s="98"/>
      <c r="LVG3" s="98"/>
      <c r="LVH3" s="98"/>
      <c r="LVI3" s="98"/>
      <c r="LVJ3" s="98"/>
      <c r="LVK3" s="98"/>
      <c r="LVL3" s="98"/>
      <c r="LVM3" s="98"/>
      <c r="LVN3" s="98"/>
      <c r="LVO3" s="98"/>
      <c r="LVP3" s="98"/>
      <c r="LVQ3" s="98"/>
      <c r="LVR3" s="98"/>
      <c r="LVS3" s="98"/>
      <c r="LVT3" s="98"/>
      <c r="LVU3" s="98"/>
      <c r="LVV3" s="98"/>
      <c r="LVW3" s="98"/>
      <c r="LVX3" s="98"/>
      <c r="LVY3" s="98"/>
      <c r="LVZ3" s="98"/>
      <c r="LWA3" s="98"/>
      <c r="LWB3" s="98"/>
      <c r="LWC3" s="98"/>
      <c r="LWD3" s="98"/>
      <c r="LWE3" s="98"/>
      <c r="LWF3" s="98"/>
      <c r="LWG3" s="98"/>
      <c r="LWH3" s="98"/>
      <c r="LWI3" s="98"/>
      <c r="LWJ3" s="98"/>
      <c r="LWK3" s="98"/>
      <c r="LWL3" s="98"/>
      <c r="LWM3" s="98"/>
      <c r="LWN3" s="98"/>
      <c r="LWO3" s="98"/>
      <c r="LWP3" s="98"/>
      <c r="LWQ3" s="98"/>
      <c r="LWR3" s="98"/>
      <c r="LWS3" s="98"/>
      <c r="LWT3" s="98"/>
      <c r="LWU3" s="98"/>
      <c r="LWV3" s="98"/>
      <c r="LWW3" s="98"/>
      <c r="LWX3" s="98"/>
      <c r="LWY3" s="98"/>
      <c r="LWZ3" s="98"/>
      <c r="LXA3" s="98"/>
      <c r="LXB3" s="98"/>
      <c r="LXC3" s="98"/>
      <c r="LXD3" s="98"/>
      <c r="LXE3" s="98"/>
      <c r="LXF3" s="98"/>
      <c r="LXG3" s="98"/>
      <c r="LXH3" s="98"/>
      <c r="LXI3" s="98"/>
      <c r="LXJ3" s="98"/>
      <c r="LXK3" s="98"/>
      <c r="LXL3" s="98"/>
      <c r="LXM3" s="98"/>
      <c r="LXN3" s="98"/>
      <c r="LXO3" s="98"/>
      <c r="LXP3" s="98"/>
      <c r="LXQ3" s="98"/>
      <c r="LXR3" s="98"/>
      <c r="LXS3" s="98"/>
      <c r="LXT3" s="98"/>
      <c r="LXU3" s="98"/>
      <c r="LXV3" s="98"/>
      <c r="LXW3" s="98"/>
      <c r="LXX3" s="98"/>
      <c r="LXY3" s="98"/>
      <c r="LXZ3" s="98"/>
      <c r="LYA3" s="98"/>
      <c r="LYB3" s="98"/>
      <c r="LYC3" s="98"/>
      <c r="LYD3" s="98"/>
      <c r="LYE3" s="98"/>
      <c r="LYF3" s="98"/>
      <c r="LYG3" s="98"/>
      <c r="LYH3" s="98"/>
      <c r="LYI3" s="98"/>
      <c r="LYJ3" s="98"/>
      <c r="LYK3" s="98"/>
      <c r="LYL3" s="98"/>
      <c r="LYM3" s="98"/>
      <c r="LYN3" s="98"/>
      <c r="LYO3" s="98"/>
      <c r="LYP3" s="98"/>
      <c r="LYQ3" s="98"/>
      <c r="LYR3" s="98"/>
      <c r="LYS3" s="98"/>
      <c r="LYT3" s="98"/>
      <c r="LYU3" s="98"/>
      <c r="LYV3" s="98"/>
      <c r="LYW3" s="98"/>
      <c r="LYX3" s="98"/>
      <c r="LYY3" s="98"/>
      <c r="LYZ3" s="98"/>
      <c r="LZA3" s="98"/>
      <c r="LZB3" s="98"/>
      <c r="LZC3" s="98"/>
      <c r="LZD3" s="98"/>
      <c r="LZE3" s="98"/>
      <c r="LZF3" s="98"/>
      <c r="LZG3" s="98"/>
      <c r="LZH3" s="98"/>
      <c r="LZI3" s="98"/>
      <c r="LZJ3" s="98"/>
      <c r="LZK3" s="98"/>
      <c r="LZL3" s="98"/>
      <c r="LZM3" s="98"/>
      <c r="LZN3" s="98"/>
      <c r="LZO3" s="98"/>
      <c r="LZP3" s="98"/>
      <c r="LZQ3" s="98"/>
      <c r="LZR3" s="98"/>
      <c r="LZS3" s="98"/>
      <c r="LZT3" s="98"/>
      <c r="LZU3" s="98"/>
      <c r="LZV3" s="98"/>
      <c r="LZW3" s="98"/>
      <c r="LZX3" s="98"/>
      <c r="LZY3" s="98"/>
      <c r="LZZ3" s="98"/>
      <c r="MAA3" s="98"/>
      <c r="MAB3" s="98"/>
      <c r="MAC3" s="98"/>
      <c r="MAD3" s="98"/>
      <c r="MAE3" s="98"/>
      <c r="MAF3" s="98"/>
      <c r="MAG3" s="98"/>
      <c r="MAH3" s="98"/>
      <c r="MAI3" s="98"/>
      <c r="MAJ3" s="98"/>
      <c r="MAK3" s="98"/>
      <c r="MAL3" s="98"/>
      <c r="MAM3" s="98"/>
      <c r="MAN3" s="98"/>
      <c r="MAO3" s="98"/>
      <c r="MAP3" s="98"/>
      <c r="MAQ3" s="98"/>
      <c r="MAR3" s="98"/>
      <c r="MAS3" s="98"/>
      <c r="MAT3" s="98"/>
      <c r="MAU3" s="98"/>
      <c r="MAV3" s="98"/>
      <c r="MAW3" s="98"/>
      <c r="MAX3" s="98"/>
      <c r="MAY3" s="98"/>
      <c r="MAZ3" s="98"/>
      <c r="MBA3" s="98"/>
      <c r="MBB3" s="98"/>
      <c r="MBC3" s="98"/>
      <c r="MBD3" s="98"/>
      <c r="MBE3" s="98"/>
      <c r="MBF3" s="98"/>
      <c r="MBG3" s="98"/>
      <c r="MBH3" s="98"/>
      <c r="MBI3" s="98"/>
      <c r="MBJ3" s="98"/>
      <c r="MBK3" s="98"/>
      <c r="MBL3" s="98"/>
      <c r="MBM3" s="98"/>
      <c r="MBN3" s="98"/>
      <c r="MBO3" s="98"/>
      <c r="MBP3" s="98"/>
      <c r="MBQ3" s="98"/>
      <c r="MBR3" s="98"/>
      <c r="MBS3" s="98"/>
      <c r="MBT3" s="98"/>
      <c r="MBU3" s="98"/>
      <c r="MBV3" s="98"/>
      <c r="MBW3" s="98"/>
      <c r="MBX3" s="98"/>
      <c r="MBY3" s="98"/>
      <c r="MBZ3" s="98"/>
      <c r="MCA3" s="98"/>
      <c r="MCB3" s="98"/>
      <c r="MCC3" s="98"/>
      <c r="MCD3" s="98"/>
      <c r="MCE3" s="98"/>
      <c r="MCF3" s="98"/>
      <c r="MCG3" s="98"/>
      <c r="MCH3" s="98"/>
      <c r="MCI3" s="98"/>
      <c r="MCJ3" s="98"/>
      <c r="MCK3" s="98"/>
      <c r="MCL3" s="98"/>
      <c r="MCM3" s="98"/>
      <c r="MCN3" s="98"/>
      <c r="MCO3" s="98"/>
      <c r="MCP3" s="98"/>
      <c r="MCQ3" s="98"/>
      <c r="MCR3" s="98"/>
      <c r="MCS3" s="98"/>
      <c r="MCT3" s="98"/>
      <c r="MCU3" s="98"/>
      <c r="MCV3" s="98"/>
      <c r="MCW3" s="98"/>
      <c r="MCX3" s="98"/>
      <c r="MCY3" s="98"/>
      <c r="MCZ3" s="98"/>
      <c r="MDA3" s="98"/>
      <c r="MDB3" s="98"/>
      <c r="MDC3" s="98"/>
      <c r="MDD3" s="98"/>
      <c r="MDE3" s="98"/>
      <c r="MDF3" s="98"/>
      <c r="MDG3" s="98"/>
      <c r="MDH3" s="98"/>
      <c r="MDI3" s="98"/>
      <c r="MDJ3" s="98"/>
      <c r="MDK3" s="98"/>
      <c r="MDL3" s="98"/>
      <c r="MDM3" s="98"/>
      <c r="MDN3" s="98"/>
      <c r="MDO3" s="98"/>
      <c r="MDP3" s="98"/>
      <c r="MDQ3" s="98"/>
      <c r="MDR3" s="98"/>
      <c r="MDS3" s="98"/>
      <c r="MDT3" s="98"/>
      <c r="MDU3" s="98"/>
      <c r="MDV3" s="98"/>
      <c r="MDW3" s="98"/>
      <c r="MDX3" s="98"/>
      <c r="MDY3" s="98"/>
      <c r="MDZ3" s="98"/>
      <c r="MEA3" s="98"/>
      <c r="MEB3" s="98"/>
      <c r="MEC3" s="98"/>
      <c r="MED3" s="98"/>
      <c r="MEE3" s="98"/>
      <c r="MEF3" s="98"/>
      <c r="MEG3" s="98"/>
      <c r="MEH3" s="98"/>
      <c r="MEI3" s="98"/>
      <c r="MEJ3" s="98"/>
      <c r="MEK3" s="98"/>
      <c r="MEL3" s="98"/>
      <c r="MEM3" s="98"/>
      <c r="MEN3" s="98"/>
      <c r="MEO3" s="98"/>
      <c r="MEP3" s="98"/>
      <c r="MEQ3" s="98"/>
      <c r="MER3" s="98"/>
      <c r="MES3" s="98"/>
      <c r="MET3" s="98"/>
      <c r="MEU3" s="98"/>
      <c r="MEV3" s="98"/>
      <c r="MEW3" s="98"/>
      <c r="MEX3" s="98"/>
      <c r="MEY3" s="98"/>
      <c r="MEZ3" s="98"/>
      <c r="MFA3" s="98"/>
      <c r="MFB3" s="98"/>
      <c r="MFC3" s="98"/>
      <c r="MFD3" s="98"/>
      <c r="MFE3" s="98"/>
      <c r="MFF3" s="98"/>
      <c r="MFG3" s="98"/>
      <c r="MFH3" s="98"/>
      <c r="MFI3" s="98"/>
      <c r="MFJ3" s="98"/>
      <c r="MFK3" s="98"/>
      <c r="MFL3" s="98"/>
      <c r="MFM3" s="98"/>
      <c r="MFN3" s="98"/>
      <c r="MFO3" s="98"/>
      <c r="MFP3" s="98"/>
      <c r="MFQ3" s="98"/>
      <c r="MFR3" s="98"/>
      <c r="MFS3" s="98"/>
      <c r="MFT3" s="98"/>
      <c r="MFU3" s="98"/>
      <c r="MFV3" s="98"/>
      <c r="MFW3" s="98"/>
      <c r="MFX3" s="98"/>
      <c r="MFY3" s="98"/>
      <c r="MFZ3" s="98"/>
      <c r="MGA3" s="98"/>
      <c r="MGB3" s="98"/>
      <c r="MGC3" s="98"/>
      <c r="MGD3" s="98"/>
      <c r="MGE3" s="98"/>
      <c r="MGF3" s="98"/>
      <c r="MGG3" s="98"/>
      <c r="MGH3" s="98"/>
      <c r="MGI3" s="98"/>
      <c r="MGJ3" s="98"/>
      <c r="MGK3" s="98"/>
      <c r="MGL3" s="98"/>
      <c r="MGM3" s="98"/>
      <c r="MGN3" s="98"/>
      <c r="MGO3" s="98"/>
      <c r="MGP3" s="98"/>
      <c r="MGQ3" s="98"/>
      <c r="MGR3" s="98"/>
      <c r="MGS3" s="98"/>
      <c r="MGT3" s="98"/>
      <c r="MGU3" s="98"/>
      <c r="MGV3" s="98"/>
      <c r="MGW3" s="98"/>
      <c r="MGX3" s="98"/>
      <c r="MGY3" s="98"/>
      <c r="MGZ3" s="98"/>
      <c r="MHA3" s="98"/>
      <c r="MHB3" s="98"/>
      <c r="MHC3" s="98"/>
      <c r="MHD3" s="98"/>
      <c r="MHE3" s="98"/>
      <c r="MHF3" s="98"/>
      <c r="MHG3" s="98"/>
      <c r="MHH3" s="98"/>
      <c r="MHI3" s="98"/>
      <c r="MHJ3" s="98"/>
      <c r="MHK3" s="98"/>
      <c r="MHL3" s="98"/>
      <c r="MHM3" s="98"/>
      <c r="MHN3" s="98"/>
      <c r="MHO3" s="98"/>
      <c r="MHP3" s="98"/>
      <c r="MHQ3" s="98"/>
      <c r="MHR3" s="98"/>
      <c r="MHS3" s="98"/>
      <c r="MHT3" s="98"/>
      <c r="MHU3" s="98"/>
      <c r="MHV3" s="98"/>
      <c r="MHW3" s="98"/>
      <c r="MHX3" s="98"/>
      <c r="MHY3" s="98"/>
      <c r="MHZ3" s="98"/>
      <c r="MIA3" s="98"/>
      <c r="MIB3" s="98"/>
      <c r="MIC3" s="98"/>
      <c r="MID3" s="98"/>
      <c r="MIE3" s="98"/>
      <c r="MIF3" s="98"/>
      <c r="MIG3" s="98"/>
      <c r="MIH3" s="98"/>
      <c r="MII3" s="98"/>
      <c r="MIJ3" s="98"/>
      <c r="MIK3" s="98"/>
      <c r="MIL3" s="98"/>
      <c r="MIM3" s="98"/>
      <c r="MIN3" s="98"/>
      <c r="MIO3" s="98"/>
      <c r="MIP3" s="98"/>
      <c r="MIQ3" s="98"/>
      <c r="MIR3" s="98"/>
      <c r="MIS3" s="98"/>
      <c r="MIT3" s="98"/>
      <c r="MIU3" s="98"/>
      <c r="MIV3" s="98"/>
      <c r="MIW3" s="98"/>
      <c r="MIX3" s="98"/>
      <c r="MIY3" s="98"/>
      <c r="MIZ3" s="98"/>
      <c r="MJA3" s="98"/>
      <c r="MJB3" s="98"/>
      <c r="MJC3" s="98"/>
      <c r="MJD3" s="98"/>
      <c r="MJE3" s="98"/>
      <c r="MJF3" s="98"/>
      <c r="MJG3" s="98"/>
      <c r="MJH3" s="98"/>
      <c r="MJI3" s="98"/>
      <c r="MJJ3" s="98"/>
      <c r="MJK3" s="98"/>
      <c r="MJL3" s="98"/>
      <c r="MJM3" s="98"/>
      <c r="MJN3" s="98"/>
      <c r="MJO3" s="98"/>
      <c r="MJP3" s="98"/>
      <c r="MJQ3" s="98"/>
      <c r="MJR3" s="98"/>
      <c r="MJS3" s="98"/>
      <c r="MJT3" s="98"/>
      <c r="MJU3" s="98"/>
      <c r="MJV3" s="98"/>
      <c r="MJW3" s="98"/>
      <c r="MJX3" s="98"/>
      <c r="MJY3" s="98"/>
      <c r="MJZ3" s="98"/>
      <c r="MKA3" s="98"/>
      <c r="MKB3" s="98"/>
      <c r="MKC3" s="98"/>
      <c r="MKD3" s="98"/>
      <c r="MKE3" s="98"/>
      <c r="MKF3" s="98"/>
      <c r="MKG3" s="98"/>
      <c r="MKH3" s="98"/>
      <c r="MKI3" s="98"/>
      <c r="MKJ3" s="98"/>
      <c r="MKK3" s="98"/>
      <c r="MKL3" s="98"/>
      <c r="MKM3" s="98"/>
      <c r="MKN3" s="98"/>
      <c r="MKO3" s="98"/>
      <c r="MKP3" s="98"/>
      <c r="MKQ3" s="98"/>
      <c r="MKR3" s="98"/>
      <c r="MKS3" s="98"/>
      <c r="MKT3" s="98"/>
      <c r="MKU3" s="98"/>
      <c r="MKV3" s="98"/>
      <c r="MKW3" s="98"/>
      <c r="MKX3" s="98"/>
      <c r="MKY3" s="98"/>
      <c r="MKZ3" s="98"/>
      <c r="MLA3" s="98"/>
      <c r="MLB3" s="98"/>
      <c r="MLC3" s="98"/>
      <c r="MLD3" s="98"/>
      <c r="MLE3" s="98"/>
      <c r="MLF3" s="98"/>
      <c r="MLG3" s="98"/>
      <c r="MLH3" s="98"/>
      <c r="MLI3" s="98"/>
      <c r="MLJ3" s="98"/>
      <c r="MLK3" s="98"/>
      <c r="MLL3" s="98"/>
      <c r="MLM3" s="98"/>
      <c r="MLN3" s="98"/>
      <c r="MLO3" s="98"/>
      <c r="MLP3" s="98"/>
      <c r="MLQ3" s="98"/>
      <c r="MLR3" s="98"/>
      <c r="MLS3" s="98"/>
      <c r="MLT3" s="98"/>
      <c r="MLU3" s="98"/>
      <c r="MLV3" s="98"/>
      <c r="MLW3" s="98"/>
      <c r="MLX3" s="98"/>
      <c r="MLY3" s="98"/>
      <c r="MLZ3" s="98"/>
      <c r="MMA3" s="98"/>
      <c r="MMB3" s="98"/>
      <c r="MMC3" s="98"/>
      <c r="MMD3" s="98"/>
      <c r="MME3" s="98"/>
      <c r="MMF3" s="98"/>
      <c r="MMG3" s="98"/>
      <c r="MMH3" s="98"/>
      <c r="MMI3" s="98"/>
      <c r="MMJ3" s="98"/>
      <c r="MMK3" s="98"/>
      <c r="MML3" s="98"/>
      <c r="MMM3" s="98"/>
      <c r="MMN3" s="98"/>
      <c r="MMO3" s="98"/>
      <c r="MMP3" s="98"/>
      <c r="MMQ3" s="98"/>
      <c r="MMR3" s="98"/>
      <c r="MMS3" s="98"/>
      <c r="MMT3" s="98"/>
      <c r="MMU3" s="98"/>
      <c r="MMV3" s="98"/>
      <c r="MMW3" s="98"/>
      <c r="MMX3" s="98"/>
      <c r="MMY3" s="98"/>
      <c r="MMZ3" s="98"/>
      <c r="MNA3" s="98"/>
      <c r="MNB3" s="98"/>
      <c r="MNC3" s="98"/>
      <c r="MND3" s="98"/>
      <c r="MNE3" s="98"/>
      <c r="MNF3" s="98"/>
      <c r="MNG3" s="98"/>
      <c r="MNH3" s="98"/>
      <c r="MNI3" s="98"/>
      <c r="MNJ3" s="98"/>
      <c r="MNK3" s="98"/>
      <c r="MNL3" s="98"/>
      <c r="MNM3" s="98"/>
      <c r="MNN3" s="98"/>
      <c r="MNO3" s="98"/>
      <c r="MNP3" s="98"/>
      <c r="MNQ3" s="98"/>
      <c r="MNR3" s="98"/>
      <c r="MNS3" s="98"/>
      <c r="MNT3" s="98"/>
      <c r="MNU3" s="98"/>
      <c r="MNV3" s="98"/>
      <c r="MNW3" s="98"/>
      <c r="MNX3" s="98"/>
      <c r="MNY3" s="98"/>
      <c r="MNZ3" s="98"/>
      <c r="MOA3" s="98"/>
      <c r="MOB3" s="98"/>
      <c r="MOC3" s="98"/>
      <c r="MOD3" s="98"/>
      <c r="MOE3" s="98"/>
      <c r="MOF3" s="98"/>
      <c r="MOG3" s="98"/>
      <c r="MOH3" s="98"/>
      <c r="MOI3" s="98"/>
      <c r="MOJ3" s="98"/>
      <c r="MOK3" s="98"/>
      <c r="MOL3" s="98"/>
      <c r="MOM3" s="98"/>
      <c r="MON3" s="98"/>
      <c r="MOO3" s="98"/>
      <c r="MOP3" s="98"/>
      <c r="MOQ3" s="98"/>
      <c r="MOR3" s="98"/>
      <c r="MOS3" s="98"/>
      <c r="MOT3" s="98"/>
      <c r="MOU3" s="98"/>
      <c r="MOV3" s="98"/>
      <c r="MOW3" s="98"/>
      <c r="MOX3" s="98"/>
      <c r="MOY3" s="98"/>
      <c r="MOZ3" s="98"/>
      <c r="MPA3" s="98"/>
      <c r="MPB3" s="98"/>
      <c r="MPC3" s="98"/>
      <c r="MPD3" s="98"/>
      <c r="MPE3" s="98"/>
      <c r="MPF3" s="98"/>
      <c r="MPG3" s="98"/>
      <c r="MPH3" s="98"/>
      <c r="MPI3" s="98"/>
      <c r="MPJ3" s="98"/>
      <c r="MPK3" s="98"/>
      <c r="MPL3" s="98"/>
      <c r="MPM3" s="98"/>
      <c r="MPN3" s="98"/>
      <c r="MPO3" s="98"/>
      <c r="MPP3" s="98"/>
      <c r="MPQ3" s="98"/>
      <c r="MPR3" s="98"/>
      <c r="MPS3" s="98"/>
      <c r="MPT3" s="98"/>
      <c r="MPU3" s="98"/>
      <c r="MPV3" s="98"/>
      <c r="MPW3" s="98"/>
      <c r="MPX3" s="98"/>
      <c r="MPY3" s="98"/>
      <c r="MPZ3" s="98"/>
      <c r="MQA3" s="98"/>
      <c r="MQB3" s="98"/>
      <c r="MQC3" s="98"/>
      <c r="MQD3" s="98"/>
      <c r="MQE3" s="98"/>
      <c r="MQF3" s="98"/>
      <c r="MQG3" s="98"/>
      <c r="MQH3" s="98"/>
      <c r="MQI3" s="98"/>
      <c r="MQJ3" s="98"/>
      <c r="MQK3" s="98"/>
      <c r="MQL3" s="98"/>
      <c r="MQM3" s="98"/>
      <c r="MQN3" s="98"/>
      <c r="MQO3" s="98"/>
      <c r="MQP3" s="98"/>
      <c r="MQQ3" s="98"/>
      <c r="MQR3" s="98"/>
      <c r="MQS3" s="98"/>
      <c r="MQT3" s="98"/>
      <c r="MQU3" s="98"/>
      <c r="MQV3" s="98"/>
      <c r="MQW3" s="98"/>
      <c r="MQX3" s="98"/>
      <c r="MQY3" s="98"/>
      <c r="MQZ3" s="98"/>
      <c r="MRA3" s="98"/>
      <c r="MRB3" s="98"/>
      <c r="MRC3" s="98"/>
      <c r="MRD3" s="98"/>
      <c r="MRE3" s="98"/>
      <c r="MRF3" s="98"/>
      <c r="MRG3" s="98"/>
      <c r="MRH3" s="98"/>
      <c r="MRI3" s="98"/>
      <c r="MRJ3" s="98"/>
      <c r="MRK3" s="98"/>
      <c r="MRL3" s="98"/>
      <c r="MRM3" s="98"/>
      <c r="MRN3" s="98"/>
      <c r="MRO3" s="98"/>
      <c r="MRP3" s="98"/>
      <c r="MRQ3" s="98"/>
      <c r="MRR3" s="98"/>
      <c r="MRS3" s="98"/>
      <c r="MRT3" s="98"/>
      <c r="MRU3" s="98"/>
      <c r="MRV3" s="98"/>
      <c r="MRW3" s="98"/>
      <c r="MRX3" s="98"/>
      <c r="MRY3" s="98"/>
      <c r="MRZ3" s="98"/>
      <c r="MSA3" s="98"/>
      <c r="MSB3" s="98"/>
      <c r="MSC3" s="98"/>
      <c r="MSD3" s="98"/>
      <c r="MSE3" s="98"/>
      <c r="MSF3" s="98"/>
      <c r="MSG3" s="98"/>
      <c r="MSH3" s="98"/>
      <c r="MSI3" s="98"/>
      <c r="MSJ3" s="98"/>
      <c r="MSK3" s="98"/>
      <c r="MSL3" s="98"/>
      <c r="MSM3" s="98"/>
      <c r="MSN3" s="98"/>
      <c r="MSO3" s="98"/>
      <c r="MSP3" s="98"/>
      <c r="MSQ3" s="98"/>
      <c r="MSR3" s="98"/>
      <c r="MSS3" s="98"/>
      <c r="MST3" s="98"/>
      <c r="MSU3" s="98"/>
      <c r="MSV3" s="98"/>
      <c r="MSW3" s="98"/>
      <c r="MSX3" s="98"/>
      <c r="MSY3" s="98"/>
      <c r="MSZ3" s="98"/>
      <c r="MTA3" s="98"/>
      <c r="MTB3" s="98"/>
      <c r="MTC3" s="98"/>
      <c r="MTD3" s="98"/>
      <c r="MTE3" s="98"/>
      <c r="MTF3" s="98"/>
      <c r="MTG3" s="98"/>
      <c r="MTH3" s="98"/>
      <c r="MTI3" s="98"/>
      <c r="MTJ3" s="98"/>
      <c r="MTK3" s="98"/>
      <c r="MTL3" s="98"/>
      <c r="MTM3" s="98"/>
      <c r="MTN3" s="98"/>
      <c r="MTO3" s="98"/>
      <c r="MTP3" s="98"/>
      <c r="MTQ3" s="98"/>
      <c r="MTR3" s="98"/>
      <c r="MTS3" s="98"/>
      <c r="MTT3" s="98"/>
      <c r="MTU3" s="98"/>
      <c r="MTV3" s="98"/>
      <c r="MTW3" s="98"/>
      <c r="MTX3" s="98"/>
      <c r="MTY3" s="98"/>
      <c r="MTZ3" s="98"/>
      <c r="MUA3" s="98"/>
      <c r="MUB3" s="98"/>
      <c r="MUC3" s="98"/>
      <c r="MUD3" s="98"/>
      <c r="MUE3" s="98"/>
      <c r="MUF3" s="98"/>
      <c r="MUG3" s="98"/>
      <c r="MUH3" s="98"/>
      <c r="MUI3" s="98"/>
      <c r="MUJ3" s="98"/>
      <c r="MUK3" s="98"/>
      <c r="MUL3" s="98"/>
      <c r="MUM3" s="98"/>
      <c r="MUN3" s="98"/>
      <c r="MUO3" s="98"/>
      <c r="MUP3" s="98"/>
      <c r="MUQ3" s="98"/>
      <c r="MUR3" s="98"/>
      <c r="MUS3" s="98"/>
      <c r="MUT3" s="98"/>
      <c r="MUU3" s="98"/>
      <c r="MUV3" s="98"/>
      <c r="MUW3" s="98"/>
      <c r="MUX3" s="98"/>
      <c r="MUY3" s="98"/>
      <c r="MUZ3" s="98"/>
      <c r="MVA3" s="98"/>
      <c r="MVB3" s="98"/>
      <c r="MVC3" s="98"/>
      <c r="MVD3" s="98"/>
      <c r="MVE3" s="98"/>
      <c r="MVF3" s="98"/>
      <c r="MVG3" s="98"/>
      <c r="MVH3" s="98"/>
      <c r="MVI3" s="98"/>
      <c r="MVJ3" s="98"/>
      <c r="MVK3" s="98"/>
      <c r="MVL3" s="98"/>
      <c r="MVM3" s="98"/>
      <c r="MVN3" s="98"/>
      <c r="MVO3" s="98"/>
      <c r="MVP3" s="98"/>
      <c r="MVQ3" s="98"/>
      <c r="MVR3" s="98"/>
      <c r="MVS3" s="98"/>
      <c r="MVT3" s="98"/>
      <c r="MVU3" s="98"/>
      <c r="MVV3" s="98"/>
      <c r="MVW3" s="98"/>
      <c r="MVX3" s="98"/>
      <c r="MVY3" s="98"/>
      <c r="MVZ3" s="98"/>
      <c r="MWA3" s="98"/>
      <c r="MWB3" s="98"/>
      <c r="MWC3" s="98"/>
      <c r="MWD3" s="98"/>
      <c r="MWE3" s="98"/>
      <c r="MWF3" s="98"/>
      <c r="MWG3" s="98"/>
      <c r="MWH3" s="98"/>
      <c r="MWI3" s="98"/>
      <c r="MWJ3" s="98"/>
      <c r="MWK3" s="98"/>
      <c r="MWL3" s="98"/>
      <c r="MWM3" s="98"/>
      <c r="MWN3" s="98"/>
      <c r="MWO3" s="98"/>
      <c r="MWP3" s="98"/>
      <c r="MWQ3" s="98"/>
      <c r="MWR3" s="98"/>
      <c r="MWS3" s="98"/>
      <c r="MWT3" s="98"/>
      <c r="MWU3" s="98"/>
      <c r="MWV3" s="98"/>
      <c r="MWW3" s="98"/>
      <c r="MWX3" s="98"/>
      <c r="MWY3" s="98"/>
      <c r="MWZ3" s="98"/>
      <c r="MXA3" s="98"/>
      <c r="MXB3" s="98"/>
      <c r="MXC3" s="98"/>
      <c r="MXD3" s="98"/>
      <c r="MXE3" s="98"/>
      <c r="MXF3" s="98"/>
      <c r="MXG3" s="98"/>
      <c r="MXH3" s="98"/>
      <c r="MXI3" s="98"/>
      <c r="MXJ3" s="98"/>
      <c r="MXK3" s="98"/>
      <c r="MXL3" s="98"/>
      <c r="MXM3" s="98"/>
      <c r="MXN3" s="98"/>
      <c r="MXO3" s="98"/>
      <c r="MXP3" s="98"/>
      <c r="MXQ3" s="98"/>
      <c r="MXR3" s="98"/>
      <c r="MXS3" s="98"/>
      <c r="MXT3" s="98"/>
      <c r="MXU3" s="98"/>
      <c r="MXV3" s="98"/>
      <c r="MXW3" s="98"/>
      <c r="MXX3" s="98"/>
      <c r="MXY3" s="98"/>
      <c r="MXZ3" s="98"/>
      <c r="MYA3" s="98"/>
      <c r="MYB3" s="98"/>
      <c r="MYC3" s="98"/>
      <c r="MYD3" s="98"/>
      <c r="MYE3" s="98"/>
      <c r="MYF3" s="98"/>
      <c r="MYG3" s="98"/>
      <c r="MYH3" s="98"/>
      <c r="MYI3" s="98"/>
      <c r="MYJ3" s="98"/>
      <c r="MYK3" s="98"/>
      <c r="MYL3" s="98"/>
      <c r="MYM3" s="98"/>
      <c r="MYN3" s="98"/>
      <c r="MYO3" s="98"/>
      <c r="MYP3" s="98"/>
      <c r="MYQ3" s="98"/>
      <c r="MYR3" s="98"/>
      <c r="MYS3" s="98"/>
      <c r="MYT3" s="98"/>
      <c r="MYU3" s="98"/>
      <c r="MYV3" s="98"/>
      <c r="MYW3" s="98"/>
      <c r="MYX3" s="98"/>
      <c r="MYY3" s="98"/>
      <c r="MYZ3" s="98"/>
      <c r="MZA3" s="98"/>
      <c r="MZB3" s="98"/>
      <c r="MZC3" s="98"/>
      <c r="MZD3" s="98"/>
      <c r="MZE3" s="98"/>
      <c r="MZF3" s="98"/>
      <c r="MZG3" s="98"/>
      <c r="MZH3" s="98"/>
      <c r="MZI3" s="98"/>
      <c r="MZJ3" s="98"/>
      <c r="MZK3" s="98"/>
      <c r="MZL3" s="98"/>
      <c r="MZM3" s="98"/>
      <c r="MZN3" s="98"/>
      <c r="MZO3" s="98"/>
      <c r="MZP3" s="98"/>
      <c r="MZQ3" s="98"/>
      <c r="MZR3" s="98"/>
      <c r="MZS3" s="98"/>
      <c r="MZT3" s="98"/>
      <c r="MZU3" s="98"/>
      <c r="MZV3" s="98"/>
      <c r="MZW3" s="98"/>
      <c r="MZX3" s="98"/>
      <c r="MZY3" s="98"/>
      <c r="MZZ3" s="98"/>
      <c r="NAA3" s="98"/>
      <c r="NAB3" s="98"/>
      <c r="NAC3" s="98"/>
      <c r="NAD3" s="98"/>
      <c r="NAE3" s="98"/>
      <c r="NAF3" s="98"/>
      <c r="NAG3" s="98"/>
      <c r="NAH3" s="98"/>
      <c r="NAI3" s="98"/>
      <c r="NAJ3" s="98"/>
      <c r="NAK3" s="98"/>
      <c r="NAL3" s="98"/>
      <c r="NAM3" s="98"/>
      <c r="NAN3" s="98"/>
      <c r="NAO3" s="98"/>
      <c r="NAP3" s="98"/>
      <c r="NAQ3" s="98"/>
      <c r="NAR3" s="98"/>
      <c r="NAS3" s="98"/>
      <c r="NAT3" s="98"/>
      <c r="NAU3" s="98"/>
      <c r="NAV3" s="98"/>
      <c r="NAW3" s="98"/>
      <c r="NAX3" s="98"/>
      <c r="NAY3" s="98"/>
      <c r="NAZ3" s="98"/>
      <c r="NBA3" s="98"/>
      <c r="NBB3" s="98"/>
      <c r="NBC3" s="98"/>
      <c r="NBD3" s="98"/>
      <c r="NBE3" s="98"/>
      <c r="NBF3" s="98"/>
      <c r="NBG3" s="98"/>
      <c r="NBH3" s="98"/>
      <c r="NBI3" s="98"/>
      <c r="NBJ3" s="98"/>
      <c r="NBK3" s="98"/>
      <c r="NBL3" s="98"/>
      <c r="NBM3" s="98"/>
      <c r="NBN3" s="98"/>
      <c r="NBO3" s="98"/>
      <c r="NBP3" s="98"/>
      <c r="NBQ3" s="98"/>
      <c r="NBR3" s="98"/>
      <c r="NBS3" s="98"/>
      <c r="NBT3" s="98"/>
      <c r="NBU3" s="98"/>
      <c r="NBV3" s="98"/>
      <c r="NBW3" s="98"/>
      <c r="NBX3" s="98"/>
      <c r="NBY3" s="98"/>
      <c r="NBZ3" s="98"/>
      <c r="NCA3" s="98"/>
      <c r="NCB3" s="98"/>
      <c r="NCC3" s="98"/>
      <c r="NCD3" s="98"/>
      <c r="NCE3" s="98"/>
      <c r="NCF3" s="98"/>
      <c r="NCG3" s="98"/>
      <c r="NCH3" s="98"/>
      <c r="NCI3" s="98"/>
      <c r="NCJ3" s="98"/>
      <c r="NCK3" s="98"/>
      <c r="NCL3" s="98"/>
      <c r="NCM3" s="98"/>
      <c r="NCN3" s="98"/>
      <c r="NCO3" s="98"/>
      <c r="NCP3" s="98"/>
      <c r="NCQ3" s="98"/>
      <c r="NCR3" s="98"/>
      <c r="NCS3" s="98"/>
      <c r="NCT3" s="98"/>
      <c r="NCU3" s="98"/>
      <c r="NCV3" s="98"/>
      <c r="NCW3" s="98"/>
      <c r="NCX3" s="98"/>
      <c r="NCY3" s="98"/>
      <c r="NCZ3" s="98"/>
      <c r="NDA3" s="98"/>
      <c r="NDB3" s="98"/>
      <c r="NDC3" s="98"/>
      <c r="NDD3" s="98"/>
      <c r="NDE3" s="98"/>
      <c r="NDF3" s="98"/>
      <c r="NDG3" s="98"/>
      <c r="NDH3" s="98"/>
      <c r="NDI3" s="98"/>
      <c r="NDJ3" s="98"/>
      <c r="NDK3" s="98"/>
      <c r="NDL3" s="98"/>
      <c r="NDM3" s="98"/>
      <c r="NDN3" s="98"/>
      <c r="NDO3" s="98"/>
      <c r="NDP3" s="98"/>
      <c r="NDQ3" s="98"/>
      <c r="NDR3" s="98"/>
      <c r="NDS3" s="98"/>
      <c r="NDT3" s="98"/>
      <c r="NDU3" s="98"/>
      <c r="NDV3" s="98"/>
      <c r="NDW3" s="98"/>
      <c r="NDX3" s="98"/>
      <c r="NDY3" s="98"/>
      <c r="NDZ3" s="98"/>
      <c r="NEA3" s="98"/>
      <c r="NEB3" s="98"/>
      <c r="NEC3" s="98"/>
      <c r="NED3" s="98"/>
      <c r="NEE3" s="98"/>
      <c r="NEF3" s="98"/>
      <c r="NEG3" s="98"/>
      <c r="NEH3" s="98"/>
      <c r="NEI3" s="98"/>
      <c r="NEJ3" s="98"/>
      <c r="NEK3" s="98"/>
      <c r="NEL3" s="98"/>
      <c r="NEM3" s="98"/>
      <c r="NEN3" s="98"/>
      <c r="NEO3" s="98"/>
      <c r="NEP3" s="98"/>
      <c r="NEQ3" s="98"/>
      <c r="NER3" s="98"/>
      <c r="NES3" s="98"/>
      <c r="NET3" s="98"/>
      <c r="NEU3" s="98"/>
      <c r="NEV3" s="98"/>
      <c r="NEW3" s="98"/>
      <c r="NEX3" s="98"/>
      <c r="NEY3" s="98"/>
      <c r="NEZ3" s="98"/>
      <c r="NFA3" s="98"/>
      <c r="NFB3" s="98"/>
      <c r="NFC3" s="98"/>
      <c r="NFD3" s="98"/>
      <c r="NFE3" s="98"/>
      <c r="NFF3" s="98"/>
      <c r="NFG3" s="98"/>
      <c r="NFH3" s="98"/>
      <c r="NFI3" s="98"/>
      <c r="NFJ3" s="98"/>
      <c r="NFK3" s="98"/>
      <c r="NFL3" s="98"/>
      <c r="NFM3" s="98"/>
      <c r="NFN3" s="98"/>
      <c r="NFO3" s="98"/>
      <c r="NFP3" s="98"/>
      <c r="NFQ3" s="98"/>
      <c r="NFR3" s="98"/>
      <c r="NFS3" s="98"/>
      <c r="NFT3" s="98"/>
      <c r="NFU3" s="98"/>
      <c r="NFV3" s="98"/>
      <c r="NFW3" s="98"/>
      <c r="NFX3" s="98"/>
      <c r="NFY3" s="98"/>
      <c r="NFZ3" s="98"/>
      <c r="NGA3" s="98"/>
      <c r="NGB3" s="98"/>
      <c r="NGC3" s="98"/>
      <c r="NGD3" s="98"/>
      <c r="NGE3" s="98"/>
      <c r="NGF3" s="98"/>
      <c r="NGG3" s="98"/>
      <c r="NGH3" s="98"/>
      <c r="NGI3" s="98"/>
      <c r="NGJ3" s="98"/>
      <c r="NGK3" s="98"/>
      <c r="NGL3" s="98"/>
      <c r="NGM3" s="98"/>
      <c r="NGN3" s="98"/>
      <c r="NGO3" s="98"/>
      <c r="NGP3" s="98"/>
      <c r="NGQ3" s="98"/>
      <c r="NGR3" s="98"/>
      <c r="NGS3" s="98"/>
      <c r="NGT3" s="98"/>
      <c r="NGU3" s="98"/>
      <c r="NGV3" s="98"/>
      <c r="NGW3" s="98"/>
      <c r="NGX3" s="98"/>
      <c r="NGY3" s="98"/>
      <c r="NGZ3" s="98"/>
      <c r="NHA3" s="98"/>
      <c r="NHB3" s="98"/>
      <c r="NHC3" s="98"/>
      <c r="NHD3" s="98"/>
      <c r="NHE3" s="98"/>
      <c r="NHF3" s="98"/>
      <c r="NHG3" s="98"/>
      <c r="NHH3" s="98"/>
      <c r="NHI3" s="98"/>
      <c r="NHJ3" s="98"/>
      <c r="NHK3" s="98"/>
      <c r="NHL3" s="98"/>
      <c r="NHM3" s="98"/>
      <c r="NHN3" s="98"/>
      <c r="NHO3" s="98"/>
      <c r="NHP3" s="98"/>
      <c r="NHQ3" s="98"/>
      <c r="NHR3" s="98"/>
      <c r="NHS3" s="98"/>
      <c r="NHT3" s="98"/>
      <c r="NHU3" s="98"/>
      <c r="NHV3" s="98"/>
      <c r="NHW3" s="98"/>
      <c r="NHX3" s="98"/>
      <c r="NHY3" s="98"/>
      <c r="NHZ3" s="98"/>
      <c r="NIA3" s="98"/>
      <c r="NIB3" s="98"/>
      <c r="NIC3" s="98"/>
      <c r="NID3" s="98"/>
      <c r="NIE3" s="98"/>
      <c r="NIF3" s="98"/>
      <c r="NIG3" s="98"/>
      <c r="NIH3" s="98"/>
      <c r="NII3" s="98"/>
      <c r="NIJ3" s="98"/>
      <c r="NIK3" s="98"/>
      <c r="NIL3" s="98"/>
      <c r="NIM3" s="98"/>
      <c r="NIN3" s="98"/>
      <c r="NIO3" s="98"/>
      <c r="NIP3" s="98"/>
      <c r="NIQ3" s="98"/>
      <c r="NIR3" s="98"/>
      <c r="NIS3" s="98"/>
      <c r="NIT3" s="98"/>
      <c r="NIU3" s="98"/>
      <c r="NIV3" s="98"/>
      <c r="NIW3" s="98"/>
      <c r="NIX3" s="98"/>
      <c r="NIY3" s="98"/>
      <c r="NIZ3" s="98"/>
      <c r="NJA3" s="98"/>
      <c r="NJB3" s="98"/>
      <c r="NJC3" s="98"/>
      <c r="NJD3" s="98"/>
      <c r="NJE3" s="98"/>
      <c r="NJF3" s="98"/>
      <c r="NJG3" s="98"/>
      <c r="NJH3" s="98"/>
      <c r="NJI3" s="98"/>
      <c r="NJJ3" s="98"/>
      <c r="NJK3" s="98"/>
      <c r="NJL3" s="98"/>
      <c r="NJM3" s="98"/>
      <c r="NJN3" s="98"/>
      <c r="NJO3" s="98"/>
      <c r="NJP3" s="98"/>
      <c r="NJQ3" s="98"/>
      <c r="NJR3" s="98"/>
      <c r="NJS3" s="98"/>
      <c r="NJT3" s="98"/>
      <c r="NJU3" s="98"/>
      <c r="NJV3" s="98"/>
      <c r="NJW3" s="98"/>
      <c r="NJX3" s="98"/>
      <c r="NJY3" s="98"/>
      <c r="NJZ3" s="98"/>
      <c r="NKA3" s="98"/>
      <c r="NKB3" s="98"/>
      <c r="NKC3" s="98"/>
      <c r="NKD3" s="98"/>
      <c r="NKE3" s="98"/>
      <c r="NKF3" s="98"/>
      <c r="NKG3" s="98"/>
      <c r="NKH3" s="98"/>
      <c r="NKI3" s="98"/>
      <c r="NKJ3" s="98"/>
      <c r="NKK3" s="98"/>
      <c r="NKL3" s="98"/>
      <c r="NKM3" s="98"/>
      <c r="NKN3" s="98"/>
      <c r="NKO3" s="98"/>
      <c r="NKP3" s="98"/>
      <c r="NKQ3" s="98"/>
      <c r="NKR3" s="98"/>
      <c r="NKS3" s="98"/>
      <c r="NKT3" s="98"/>
      <c r="NKU3" s="98"/>
      <c r="NKV3" s="98"/>
      <c r="NKW3" s="98"/>
      <c r="NKX3" s="98"/>
      <c r="NKY3" s="98"/>
      <c r="NKZ3" s="98"/>
      <c r="NLA3" s="98"/>
      <c r="NLB3" s="98"/>
      <c r="NLC3" s="98"/>
      <c r="NLD3" s="98"/>
      <c r="NLE3" s="98"/>
      <c r="NLF3" s="98"/>
      <c r="NLG3" s="98"/>
      <c r="NLH3" s="98"/>
      <c r="NLI3" s="98"/>
      <c r="NLJ3" s="98"/>
      <c r="NLK3" s="98"/>
      <c r="NLL3" s="98"/>
      <c r="NLM3" s="98"/>
      <c r="NLN3" s="98"/>
      <c r="NLO3" s="98"/>
      <c r="NLP3" s="98"/>
      <c r="NLQ3" s="98"/>
      <c r="NLR3" s="98"/>
      <c r="NLS3" s="98"/>
      <c r="NLT3" s="98"/>
      <c r="NLU3" s="98"/>
      <c r="NLV3" s="98"/>
      <c r="NLW3" s="98"/>
      <c r="NLX3" s="98"/>
      <c r="NLY3" s="98"/>
      <c r="NLZ3" s="98"/>
      <c r="NMA3" s="98"/>
      <c r="NMB3" s="98"/>
      <c r="NMC3" s="98"/>
      <c r="NMD3" s="98"/>
      <c r="NME3" s="98"/>
      <c r="NMF3" s="98"/>
      <c r="NMG3" s="98"/>
      <c r="NMH3" s="98"/>
      <c r="NMI3" s="98"/>
      <c r="NMJ3" s="98"/>
      <c r="NMK3" s="98"/>
      <c r="NML3" s="98"/>
      <c r="NMM3" s="98"/>
      <c r="NMN3" s="98"/>
      <c r="NMO3" s="98"/>
      <c r="NMP3" s="98"/>
      <c r="NMQ3" s="98"/>
      <c r="NMR3" s="98"/>
      <c r="NMS3" s="98"/>
      <c r="NMT3" s="98"/>
      <c r="NMU3" s="98"/>
      <c r="NMV3" s="98"/>
      <c r="NMW3" s="98"/>
      <c r="NMX3" s="98"/>
      <c r="NMY3" s="98"/>
      <c r="NMZ3" s="98"/>
      <c r="NNA3" s="98"/>
      <c r="NNB3" s="98"/>
      <c r="NNC3" s="98"/>
      <c r="NND3" s="98"/>
      <c r="NNE3" s="98"/>
      <c r="NNF3" s="98"/>
      <c r="NNG3" s="98"/>
      <c r="NNH3" s="98"/>
      <c r="NNI3" s="98"/>
      <c r="NNJ3" s="98"/>
      <c r="NNK3" s="98"/>
      <c r="NNL3" s="98"/>
      <c r="NNM3" s="98"/>
      <c r="NNN3" s="98"/>
      <c r="NNO3" s="98"/>
      <c r="NNP3" s="98"/>
      <c r="NNQ3" s="98"/>
      <c r="NNR3" s="98"/>
      <c r="NNS3" s="98"/>
      <c r="NNT3" s="98"/>
      <c r="NNU3" s="98"/>
      <c r="NNV3" s="98"/>
      <c r="NNW3" s="98"/>
      <c r="NNX3" s="98"/>
      <c r="NNY3" s="98"/>
      <c r="NNZ3" s="98"/>
      <c r="NOA3" s="98"/>
      <c r="NOB3" s="98"/>
      <c r="NOC3" s="98"/>
      <c r="NOD3" s="98"/>
      <c r="NOE3" s="98"/>
      <c r="NOF3" s="98"/>
      <c r="NOG3" s="98"/>
      <c r="NOH3" s="98"/>
      <c r="NOI3" s="98"/>
      <c r="NOJ3" s="98"/>
      <c r="NOK3" s="98"/>
      <c r="NOL3" s="98"/>
      <c r="NOM3" s="98"/>
      <c r="NON3" s="98"/>
      <c r="NOO3" s="98"/>
      <c r="NOP3" s="98"/>
      <c r="NOQ3" s="98"/>
      <c r="NOR3" s="98"/>
      <c r="NOS3" s="98"/>
      <c r="NOT3" s="98"/>
      <c r="NOU3" s="98"/>
      <c r="NOV3" s="98"/>
      <c r="NOW3" s="98"/>
      <c r="NOX3" s="98"/>
      <c r="NOY3" s="98"/>
      <c r="NOZ3" s="98"/>
      <c r="NPA3" s="98"/>
      <c r="NPB3" s="98"/>
      <c r="NPC3" s="98"/>
      <c r="NPD3" s="98"/>
      <c r="NPE3" s="98"/>
      <c r="NPF3" s="98"/>
      <c r="NPG3" s="98"/>
      <c r="NPH3" s="98"/>
      <c r="NPI3" s="98"/>
      <c r="NPJ3" s="98"/>
      <c r="NPK3" s="98"/>
      <c r="NPL3" s="98"/>
      <c r="NPM3" s="98"/>
      <c r="NPN3" s="98"/>
      <c r="NPO3" s="98"/>
      <c r="NPP3" s="98"/>
      <c r="NPQ3" s="98"/>
      <c r="NPR3" s="98"/>
      <c r="NPS3" s="98"/>
      <c r="NPT3" s="98"/>
      <c r="NPU3" s="98"/>
      <c r="NPV3" s="98"/>
      <c r="NPW3" s="98"/>
      <c r="NPX3" s="98"/>
      <c r="NPY3" s="98"/>
      <c r="NPZ3" s="98"/>
      <c r="NQA3" s="98"/>
      <c r="NQB3" s="98"/>
      <c r="NQC3" s="98"/>
      <c r="NQD3" s="98"/>
      <c r="NQE3" s="98"/>
      <c r="NQF3" s="98"/>
      <c r="NQG3" s="98"/>
      <c r="NQH3" s="98"/>
      <c r="NQI3" s="98"/>
      <c r="NQJ3" s="98"/>
      <c r="NQK3" s="98"/>
      <c r="NQL3" s="98"/>
      <c r="NQM3" s="98"/>
      <c r="NQN3" s="98"/>
      <c r="NQO3" s="98"/>
      <c r="NQP3" s="98"/>
      <c r="NQQ3" s="98"/>
      <c r="NQR3" s="98"/>
      <c r="NQS3" s="98"/>
      <c r="NQT3" s="98"/>
      <c r="NQU3" s="98"/>
      <c r="NQV3" s="98"/>
      <c r="NQW3" s="98"/>
      <c r="NQX3" s="98"/>
      <c r="NQY3" s="98"/>
      <c r="NQZ3" s="98"/>
      <c r="NRA3" s="98"/>
      <c r="NRB3" s="98"/>
      <c r="NRC3" s="98"/>
      <c r="NRD3" s="98"/>
      <c r="NRE3" s="98"/>
      <c r="NRF3" s="98"/>
      <c r="NRG3" s="98"/>
      <c r="NRH3" s="98"/>
      <c r="NRI3" s="98"/>
      <c r="NRJ3" s="98"/>
      <c r="NRK3" s="98"/>
      <c r="NRL3" s="98"/>
      <c r="NRM3" s="98"/>
      <c r="NRN3" s="98"/>
      <c r="NRO3" s="98"/>
      <c r="NRP3" s="98"/>
      <c r="NRQ3" s="98"/>
      <c r="NRR3" s="98"/>
      <c r="NRS3" s="98"/>
      <c r="NRT3" s="98"/>
      <c r="NRU3" s="98"/>
      <c r="NRV3" s="98"/>
      <c r="NRW3" s="98"/>
      <c r="NRX3" s="98"/>
      <c r="NRY3" s="98"/>
      <c r="NRZ3" s="98"/>
      <c r="NSA3" s="98"/>
      <c r="NSB3" s="98"/>
      <c r="NSC3" s="98"/>
      <c r="NSD3" s="98"/>
      <c r="NSE3" s="98"/>
      <c r="NSF3" s="98"/>
      <c r="NSG3" s="98"/>
      <c r="NSH3" s="98"/>
      <c r="NSI3" s="98"/>
      <c r="NSJ3" s="98"/>
      <c r="NSK3" s="98"/>
      <c r="NSL3" s="98"/>
      <c r="NSM3" s="98"/>
      <c r="NSN3" s="98"/>
      <c r="NSO3" s="98"/>
      <c r="NSP3" s="98"/>
      <c r="NSQ3" s="98"/>
      <c r="NSR3" s="98"/>
      <c r="NSS3" s="98"/>
      <c r="NST3" s="98"/>
      <c r="NSU3" s="98"/>
      <c r="NSV3" s="98"/>
      <c r="NSW3" s="98"/>
      <c r="NSX3" s="98"/>
      <c r="NSY3" s="98"/>
      <c r="NSZ3" s="98"/>
      <c r="NTA3" s="98"/>
      <c r="NTB3" s="98"/>
      <c r="NTC3" s="98"/>
      <c r="NTD3" s="98"/>
      <c r="NTE3" s="98"/>
      <c r="NTF3" s="98"/>
      <c r="NTG3" s="98"/>
      <c r="NTH3" s="98"/>
      <c r="NTI3" s="98"/>
      <c r="NTJ3" s="98"/>
      <c r="NTK3" s="98"/>
      <c r="NTL3" s="98"/>
      <c r="NTM3" s="98"/>
      <c r="NTN3" s="98"/>
      <c r="NTO3" s="98"/>
      <c r="NTP3" s="98"/>
      <c r="NTQ3" s="98"/>
      <c r="NTR3" s="98"/>
      <c r="NTS3" s="98"/>
      <c r="NTT3" s="98"/>
      <c r="NTU3" s="98"/>
      <c r="NTV3" s="98"/>
      <c r="NTW3" s="98"/>
      <c r="NTX3" s="98"/>
      <c r="NTY3" s="98"/>
      <c r="NTZ3" s="98"/>
      <c r="NUA3" s="98"/>
      <c r="NUB3" s="98"/>
      <c r="NUC3" s="98"/>
      <c r="NUD3" s="98"/>
      <c r="NUE3" s="98"/>
      <c r="NUF3" s="98"/>
      <c r="NUG3" s="98"/>
      <c r="NUH3" s="98"/>
      <c r="NUI3" s="98"/>
      <c r="NUJ3" s="98"/>
      <c r="NUK3" s="98"/>
      <c r="NUL3" s="98"/>
      <c r="NUM3" s="98"/>
      <c r="NUN3" s="98"/>
      <c r="NUO3" s="98"/>
      <c r="NUP3" s="98"/>
      <c r="NUQ3" s="98"/>
      <c r="NUR3" s="98"/>
      <c r="NUS3" s="98"/>
      <c r="NUT3" s="98"/>
      <c r="NUU3" s="98"/>
      <c r="NUV3" s="98"/>
      <c r="NUW3" s="98"/>
      <c r="NUX3" s="98"/>
      <c r="NUY3" s="98"/>
      <c r="NUZ3" s="98"/>
      <c r="NVA3" s="98"/>
      <c r="NVB3" s="98"/>
      <c r="NVC3" s="98"/>
      <c r="NVD3" s="98"/>
      <c r="NVE3" s="98"/>
      <c r="NVF3" s="98"/>
      <c r="NVG3" s="98"/>
      <c r="NVH3" s="98"/>
      <c r="NVI3" s="98"/>
      <c r="NVJ3" s="98"/>
      <c r="NVK3" s="98"/>
      <c r="NVL3" s="98"/>
      <c r="NVM3" s="98"/>
      <c r="NVN3" s="98"/>
      <c r="NVO3" s="98"/>
      <c r="NVP3" s="98"/>
      <c r="NVQ3" s="98"/>
      <c r="NVR3" s="98"/>
      <c r="NVS3" s="98"/>
      <c r="NVT3" s="98"/>
      <c r="NVU3" s="98"/>
      <c r="NVV3" s="98"/>
      <c r="NVW3" s="98"/>
      <c r="NVX3" s="98"/>
      <c r="NVY3" s="98"/>
      <c r="NVZ3" s="98"/>
      <c r="NWA3" s="98"/>
      <c r="NWB3" s="98"/>
      <c r="NWC3" s="98"/>
      <c r="NWD3" s="98"/>
      <c r="NWE3" s="98"/>
      <c r="NWF3" s="98"/>
      <c r="NWG3" s="98"/>
      <c r="NWH3" s="98"/>
      <c r="NWI3" s="98"/>
      <c r="NWJ3" s="98"/>
      <c r="NWK3" s="98"/>
      <c r="NWL3" s="98"/>
      <c r="NWM3" s="98"/>
      <c r="NWN3" s="98"/>
      <c r="NWO3" s="98"/>
      <c r="NWP3" s="98"/>
      <c r="NWQ3" s="98"/>
      <c r="NWR3" s="98"/>
      <c r="NWS3" s="98"/>
      <c r="NWT3" s="98"/>
      <c r="NWU3" s="98"/>
      <c r="NWV3" s="98"/>
      <c r="NWW3" s="98"/>
      <c r="NWX3" s="98"/>
      <c r="NWY3" s="98"/>
      <c r="NWZ3" s="98"/>
      <c r="NXA3" s="98"/>
      <c r="NXB3" s="98"/>
      <c r="NXC3" s="98"/>
      <c r="NXD3" s="98"/>
      <c r="NXE3" s="98"/>
      <c r="NXF3" s="98"/>
      <c r="NXG3" s="98"/>
      <c r="NXH3" s="98"/>
      <c r="NXI3" s="98"/>
      <c r="NXJ3" s="98"/>
      <c r="NXK3" s="98"/>
      <c r="NXL3" s="98"/>
      <c r="NXM3" s="98"/>
      <c r="NXN3" s="98"/>
      <c r="NXO3" s="98"/>
      <c r="NXP3" s="98"/>
      <c r="NXQ3" s="98"/>
      <c r="NXR3" s="98"/>
      <c r="NXS3" s="98"/>
      <c r="NXT3" s="98"/>
      <c r="NXU3" s="98"/>
      <c r="NXV3" s="98"/>
      <c r="NXW3" s="98"/>
      <c r="NXX3" s="98"/>
      <c r="NXY3" s="98"/>
      <c r="NXZ3" s="98"/>
      <c r="NYA3" s="98"/>
      <c r="NYB3" s="98"/>
      <c r="NYC3" s="98"/>
      <c r="NYD3" s="98"/>
      <c r="NYE3" s="98"/>
      <c r="NYF3" s="98"/>
      <c r="NYG3" s="98"/>
      <c r="NYH3" s="98"/>
      <c r="NYI3" s="98"/>
      <c r="NYJ3" s="98"/>
      <c r="NYK3" s="98"/>
      <c r="NYL3" s="98"/>
      <c r="NYM3" s="98"/>
      <c r="NYN3" s="98"/>
      <c r="NYO3" s="98"/>
      <c r="NYP3" s="98"/>
      <c r="NYQ3" s="98"/>
      <c r="NYR3" s="98"/>
      <c r="NYS3" s="98"/>
      <c r="NYT3" s="98"/>
      <c r="NYU3" s="98"/>
      <c r="NYV3" s="98"/>
      <c r="NYW3" s="98"/>
      <c r="NYX3" s="98"/>
      <c r="NYY3" s="98"/>
      <c r="NYZ3" s="98"/>
      <c r="NZA3" s="98"/>
      <c r="NZB3" s="98"/>
      <c r="NZC3" s="98"/>
      <c r="NZD3" s="98"/>
      <c r="NZE3" s="98"/>
      <c r="NZF3" s="98"/>
      <c r="NZG3" s="98"/>
      <c r="NZH3" s="98"/>
      <c r="NZI3" s="98"/>
      <c r="NZJ3" s="98"/>
      <c r="NZK3" s="98"/>
      <c r="NZL3" s="98"/>
      <c r="NZM3" s="98"/>
      <c r="NZN3" s="98"/>
      <c r="NZO3" s="98"/>
      <c r="NZP3" s="98"/>
      <c r="NZQ3" s="98"/>
      <c r="NZR3" s="98"/>
      <c r="NZS3" s="98"/>
      <c r="NZT3" s="98"/>
      <c r="NZU3" s="98"/>
      <c r="NZV3" s="98"/>
      <c r="NZW3" s="98"/>
      <c r="NZX3" s="98"/>
      <c r="NZY3" s="98"/>
      <c r="NZZ3" s="98"/>
      <c r="OAA3" s="98"/>
      <c r="OAB3" s="98"/>
      <c r="OAC3" s="98"/>
      <c r="OAD3" s="98"/>
      <c r="OAE3" s="98"/>
      <c r="OAF3" s="98"/>
      <c r="OAG3" s="98"/>
      <c r="OAH3" s="98"/>
      <c r="OAI3" s="98"/>
      <c r="OAJ3" s="98"/>
      <c r="OAK3" s="98"/>
      <c r="OAL3" s="98"/>
      <c r="OAM3" s="98"/>
      <c r="OAN3" s="98"/>
      <c r="OAO3" s="98"/>
      <c r="OAP3" s="98"/>
      <c r="OAQ3" s="98"/>
      <c r="OAR3" s="98"/>
      <c r="OAS3" s="98"/>
      <c r="OAT3" s="98"/>
      <c r="OAU3" s="98"/>
      <c r="OAV3" s="98"/>
      <c r="OAW3" s="98"/>
      <c r="OAX3" s="98"/>
      <c r="OAY3" s="98"/>
      <c r="OAZ3" s="98"/>
      <c r="OBA3" s="98"/>
      <c r="OBB3" s="98"/>
      <c r="OBC3" s="98"/>
      <c r="OBD3" s="98"/>
      <c r="OBE3" s="98"/>
      <c r="OBF3" s="98"/>
      <c r="OBG3" s="98"/>
      <c r="OBH3" s="98"/>
      <c r="OBI3" s="98"/>
      <c r="OBJ3" s="98"/>
      <c r="OBK3" s="98"/>
      <c r="OBL3" s="98"/>
      <c r="OBM3" s="98"/>
      <c r="OBN3" s="98"/>
      <c r="OBO3" s="98"/>
      <c r="OBP3" s="98"/>
      <c r="OBQ3" s="98"/>
      <c r="OBR3" s="98"/>
      <c r="OBS3" s="98"/>
      <c r="OBT3" s="98"/>
      <c r="OBU3" s="98"/>
      <c r="OBV3" s="98"/>
      <c r="OBW3" s="98"/>
      <c r="OBX3" s="98"/>
      <c r="OBY3" s="98"/>
      <c r="OBZ3" s="98"/>
      <c r="OCA3" s="98"/>
      <c r="OCB3" s="98"/>
      <c r="OCC3" s="98"/>
      <c r="OCD3" s="98"/>
      <c r="OCE3" s="98"/>
      <c r="OCF3" s="98"/>
      <c r="OCG3" s="98"/>
      <c r="OCH3" s="98"/>
      <c r="OCI3" s="98"/>
      <c r="OCJ3" s="98"/>
      <c r="OCK3" s="98"/>
      <c r="OCL3" s="98"/>
      <c r="OCM3" s="98"/>
      <c r="OCN3" s="98"/>
      <c r="OCO3" s="98"/>
      <c r="OCP3" s="98"/>
      <c r="OCQ3" s="98"/>
      <c r="OCR3" s="98"/>
      <c r="OCS3" s="98"/>
      <c r="OCT3" s="98"/>
      <c r="OCU3" s="98"/>
      <c r="OCV3" s="98"/>
      <c r="OCW3" s="98"/>
      <c r="OCX3" s="98"/>
      <c r="OCY3" s="98"/>
      <c r="OCZ3" s="98"/>
      <c r="ODA3" s="98"/>
      <c r="ODB3" s="98"/>
      <c r="ODC3" s="98"/>
      <c r="ODD3" s="98"/>
      <c r="ODE3" s="98"/>
      <c r="ODF3" s="98"/>
      <c r="ODG3" s="98"/>
      <c r="ODH3" s="98"/>
      <c r="ODI3" s="98"/>
      <c r="ODJ3" s="98"/>
      <c r="ODK3" s="98"/>
      <c r="ODL3" s="98"/>
      <c r="ODM3" s="98"/>
      <c r="ODN3" s="98"/>
      <c r="ODO3" s="98"/>
      <c r="ODP3" s="98"/>
      <c r="ODQ3" s="98"/>
      <c r="ODR3" s="98"/>
      <c r="ODS3" s="98"/>
      <c r="ODT3" s="98"/>
      <c r="ODU3" s="98"/>
      <c r="ODV3" s="98"/>
      <c r="ODW3" s="98"/>
      <c r="ODX3" s="98"/>
      <c r="ODY3" s="98"/>
      <c r="ODZ3" s="98"/>
      <c r="OEA3" s="98"/>
      <c r="OEB3" s="98"/>
      <c r="OEC3" s="98"/>
      <c r="OED3" s="98"/>
      <c r="OEE3" s="98"/>
      <c r="OEF3" s="98"/>
      <c r="OEG3" s="98"/>
      <c r="OEH3" s="98"/>
      <c r="OEI3" s="98"/>
      <c r="OEJ3" s="98"/>
      <c r="OEK3" s="98"/>
      <c r="OEL3" s="98"/>
      <c r="OEM3" s="98"/>
      <c r="OEN3" s="98"/>
      <c r="OEO3" s="98"/>
      <c r="OEP3" s="98"/>
      <c r="OEQ3" s="98"/>
      <c r="OER3" s="98"/>
      <c r="OES3" s="98"/>
      <c r="OET3" s="98"/>
      <c r="OEU3" s="98"/>
      <c r="OEV3" s="98"/>
      <c r="OEW3" s="98"/>
      <c r="OEX3" s="98"/>
      <c r="OEY3" s="98"/>
      <c r="OEZ3" s="98"/>
      <c r="OFA3" s="98"/>
      <c r="OFB3" s="98"/>
      <c r="OFC3" s="98"/>
      <c r="OFD3" s="98"/>
      <c r="OFE3" s="98"/>
      <c r="OFF3" s="98"/>
      <c r="OFG3" s="98"/>
      <c r="OFH3" s="98"/>
      <c r="OFI3" s="98"/>
      <c r="OFJ3" s="98"/>
      <c r="OFK3" s="98"/>
      <c r="OFL3" s="98"/>
      <c r="OFM3" s="98"/>
      <c r="OFN3" s="98"/>
      <c r="OFO3" s="98"/>
      <c r="OFP3" s="98"/>
      <c r="OFQ3" s="98"/>
      <c r="OFR3" s="98"/>
      <c r="OFS3" s="98"/>
      <c r="OFT3" s="98"/>
      <c r="OFU3" s="98"/>
      <c r="OFV3" s="98"/>
      <c r="OFW3" s="98"/>
      <c r="OFX3" s="98"/>
      <c r="OFY3" s="98"/>
      <c r="OFZ3" s="98"/>
      <c r="OGA3" s="98"/>
      <c r="OGB3" s="98"/>
      <c r="OGC3" s="98"/>
      <c r="OGD3" s="98"/>
      <c r="OGE3" s="98"/>
      <c r="OGF3" s="98"/>
      <c r="OGG3" s="98"/>
      <c r="OGH3" s="98"/>
      <c r="OGI3" s="98"/>
      <c r="OGJ3" s="98"/>
      <c r="OGK3" s="98"/>
      <c r="OGL3" s="98"/>
      <c r="OGM3" s="98"/>
      <c r="OGN3" s="98"/>
      <c r="OGO3" s="98"/>
      <c r="OGP3" s="98"/>
      <c r="OGQ3" s="98"/>
      <c r="OGR3" s="98"/>
      <c r="OGS3" s="98"/>
      <c r="OGT3" s="98"/>
      <c r="OGU3" s="98"/>
      <c r="OGV3" s="98"/>
      <c r="OGW3" s="98"/>
      <c r="OGX3" s="98"/>
      <c r="OGY3" s="98"/>
      <c r="OGZ3" s="98"/>
      <c r="OHA3" s="98"/>
      <c r="OHB3" s="98"/>
      <c r="OHC3" s="98"/>
      <c r="OHD3" s="98"/>
      <c r="OHE3" s="98"/>
      <c r="OHF3" s="98"/>
      <c r="OHG3" s="98"/>
      <c r="OHH3" s="98"/>
      <c r="OHI3" s="98"/>
      <c r="OHJ3" s="98"/>
      <c r="OHK3" s="98"/>
      <c r="OHL3" s="98"/>
      <c r="OHM3" s="98"/>
      <c r="OHN3" s="98"/>
      <c r="OHO3" s="98"/>
      <c r="OHP3" s="98"/>
      <c r="OHQ3" s="98"/>
      <c r="OHR3" s="98"/>
      <c r="OHS3" s="98"/>
      <c r="OHT3" s="98"/>
      <c r="OHU3" s="98"/>
      <c r="OHV3" s="98"/>
      <c r="OHW3" s="98"/>
      <c r="OHX3" s="98"/>
      <c r="OHY3" s="98"/>
      <c r="OHZ3" s="98"/>
      <c r="OIA3" s="98"/>
      <c r="OIB3" s="98"/>
      <c r="OIC3" s="98"/>
      <c r="OID3" s="98"/>
      <c r="OIE3" s="98"/>
      <c r="OIF3" s="98"/>
      <c r="OIG3" s="98"/>
      <c r="OIH3" s="98"/>
      <c r="OII3" s="98"/>
      <c r="OIJ3" s="98"/>
      <c r="OIK3" s="98"/>
      <c r="OIL3" s="98"/>
      <c r="OIM3" s="98"/>
      <c r="OIN3" s="98"/>
      <c r="OIO3" s="98"/>
      <c r="OIP3" s="98"/>
      <c r="OIQ3" s="98"/>
      <c r="OIR3" s="98"/>
      <c r="OIS3" s="98"/>
      <c r="OIT3" s="98"/>
      <c r="OIU3" s="98"/>
      <c r="OIV3" s="98"/>
      <c r="OIW3" s="98"/>
      <c r="OIX3" s="98"/>
      <c r="OIY3" s="98"/>
      <c r="OIZ3" s="98"/>
      <c r="OJA3" s="98"/>
      <c r="OJB3" s="98"/>
      <c r="OJC3" s="98"/>
      <c r="OJD3" s="98"/>
      <c r="OJE3" s="98"/>
      <c r="OJF3" s="98"/>
      <c r="OJG3" s="98"/>
      <c r="OJH3" s="98"/>
      <c r="OJI3" s="98"/>
      <c r="OJJ3" s="98"/>
      <c r="OJK3" s="98"/>
      <c r="OJL3" s="98"/>
      <c r="OJM3" s="98"/>
      <c r="OJN3" s="98"/>
      <c r="OJO3" s="98"/>
      <c r="OJP3" s="98"/>
      <c r="OJQ3" s="98"/>
      <c r="OJR3" s="98"/>
      <c r="OJS3" s="98"/>
      <c r="OJT3" s="98"/>
      <c r="OJU3" s="98"/>
      <c r="OJV3" s="98"/>
      <c r="OJW3" s="98"/>
      <c r="OJX3" s="98"/>
      <c r="OJY3" s="98"/>
      <c r="OJZ3" s="98"/>
      <c r="OKA3" s="98"/>
      <c r="OKB3" s="98"/>
      <c r="OKC3" s="98"/>
      <c r="OKD3" s="98"/>
      <c r="OKE3" s="98"/>
      <c r="OKF3" s="98"/>
      <c r="OKG3" s="98"/>
      <c r="OKH3" s="98"/>
      <c r="OKI3" s="98"/>
      <c r="OKJ3" s="98"/>
      <c r="OKK3" s="98"/>
      <c r="OKL3" s="98"/>
      <c r="OKM3" s="98"/>
      <c r="OKN3" s="98"/>
      <c r="OKO3" s="98"/>
      <c r="OKP3" s="98"/>
      <c r="OKQ3" s="98"/>
      <c r="OKR3" s="98"/>
      <c r="OKS3" s="98"/>
      <c r="OKT3" s="98"/>
      <c r="OKU3" s="98"/>
      <c r="OKV3" s="98"/>
      <c r="OKW3" s="98"/>
      <c r="OKX3" s="98"/>
      <c r="OKY3" s="98"/>
      <c r="OKZ3" s="98"/>
      <c r="OLA3" s="98"/>
      <c r="OLB3" s="98"/>
      <c r="OLC3" s="98"/>
      <c r="OLD3" s="98"/>
      <c r="OLE3" s="98"/>
      <c r="OLF3" s="98"/>
      <c r="OLG3" s="98"/>
      <c r="OLH3" s="98"/>
      <c r="OLI3" s="98"/>
      <c r="OLJ3" s="98"/>
      <c r="OLK3" s="98"/>
      <c r="OLL3" s="98"/>
      <c r="OLM3" s="98"/>
      <c r="OLN3" s="98"/>
      <c r="OLO3" s="98"/>
      <c r="OLP3" s="98"/>
      <c r="OLQ3" s="98"/>
      <c r="OLR3" s="98"/>
      <c r="OLS3" s="98"/>
      <c r="OLT3" s="98"/>
      <c r="OLU3" s="98"/>
      <c r="OLV3" s="98"/>
      <c r="OLW3" s="98"/>
      <c r="OLX3" s="98"/>
      <c r="OLY3" s="98"/>
      <c r="OLZ3" s="98"/>
      <c r="OMA3" s="98"/>
      <c r="OMB3" s="98"/>
      <c r="OMC3" s="98"/>
      <c r="OMD3" s="98"/>
      <c r="OME3" s="98"/>
      <c r="OMF3" s="98"/>
      <c r="OMG3" s="98"/>
      <c r="OMH3" s="98"/>
      <c r="OMI3" s="98"/>
      <c r="OMJ3" s="98"/>
      <c r="OMK3" s="98"/>
      <c r="OML3" s="98"/>
      <c r="OMM3" s="98"/>
      <c r="OMN3" s="98"/>
      <c r="OMO3" s="98"/>
      <c r="OMP3" s="98"/>
      <c r="OMQ3" s="98"/>
      <c r="OMR3" s="98"/>
      <c r="OMS3" s="98"/>
      <c r="OMT3" s="98"/>
      <c r="OMU3" s="98"/>
      <c r="OMV3" s="98"/>
      <c r="OMW3" s="98"/>
      <c r="OMX3" s="98"/>
      <c r="OMY3" s="98"/>
      <c r="OMZ3" s="98"/>
      <c r="ONA3" s="98"/>
      <c r="ONB3" s="98"/>
      <c r="ONC3" s="98"/>
      <c r="OND3" s="98"/>
      <c r="ONE3" s="98"/>
      <c r="ONF3" s="98"/>
      <c r="ONG3" s="98"/>
      <c r="ONH3" s="98"/>
      <c r="ONI3" s="98"/>
      <c r="ONJ3" s="98"/>
      <c r="ONK3" s="98"/>
      <c r="ONL3" s="98"/>
      <c r="ONM3" s="98"/>
      <c r="ONN3" s="98"/>
      <c r="ONO3" s="98"/>
      <c r="ONP3" s="98"/>
      <c r="ONQ3" s="98"/>
      <c r="ONR3" s="98"/>
      <c r="ONS3" s="98"/>
      <c r="ONT3" s="98"/>
      <c r="ONU3" s="98"/>
      <c r="ONV3" s="98"/>
      <c r="ONW3" s="98"/>
      <c r="ONX3" s="98"/>
      <c r="ONY3" s="98"/>
      <c r="ONZ3" s="98"/>
      <c r="OOA3" s="98"/>
      <c r="OOB3" s="98"/>
      <c r="OOC3" s="98"/>
      <c r="OOD3" s="98"/>
      <c r="OOE3" s="98"/>
      <c r="OOF3" s="98"/>
      <c r="OOG3" s="98"/>
      <c r="OOH3" s="98"/>
      <c r="OOI3" s="98"/>
      <c r="OOJ3" s="98"/>
      <c r="OOK3" s="98"/>
      <c r="OOL3" s="98"/>
      <c r="OOM3" s="98"/>
      <c r="OON3" s="98"/>
      <c r="OOO3" s="98"/>
      <c r="OOP3" s="98"/>
      <c r="OOQ3" s="98"/>
      <c r="OOR3" s="98"/>
      <c r="OOS3" s="98"/>
      <c r="OOT3" s="98"/>
      <c r="OOU3" s="98"/>
      <c r="OOV3" s="98"/>
      <c r="OOW3" s="98"/>
      <c r="OOX3" s="98"/>
      <c r="OOY3" s="98"/>
      <c r="OOZ3" s="98"/>
      <c r="OPA3" s="98"/>
      <c r="OPB3" s="98"/>
      <c r="OPC3" s="98"/>
      <c r="OPD3" s="98"/>
      <c r="OPE3" s="98"/>
      <c r="OPF3" s="98"/>
      <c r="OPG3" s="98"/>
      <c r="OPH3" s="98"/>
      <c r="OPI3" s="98"/>
      <c r="OPJ3" s="98"/>
      <c r="OPK3" s="98"/>
      <c r="OPL3" s="98"/>
      <c r="OPM3" s="98"/>
      <c r="OPN3" s="98"/>
      <c r="OPO3" s="98"/>
      <c r="OPP3" s="98"/>
      <c r="OPQ3" s="98"/>
      <c r="OPR3" s="98"/>
      <c r="OPS3" s="98"/>
      <c r="OPT3" s="98"/>
      <c r="OPU3" s="98"/>
      <c r="OPV3" s="98"/>
      <c r="OPW3" s="98"/>
      <c r="OPX3" s="98"/>
      <c r="OPY3" s="98"/>
      <c r="OPZ3" s="98"/>
      <c r="OQA3" s="98"/>
      <c r="OQB3" s="98"/>
      <c r="OQC3" s="98"/>
      <c r="OQD3" s="98"/>
      <c r="OQE3" s="98"/>
      <c r="OQF3" s="98"/>
      <c r="OQG3" s="98"/>
      <c r="OQH3" s="98"/>
      <c r="OQI3" s="98"/>
      <c r="OQJ3" s="98"/>
      <c r="OQK3" s="98"/>
      <c r="OQL3" s="98"/>
      <c r="OQM3" s="98"/>
      <c r="OQN3" s="98"/>
      <c r="OQO3" s="98"/>
      <c r="OQP3" s="98"/>
      <c r="OQQ3" s="98"/>
      <c r="OQR3" s="98"/>
      <c r="OQS3" s="98"/>
      <c r="OQT3" s="98"/>
      <c r="OQU3" s="98"/>
      <c r="OQV3" s="98"/>
      <c r="OQW3" s="98"/>
      <c r="OQX3" s="98"/>
      <c r="OQY3" s="98"/>
      <c r="OQZ3" s="98"/>
      <c r="ORA3" s="98"/>
      <c r="ORB3" s="98"/>
      <c r="ORC3" s="98"/>
      <c r="ORD3" s="98"/>
      <c r="ORE3" s="98"/>
      <c r="ORF3" s="98"/>
      <c r="ORG3" s="98"/>
      <c r="ORH3" s="98"/>
      <c r="ORI3" s="98"/>
      <c r="ORJ3" s="98"/>
      <c r="ORK3" s="98"/>
      <c r="ORL3" s="98"/>
      <c r="ORM3" s="98"/>
      <c r="ORN3" s="98"/>
      <c r="ORO3" s="98"/>
      <c r="ORP3" s="98"/>
      <c r="ORQ3" s="98"/>
      <c r="ORR3" s="98"/>
      <c r="ORS3" s="98"/>
      <c r="ORT3" s="98"/>
      <c r="ORU3" s="98"/>
      <c r="ORV3" s="98"/>
      <c r="ORW3" s="98"/>
      <c r="ORX3" s="98"/>
      <c r="ORY3" s="98"/>
      <c r="ORZ3" s="98"/>
      <c r="OSA3" s="98"/>
      <c r="OSB3" s="98"/>
      <c r="OSC3" s="98"/>
      <c r="OSD3" s="98"/>
      <c r="OSE3" s="98"/>
      <c r="OSF3" s="98"/>
      <c r="OSG3" s="98"/>
      <c r="OSH3" s="98"/>
      <c r="OSI3" s="98"/>
      <c r="OSJ3" s="98"/>
      <c r="OSK3" s="98"/>
      <c r="OSL3" s="98"/>
      <c r="OSM3" s="98"/>
      <c r="OSN3" s="98"/>
      <c r="OSO3" s="98"/>
      <c r="OSP3" s="98"/>
      <c r="OSQ3" s="98"/>
      <c r="OSR3" s="98"/>
      <c r="OSS3" s="98"/>
      <c r="OST3" s="98"/>
      <c r="OSU3" s="98"/>
      <c r="OSV3" s="98"/>
      <c r="OSW3" s="98"/>
      <c r="OSX3" s="98"/>
      <c r="OSY3" s="98"/>
      <c r="OSZ3" s="98"/>
      <c r="OTA3" s="98"/>
      <c r="OTB3" s="98"/>
      <c r="OTC3" s="98"/>
      <c r="OTD3" s="98"/>
      <c r="OTE3" s="98"/>
      <c r="OTF3" s="98"/>
      <c r="OTG3" s="98"/>
      <c r="OTH3" s="98"/>
      <c r="OTI3" s="98"/>
      <c r="OTJ3" s="98"/>
      <c r="OTK3" s="98"/>
      <c r="OTL3" s="98"/>
      <c r="OTM3" s="98"/>
      <c r="OTN3" s="98"/>
      <c r="OTO3" s="98"/>
      <c r="OTP3" s="98"/>
      <c r="OTQ3" s="98"/>
      <c r="OTR3" s="98"/>
      <c r="OTS3" s="98"/>
      <c r="OTT3" s="98"/>
      <c r="OTU3" s="98"/>
      <c r="OTV3" s="98"/>
      <c r="OTW3" s="98"/>
      <c r="OTX3" s="98"/>
      <c r="OTY3" s="98"/>
      <c r="OTZ3" s="98"/>
      <c r="OUA3" s="98"/>
      <c r="OUB3" s="98"/>
      <c r="OUC3" s="98"/>
      <c r="OUD3" s="98"/>
      <c r="OUE3" s="98"/>
      <c r="OUF3" s="98"/>
      <c r="OUG3" s="98"/>
      <c r="OUH3" s="98"/>
      <c r="OUI3" s="98"/>
      <c r="OUJ3" s="98"/>
      <c r="OUK3" s="98"/>
      <c r="OUL3" s="98"/>
      <c r="OUM3" s="98"/>
      <c r="OUN3" s="98"/>
      <c r="OUO3" s="98"/>
      <c r="OUP3" s="98"/>
      <c r="OUQ3" s="98"/>
      <c r="OUR3" s="98"/>
      <c r="OUS3" s="98"/>
      <c r="OUT3" s="98"/>
      <c r="OUU3" s="98"/>
      <c r="OUV3" s="98"/>
      <c r="OUW3" s="98"/>
      <c r="OUX3" s="98"/>
      <c r="OUY3" s="98"/>
      <c r="OUZ3" s="98"/>
      <c r="OVA3" s="98"/>
      <c r="OVB3" s="98"/>
      <c r="OVC3" s="98"/>
      <c r="OVD3" s="98"/>
      <c r="OVE3" s="98"/>
      <c r="OVF3" s="98"/>
      <c r="OVG3" s="98"/>
      <c r="OVH3" s="98"/>
      <c r="OVI3" s="98"/>
      <c r="OVJ3" s="98"/>
      <c r="OVK3" s="98"/>
      <c r="OVL3" s="98"/>
      <c r="OVM3" s="98"/>
      <c r="OVN3" s="98"/>
      <c r="OVO3" s="98"/>
      <c r="OVP3" s="98"/>
      <c r="OVQ3" s="98"/>
      <c r="OVR3" s="98"/>
      <c r="OVS3" s="98"/>
      <c r="OVT3" s="98"/>
      <c r="OVU3" s="98"/>
      <c r="OVV3" s="98"/>
      <c r="OVW3" s="98"/>
      <c r="OVX3" s="98"/>
      <c r="OVY3" s="98"/>
      <c r="OVZ3" s="98"/>
      <c r="OWA3" s="98"/>
      <c r="OWB3" s="98"/>
      <c r="OWC3" s="98"/>
      <c r="OWD3" s="98"/>
      <c r="OWE3" s="98"/>
      <c r="OWF3" s="98"/>
      <c r="OWG3" s="98"/>
      <c r="OWH3" s="98"/>
      <c r="OWI3" s="98"/>
      <c r="OWJ3" s="98"/>
      <c r="OWK3" s="98"/>
      <c r="OWL3" s="98"/>
      <c r="OWM3" s="98"/>
      <c r="OWN3" s="98"/>
      <c r="OWO3" s="98"/>
      <c r="OWP3" s="98"/>
      <c r="OWQ3" s="98"/>
      <c r="OWR3" s="98"/>
      <c r="OWS3" s="98"/>
      <c r="OWT3" s="98"/>
      <c r="OWU3" s="98"/>
      <c r="OWV3" s="98"/>
      <c r="OWW3" s="98"/>
      <c r="OWX3" s="98"/>
      <c r="OWY3" s="98"/>
      <c r="OWZ3" s="98"/>
      <c r="OXA3" s="98"/>
      <c r="OXB3" s="98"/>
      <c r="OXC3" s="98"/>
      <c r="OXD3" s="98"/>
      <c r="OXE3" s="98"/>
      <c r="OXF3" s="98"/>
      <c r="OXG3" s="98"/>
      <c r="OXH3" s="98"/>
      <c r="OXI3" s="98"/>
      <c r="OXJ3" s="98"/>
      <c r="OXK3" s="98"/>
      <c r="OXL3" s="98"/>
      <c r="OXM3" s="98"/>
      <c r="OXN3" s="98"/>
      <c r="OXO3" s="98"/>
      <c r="OXP3" s="98"/>
      <c r="OXQ3" s="98"/>
      <c r="OXR3" s="98"/>
      <c r="OXS3" s="98"/>
      <c r="OXT3" s="98"/>
      <c r="OXU3" s="98"/>
      <c r="OXV3" s="98"/>
      <c r="OXW3" s="98"/>
      <c r="OXX3" s="98"/>
      <c r="OXY3" s="98"/>
      <c r="OXZ3" s="98"/>
      <c r="OYA3" s="98"/>
      <c r="OYB3" s="98"/>
      <c r="OYC3" s="98"/>
      <c r="OYD3" s="98"/>
      <c r="OYE3" s="98"/>
      <c r="OYF3" s="98"/>
      <c r="OYG3" s="98"/>
      <c r="OYH3" s="98"/>
      <c r="OYI3" s="98"/>
      <c r="OYJ3" s="98"/>
      <c r="OYK3" s="98"/>
      <c r="OYL3" s="98"/>
      <c r="OYM3" s="98"/>
      <c r="OYN3" s="98"/>
      <c r="OYO3" s="98"/>
      <c r="OYP3" s="98"/>
      <c r="OYQ3" s="98"/>
      <c r="OYR3" s="98"/>
      <c r="OYS3" s="98"/>
      <c r="OYT3" s="98"/>
      <c r="OYU3" s="98"/>
      <c r="OYV3" s="98"/>
      <c r="OYW3" s="98"/>
      <c r="OYX3" s="98"/>
      <c r="OYY3" s="98"/>
      <c r="OYZ3" s="98"/>
      <c r="OZA3" s="98"/>
      <c r="OZB3" s="98"/>
      <c r="OZC3" s="98"/>
      <c r="OZD3" s="98"/>
      <c r="OZE3" s="98"/>
      <c r="OZF3" s="98"/>
      <c r="OZG3" s="98"/>
      <c r="OZH3" s="98"/>
      <c r="OZI3" s="98"/>
      <c r="OZJ3" s="98"/>
      <c r="OZK3" s="98"/>
      <c r="OZL3" s="98"/>
      <c r="OZM3" s="98"/>
      <c r="OZN3" s="98"/>
      <c r="OZO3" s="98"/>
      <c r="OZP3" s="98"/>
      <c r="OZQ3" s="98"/>
      <c r="OZR3" s="98"/>
      <c r="OZS3" s="98"/>
      <c r="OZT3" s="98"/>
      <c r="OZU3" s="98"/>
      <c r="OZV3" s="98"/>
      <c r="OZW3" s="98"/>
      <c r="OZX3" s="98"/>
      <c r="OZY3" s="98"/>
      <c r="OZZ3" s="98"/>
      <c r="PAA3" s="98"/>
      <c r="PAB3" s="98"/>
      <c r="PAC3" s="98"/>
      <c r="PAD3" s="98"/>
      <c r="PAE3" s="98"/>
      <c r="PAF3" s="98"/>
      <c r="PAG3" s="98"/>
      <c r="PAH3" s="98"/>
      <c r="PAI3" s="98"/>
      <c r="PAJ3" s="98"/>
      <c r="PAK3" s="98"/>
      <c r="PAL3" s="98"/>
      <c r="PAM3" s="98"/>
      <c r="PAN3" s="98"/>
      <c r="PAO3" s="98"/>
      <c r="PAP3" s="98"/>
      <c r="PAQ3" s="98"/>
      <c r="PAR3" s="98"/>
      <c r="PAS3" s="98"/>
      <c r="PAT3" s="98"/>
      <c r="PAU3" s="98"/>
      <c r="PAV3" s="98"/>
      <c r="PAW3" s="98"/>
      <c r="PAX3" s="98"/>
      <c r="PAY3" s="98"/>
      <c r="PAZ3" s="98"/>
      <c r="PBA3" s="98"/>
      <c r="PBB3" s="98"/>
      <c r="PBC3" s="98"/>
      <c r="PBD3" s="98"/>
      <c r="PBE3" s="98"/>
      <c r="PBF3" s="98"/>
      <c r="PBG3" s="98"/>
      <c r="PBH3" s="98"/>
      <c r="PBI3" s="98"/>
      <c r="PBJ3" s="98"/>
      <c r="PBK3" s="98"/>
      <c r="PBL3" s="98"/>
      <c r="PBM3" s="98"/>
      <c r="PBN3" s="98"/>
      <c r="PBO3" s="98"/>
      <c r="PBP3" s="98"/>
      <c r="PBQ3" s="98"/>
      <c r="PBR3" s="98"/>
      <c r="PBS3" s="98"/>
      <c r="PBT3" s="98"/>
      <c r="PBU3" s="98"/>
      <c r="PBV3" s="98"/>
      <c r="PBW3" s="98"/>
      <c r="PBX3" s="98"/>
      <c r="PBY3" s="98"/>
      <c r="PBZ3" s="98"/>
      <c r="PCA3" s="98"/>
      <c r="PCB3" s="98"/>
      <c r="PCC3" s="98"/>
      <c r="PCD3" s="98"/>
      <c r="PCE3" s="98"/>
      <c r="PCF3" s="98"/>
      <c r="PCG3" s="98"/>
      <c r="PCH3" s="98"/>
      <c r="PCI3" s="98"/>
      <c r="PCJ3" s="98"/>
      <c r="PCK3" s="98"/>
      <c r="PCL3" s="98"/>
      <c r="PCM3" s="98"/>
      <c r="PCN3" s="98"/>
      <c r="PCO3" s="98"/>
      <c r="PCP3" s="98"/>
      <c r="PCQ3" s="98"/>
      <c r="PCR3" s="98"/>
      <c r="PCS3" s="98"/>
      <c r="PCT3" s="98"/>
      <c r="PCU3" s="98"/>
      <c r="PCV3" s="98"/>
      <c r="PCW3" s="98"/>
      <c r="PCX3" s="98"/>
      <c r="PCY3" s="98"/>
      <c r="PCZ3" s="98"/>
      <c r="PDA3" s="98"/>
      <c r="PDB3" s="98"/>
      <c r="PDC3" s="98"/>
      <c r="PDD3" s="98"/>
      <c r="PDE3" s="98"/>
      <c r="PDF3" s="98"/>
      <c r="PDG3" s="98"/>
      <c r="PDH3" s="98"/>
      <c r="PDI3" s="98"/>
      <c r="PDJ3" s="98"/>
      <c r="PDK3" s="98"/>
      <c r="PDL3" s="98"/>
      <c r="PDM3" s="98"/>
      <c r="PDN3" s="98"/>
      <c r="PDO3" s="98"/>
      <c r="PDP3" s="98"/>
      <c r="PDQ3" s="98"/>
      <c r="PDR3" s="98"/>
      <c r="PDS3" s="98"/>
      <c r="PDT3" s="98"/>
      <c r="PDU3" s="98"/>
      <c r="PDV3" s="98"/>
      <c r="PDW3" s="98"/>
      <c r="PDX3" s="98"/>
      <c r="PDY3" s="98"/>
      <c r="PDZ3" s="98"/>
      <c r="PEA3" s="98"/>
      <c r="PEB3" s="98"/>
      <c r="PEC3" s="98"/>
      <c r="PED3" s="98"/>
      <c r="PEE3" s="98"/>
      <c r="PEF3" s="98"/>
      <c r="PEG3" s="98"/>
      <c r="PEH3" s="98"/>
      <c r="PEI3" s="98"/>
      <c r="PEJ3" s="98"/>
      <c r="PEK3" s="98"/>
      <c r="PEL3" s="98"/>
      <c r="PEM3" s="98"/>
      <c r="PEN3" s="98"/>
      <c r="PEO3" s="98"/>
      <c r="PEP3" s="98"/>
      <c r="PEQ3" s="98"/>
      <c r="PER3" s="98"/>
      <c r="PES3" s="98"/>
      <c r="PET3" s="98"/>
      <c r="PEU3" s="98"/>
      <c r="PEV3" s="98"/>
      <c r="PEW3" s="98"/>
      <c r="PEX3" s="98"/>
      <c r="PEY3" s="98"/>
      <c r="PEZ3" s="98"/>
      <c r="PFA3" s="98"/>
      <c r="PFB3" s="98"/>
      <c r="PFC3" s="98"/>
      <c r="PFD3" s="98"/>
      <c r="PFE3" s="98"/>
      <c r="PFF3" s="98"/>
      <c r="PFG3" s="98"/>
      <c r="PFH3" s="98"/>
      <c r="PFI3" s="98"/>
      <c r="PFJ3" s="98"/>
      <c r="PFK3" s="98"/>
      <c r="PFL3" s="98"/>
      <c r="PFM3" s="98"/>
      <c r="PFN3" s="98"/>
      <c r="PFO3" s="98"/>
      <c r="PFP3" s="98"/>
      <c r="PFQ3" s="98"/>
      <c r="PFR3" s="98"/>
      <c r="PFS3" s="98"/>
      <c r="PFT3" s="98"/>
      <c r="PFU3" s="98"/>
      <c r="PFV3" s="98"/>
      <c r="PFW3" s="98"/>
      <c r="PFX3" s="98"/>
      <c r="PFY3" s="98"/>
      <c r="PFZ3" s="98"/>
      <c r="PGA3" s="98"/>
      <c r="PGB3" s="98"/>
      <c r="PGC3" s="98"/>
      <c r="PGD3" s="98"/>
      <c r="PGE3" s="98"/>
      <c r="PGF3" s="98"/>
      <c r="PGG3" s="98"/>
      <c r="PGH3" s="98"/>
      <c r="PGI3" s="98"/>
      <c r="PGJ3" s="98"/>
      <c r="PGK3" s="98"/>
      <c r="PGL3" s="98"/>
      <c r="PGM3" s="98"/>
      <c r="PGN3" s="98"/>
      <c r="PGO3" s="98"/>
      <c r="PGP3" s="98"/>
      <c r="PGQ3" s="98"/>
      <c r="PGR3" s="98"/>
      <c r="PGS3" s="98"/>
      <c r="PGT3" s="98"/>
      <c r="PGU3" s="98"/>
      <c r="PGV3" s="98"/>
      <c r="PGW3" s="98"/>
      <c r="PGX3" s="98"/>
      <c r="PGY3" s="98"/>
      <c r="PGZ3" s="98"/>
      <c r="PHA3" s="98"/>
      <c r="PHB3" s="98"/>
      <c r="PHC3" s="98"/>
      <c r="PHD3" s="98"/>
      <c r="PHE3" s="98"/>
      <c r="PHF3" s="98"/>
      <c r="PHG3" s="98"/>
      <c r="PHH3" s="98"/>
      <c r="PHI3" s="98"/>
      <c r="PHJ3" s="98"/>
      <c r="PHK3" s="98"/>
      <c r="PHL3" s="98"/>
      <c r="PHM3" s="98"/>
      <c r="PHN3" s="98"/>
      <c r="PHO3" s="98"/>
      <c r="PHP3" s="98"/>
      <c r="PHQ3" s="98"/>
      <c r="PHR3" s="98"/>
      <c r="PHS3" s="98"/>
      <c r="PHT3" s="98"/>
      <c r="PHU3" s="98"/>
      <c r="PHV3" s="98"/>
      <c r="PHW3" s="98"/>
      <c r="PHX3" s="98"/>
      <c r="PHY3" s="98"/>
      <c r="PHZ3" s="98"/>
      <c r="PIA3" s="98"/>
      <c r="PIB3" s="98"/>
      <c r="PIC3" s="98"/>
      <c r="PID3" s="98"/>
      <c r="PIE3" s="98"/>
      <c r="PIF3" s="98"/>
      <c r="PIG3" s="98"/>
      <c r="PIH3" s="98"/>
      <c r="PII3" s="98"/>
      <c r="PIJ3" s="98"/>
      <c r="PIK3" s="98"/>
      <c r="PIL3" s="98"/>
      <c r="PIM3" s="98"/>
      <c r="PIN3" s="98"/>
      <c r="PIO3" s="98"/>
      <c r="PIP3" s="98"/>
      <c r="PIQ3" s="98"/>
      <c r="PIR3" s="98"/>
      <c r="PIS3" s="98"/>
      <c r="PIT3" s="98"/>
      <c r="PIU3" s="98"/>
      <c r="PIV3" s="98"/>
      <c r="PIW3" s="98"/>
      <c r="PIX3" s="98"/>
      <c r="PIY3" s="98"/>
      <c r="PIZ3" s="98"/>
      <c r="PJA3" s="98"/>
      <c r="PJB3" s="98"/>
      <c r="PJC3" s="98"/>
      <c r="PJD3" s="98"/>
      <c r="PJE3" s="98"/>
      <c r="PJF3" s="98"/>
      <c r="PJG3" s="98"/>
      <c r="PJH3" s="98"/>
      <c r="PJI3" s="98"/>
      <c r="PJJ3" s="98"/>
      <c r="PJK3" s="98"/>
      <c r="PJL3" s="98"/>
      <c r="PJM3" s="98"/>
      <c r="PJN3" s="98"/>
      <c r="PJO3" s="98"/>
      <c r="PJP3" s="98"/>
      <c r="PJQ3" s="98"/>
      <c r="PJR3" s="98"/>
      <c r="PJS3" s="98"/>
      <c r="PJT3" s="98"/>
      <c r="PJU3" s="98"/>
      <c r="PJV3" s="98"/>
      <c r="PJW3" s="98"/>
      <c r="PJX3" s="98"/>
      <c r="PJY3" s="98"/>
      <c r="PJZ3" s="98"/>
      <c r="PKA3" s="98"/>
      <c r="PKB3" s="98"/>
      <c r="PKC3" s="98"/>
      <c r="PKD3" s="98"/>
      <c r="PKE3" s="98"/>
      <c r="PKF3" s="98"/>
      <c r="PKG3" s="98"/>
      <c r="PKH3" s="98"/>
      <c r="PKI3" s="98"/>
      <c r="PKJ3" s="98"/>
      <c r="PKK3" s="98"/>
      <c r="PKL3" s="98"/>
      <c r="PKM3" s="98"/>
      <c r="PKN3" s="98"/>
      <c r="PKO3" s="98"/>
      <c r="PKP3" s="98"/>
      <c r="PKQ3" s="98"/>
      <c r="PKR3" s="98"/>
      <c r="PKS3" s="98"/>
      <c r="PKT3" s="98"/>
      <c r="PKU3" s="98"/>
      <c r="PKV3" s="98"/>
      <c r="PKW3" s="98"/>
      <c r="PKX3" s="98"/>
      <c r="PKY3" s="98"/>
      <c r="PKZ3" s="98"/>
      <c r="PLA3" s="98"/>
      <c r="PLB3" s="98"/>
      <c r="PLC3" s="98"/>
      <c r="PLD3" s="98"/>
      <c r="PLE3" s="98"/>
      <c r="PLF3" s="98"/>
      <c r="PLG3" s="98"/>
      <c r="PLH3" s="98"/>
      <c r="PLI3" s="98"/>
      <c r="PLJ3" s="98"/>
      <c r="PLK3" s="98"/>
      <c r="PLL3" s="98"/>
      <c r="PLM3" s="98"/>
      <c r="PLN3" s="98"/>
      <c r="PLO3" s="98"/>
      <c r="PLP3" s="98"/>
      <c r="PLQ3" s="98"/>
      <c r="PLR3" s="98"/>
      <c r="PLS3" s="98"/>
      <c r="PLT3" s="98"/>
      <c r="PLU3" s="98"/>
      <c r="PLV3" s="98"/>
      <c r="PLW3" s="98"/>
      <c r="PLX3" s="98"/>
      <c r="PLY3" s="98"/>
      <c r="PLZ3" s="98"/>
      <c r="PMA3" s="98"/>
      <c r="PMB3" s="98"/>
      <c r="PMC3" s="98"/>
      <c r="PMD3" s="98"/>
      <c r="PME3" s="98"/>
      <c r="PMF3" s="98"/>
      <c r="PMG3" s="98"/>
      <c r="PMH3" s="98"/>
      <c r="PMI3" s="98"/>
      <c r="PMJ3" s="98"/>
      <c r="PMK3" s="98"/>
      <c r="PML3" s="98"/>
      <c r="PMM3" s="98"/>
      <c r="PMN3" s="98"/>
      <c r="PMO3" s="98"/>
      <c r="PMP3" s="98"/>
      <c r="PMQ3" s="98"/>
      <c r="PMR3" s="98"/>
      <c r="PMS3" s="98"/>
      <c r="PMT3" s="98"/>
      <c r="PMU3" s="98"/>
      <c r="PMV3" s="98"/>
      <c r="PMW3" s="98"/>
      <c r="PMX3" s="98"/>
      <c r="PMY3" s="98"/>
      <c r="PMZ3" s="98"/>
      <c r="PNA3" s="98"/>
      <c r="PNB3" s="98"/>
      <c r="PNC3" s="98"/>
      <c r="PND3" s="98"/>
      <c r="PNE3" s="98"/>
      <c r="PNF3" s="98"/>
      <c r="PNG3" s="98"/>
      <c r="PNH3" s="98"/>
      <c r="PNI3" s="98"/>
      <c r="PNJ3" s="98"/>
      <c r="PNK3" s="98"/>
      <c r="PNL3" s="98"/>
      <c r="PNM3" s="98"/>
      <c r="PNN3" s="98"/>
      <c r="PNO3" s="98"/>
      <c r="PNP3" s="98"/>
      <c r="PNQ3" s="98"/>
      <c r="PNR3" s="98"/>
      <c r="PNS3" s="98"/>
      <c r="PNT3" s="98"/>
      <c r="PNU3" s="98"/>
      <c r="PNV3" s="98"/>
      <c r="PNW3" s="98"/>
      <c r="PNX3" s="98"/>
      <c r="PNY3" s="98"/>
      <c r="PNZ3" s="98"/>
      <c r="POA3" s="98"/>
      <c r="POB3" s="98"/>
      <c r="POC3" s="98"/>
      <c r="POD3" s="98"/>
      <c r="POE3" s="98"/>
      <c r="POF3" s="98"/>
      <c r="POG3" s="98"/>
      <c r="POH3" s="98"/>
      <c r="POI3" s="98"/>
      <c r="POJ3" s="98"/>
      <c r="POK3" s="98"/>
      <c r="POL3" s="98"/>
      <c r="POM3" s="98"/>
      <c r="PON3" s="98"/>
      <c r="POO3" s="98"/>
      <c r="POP3" s="98"/>
      <c r="POQ3" s="98"/>
      <c r="POR3" s="98"/>
      <c r="POS3" s="98"/>
      <c r="POT3" s="98"/>
      <c r="POU3" s="98"/>
      <c r="POV3" s="98"/>
      <c r="POW3" s="98"/>
      <c r="POX3" s="98"/>
      <c r="POY3" s="98"/>
      <c r="POZ3" s="98"/>
      <c r="PPA3" s="98"/>
      <c r="PPB3" s="98"/>
      <c r="PPC3" s="98"/>
      <c r="PPD3" s="98"/>
      <c r="PPE3" s="98"/>
      <c r="PPF3" s="98"/>
      <c r="PPG3" s="98"/>
      <c r="PPH3" s="98"/>
      <c r="PPI3" s="98"/>
      <c r="PPJ3" s="98"/>
      <c r="PPK3" s="98"/>
      <c r="PPL3" s="98"/>
      <c r="PPM3" s="98"/>
      <c r="PPN3" s="98"/>
      <c r="PPO3" s="98"/>
      <c r="PPP3" s="98"/>
      <c r="PPQ3" s="98"/>
      <c r="PPR3" s="98"/>
      <c r="PPS3" s="98"/>
      <c r="PPT3" s="98"/>
      <c r="PPU3" s="98"/>
      <c r="PPV3" s="98"/>
      <c r="PPW3" s="98"/>
      <c r="PPX3" s="98"/>
      <c r="PPY3" s="98"/>
      <c r="PPZ3" s="98"/>
      <c r="PQA3" s="98"/>
      <c r="PQB3" s="98"/>
      <c r="PQC3" s="98"/>
      <c r="PQD3" s="98"/>
      <c r="PQE3" s="98"/>
      <c r="PQF3" s="98"/>
      <c r="PQG3" s="98"/>
      <c r="PQH3" s="98"/>
      <c r="PQI3" s="98"/>
      <c r="PQJ3" s="98"/>
      <c r="PQK3" s="98"/>
      <c r="PQL3" s="98"/>
      <c r="PQM3" s="98"/>
      <c r="PQN3" s="98"/>
      <c r="PQO3" s="98"/>
      <c r="PQP3" s="98"/>
      <c r="PQQ3" s="98"/>
      <c r="PQR3" s="98"/>
      <c r="PQS3" s="98"/>
      <c r="PQT3" s="98"/>
      <c r="PQU3" s="98"/>
      <c r="PQV3" s="98"/>
      <c r="PQW3" s="98"/>
      <c r="PQX3" s="98"/>
      <c r="PQY3" s="98"/>
      <c r="PQZ3" s="98"/>
      <c r="PRA3" s="98"/>
      <c r="PRB3" s="98"/>
      <c r="PRC3" s="98"/>
      <c r="PRD3" s="98"/>
      <c r="PRE3" s="98"/>
      <c r="PRF3" s="98"/>
      <c r="PRG3" s="98"/>
      <c r="PRH3" s="98"/>
      <c r="PRI3" s="98"/>
      <c r="PRJ3" s="98"/>
      <c r="PRK3" s="98"/>
      <c r="PRL3" s="98"/>
      <c r="PRM3" s="98"/>
      <c r="PRN3" s="98"/>
      <c r="PRO3" s="98"/>
      <c r="PRP3" s="98"/>
      <c r="PRQ3" s="98"/>
      <c r="PRR3" s="98"/>
      <c r="PRS3" s="98"/>
      <c r="PRT3" s="98"/>
      <c r="PRU3" s="98"/>
      <c r="PRV3" s="98"/>
      <c r="PRW3" s="98"/>
      <c r="PRX3" s="98"/>
      <c r="PRY3" s="98"/>
      <c r="PRZ3" s="98"/>
      <c r="PSA3" s="98"/>
      <c r="PSB3" s="98"/>
      <c r="PSC3" s="98"/>
      <c r="PSD3" s="98"/>
      <c r="PSE3" s="98"/>
      <c r="PSF3" s="98"/>
      <c r="PSG3" s="98"/>
      <c r="PSH3" s="98"/>
      <c r="PSI3" s="98"/>
      <c r="PSJ3" s="98"/>
      <c r="PSK3" s="98"/>
      <c r="PSL3" s="98"/>
      <c r="PSM3" s="98"/>
      <c r="PSN3" s="98"/>
      <c r="PSO3" s="98"/>
      <c r="PSP3" s="98"/>
      <c r="PSQ3" s="98"/>
      <c r="PSR3" s="98"/>
      <c r="PSS3" s="98"/>
      <c r="PST3" s="98"/>
      <c r="PSU3" s="98"/>
      <c r="PSV3" s="98"/>
      <c r="PSW3" s="98"/>
      <c r="PSX3" s="98"/>
      <c r="PSY3" s="98"/>
      <c r="PSZ3" s="98"/>
      <c r="PTA3" s="98"/>
      <c r="PTB3" s="98"/>
      <c r="PTC3" s="98"/>
      <c r="PTD3" s="98"/>
      <c r="PTE3" s="98"/>
      <c r="PTF3" s="98"/>
      <c r="PTG3" s="98"/>
      <c r="PTH3" s="98"/>
      <c r="PTI3" s="98"/>
      <c r="PTJ3" s="98"/>
      <c r="PTK3" s="98"/>
      <c r="PTL3" s="98"/>
      <c r="PTM3" s="98"/>
      <c r="PTN3" s="98"/>
      <c r="PTO3" s="98"/>
      <c r="PTP3" s="98"/>
      <c r="PTQ3" s="98"/>
      <c r="PTR3" s="98"/>
      <c r="PTS3" s="98"/>
      <c r="PTT3" s="98"/>
      <c r="PTU3" s="98"/>
      <c r="PTV3" s="98"/>
      <c r="PTW3" s="98"/>
      <c r="PTX3" s="98"/>
      <c r="PTY3" s="98"/>
      <c r="PTZ3" s="98"/>
      <c r="PUA3" s="98"/>
      <c r="PUB3" s="98"/>
      <c r="PUC3" s="98"/>
      <c r="PUD3" s="98"/>
      <c r="PUE3" s="98"/>
      <c r="PUF3" s="98"/>
      <c r="PUG3" s="98"/>
      <c r="PUH3" s="98"/>
      <c r="PUI3" s="98"/>
      <c r="PUJ3" s="98"/>
      <c r="PUK3" s="98"/>
      <c r="PUL3" s="98"/>
      <c r="PUM3" s="98"/>
      <c r="PUN3" s="98"/>
      <c r="PUO3" s="98"/>
      <c r="PUP3" s="98"/>
      <c r="PUQ3" s="98"/>
      <c r="PUR3" s="98"/>
      <c r="PUS3" s="98"/>
      <c r="PUT3" s="98"/>
      <c r="PUU3" s="98"/>
      <c r="PUV3" s="98"/>
      <c r="PUW3" s="98"/>
      <c r="PUX3" s="98"/>
      <c r="PUY3" s="98"/>
      <c r="PUZ3" s="98"/>
      <c r="PVA3" s="98"/>
      <c r="PVB3" s="98"/>
      <c r="PVC3" s="98"/>
      <c r="PVD3" s="98"/>
      <c r="PVE3" s="98"/>
      <c r="PVF3" s="98"/>
      <c r="PVG3" s="98"/>
      <c r="PVH3" s="98"/>
      <c r="PVI3" s="98"/>
      <c r="PVJ3" s="98"/>
      <c r="PVK3" s="98"/>
      <c r="PVL3" s="98"/>
      <c r="PVM3" s="98"/>
      <c r="PVN3" s="98"/>
      <c r="PVO3" s="98"/>
      <c r="PVP3" s="98"/>
      <c r="PVQ3" s="98"/>
      <c r="PVR3" s="98"/>
      <c r="PVS3" s="98"/>
      <c r="PVT3" s="98"/>
      <c r="PVU3" s="98"/>
      <c r="PVV3" s="98"/>
      <c r="PVW3" s="98"/>
      <c r="PVX3" s="98"/>
      <c r="PVY3" s="98"/>
      <c r="PVZ3" s="98"/>
      <c r="PWA3" s="98"/>
      <c r="PWB3" s="98"/>
      <c r="PWC3" s="98"/>
      <c r="PWD3" s="98"/>
      <c r="PWE3" s="98"/>
      <c r="PWF3" s="98"/>
      <c r="PWG3" s="98"/>
      <c r="PWH3" s="98"/>
      <c r="PWI3" s="98"/>
      <c r="PWJ3" s="98"/>
      <c r="PWK3" s="98"/>
      <c r="PWL3" s="98"/>
      <c r="PWM3" s="98"/>
      <c r="PWN3" s="98"/>
      <c r="PWO3" s="98"/>
      <c r="PWP3" s="98"/>
      <c r="PWQ3" s="98"/>
      <c r="PWR3" s="98"/>
      <c r="PWS3" s="98"/>
      <c r="PWT3" s="98"/>
      <c r="PWU3" s="98"/>
      <c r="PWV3" s="98"/>
      <c r="PWW3" s="98"/>
      <c r="PWX3" s="98"/>
      <c r="PWY3" s="98"/>
      <c r="PWZ3" s="98"/>
      <c r="PXA3" s="98"/>
      <c r="PXB3" s="98"/>
      <c r="PXC3" s="98"/>
      <c r="PXD3" s="98"/>
      <c r="PXE3" s="98"/>
      <c r="PXF3" s="98"/>
      <c r="PXG3" s="98"/>
      <c r="PXH3" s="98"/>
      <c r="PXI3" s="98"/>
      <c r="PXJ3" s="98"/>
      <c r="PXK3" s="98"/>
      <c r="PXL3" s="98"/>
      <c r="PXM3" s="98"/>
      <c r="PXN3" s="98"/>
      <c r="PXO3" s="98"/>
      <c r="PXP3" s="98"/>
      <c r="PXQ3" s="98"/>
      <c r="PXR3" s="98"/>
      <c r="PXS3" s="98"/>
      <c r="PXT3" s="98"/>
      <c r="PXU3" s="98"/>
      <c r="PXV3" s="98"/>
      <c r="PXW3" s="98"/>
      <c r="PXX3" s="98"/>
      <c r="PXY3" s="98"/>
      <c r="PXZ3" s="98"/>
      <c r="PYA3" s="98"/>
      <c r="PYB3" s="98"/>
      <c r="PYC3" s="98"/>
      <c r="PYD3" s="98"/>
      <c r="PYE3" s="98"/>
      <c r="PYF3" s="98"/>
      <c r="PYG3" s="98"/>
      <c r="PYH3" s="98"/>
      <c r="PYI3" s="98"/>
      <c r="PYJ3" s="98"/>
      <c r="PYK3" s="98"/>
      <c r="PYL3" s="98"/>
      <c r="PYM3" s="98"/>
      <c r="PYN3" s="98"/>
      <c r="PYO3" s="98"/>
      <c r="PYP3" s="98"/>
      <c r="PYQ3" s="98"/>
      <c r="PYR3" s="98"/>
      <c r="PYS3" s="98"/>
      <c r="PYT3" s="98"/>
      <c r="PYU3" s="98"/>
      <c r="PYV3" s="98"/>
      <c r="PYW3" s="98"/>
      <c r="PYX3" s="98"/>
      <c r="PYY3" s="98"/>
      <c r="PYZ3" s="98"/>
      <c r="PZA3" s="98"/>
      <c r="PZB3" s="98"/>
      <c r="PZC3" s="98"/>
      <c r="PZD3" s="98"/>
      <c r="PZE3" s="98"/>
      <c r="PZF3" s="98"/>
      <c r="PZG3" s="98"/>
      <c r="PZH3" s="98"/>
      <c r="PZI3" s="98"/>
      <c r="PZJ3" s="98"/>
      <c r="PZK3" s="98"/>
      <c r="PZL3" s="98"/>
      <c r="PZM3" s="98"/>
      <c r="PZN3" s="98"/>
      <c r="PZO3" s="98"/>
      <c r="PZP3" s="98"/>
      <c r="PZQ3" s="98"/>
      <c r="PZR3" s="98"/>
      <c r="PZS3" s="98"/>
      <c r="PZT3" s="98"/>
      <c r="PZU3" s="98"/>
      <c r="PZV3" s="98"/>
      <c r="PZW3" s="98"/>
      <c r="PZX3" s="98"/>
      <c r="PZY3" s="98"/>
      <c r="PZZ3" s="98"/>
      <c r="QAA3" s="98"/>
      <c r="QAB3" s="98"/>
      <c r="QAC3" s="98"/>
      <c r="QAD3" s="98"/>
      <c r="QAE3" s="98"/>
      <c r="QAF3" s="98"/>
      <c r="QAG3" s="98"/>
      <c r="QAH3" s="98"/>
      <c r="QAI3" s="98"/>
      <c r="QAJ3" s="98"/>
      <c r="QAK3" s="98"/>
      <c r="QAL3" s="98"/>
      <c r="QAM3" s="98"/>
      <c r="QAN3" s="98"/>
      <c r="QAO3" s="98"/>
      <c r="QAP3" s="98"/>
      <c r="QAQ3" s="98"/>
      <c r="QAR3" s="98"/>
      <c r="QAS3" s="98"/>
      <c r="QAT3" s="98"/>
      <c r="QAU3" s="98"/>
      <c r="QAV3" s="98"/>
      <c r="QAW3" s="98"/>
      <c r="QAX3" s="98"/>
      <c r="QAY3" s="98"/>
      <c r="QAZ3" s="98"/>
      <c r="QBA3" s="98"/>
      <c r="QBB3" s="98"/>
      <c r="QBC3" s="98"/>
      <c r="QBD3" s="98"/>
      <c r="QBE3" s="98"/>
      <c r="QBF3" s="98"/>
      <c r="QBG3" s="98"/>
      <c r="QBH3" s="98"/>
      <c r="QBI3" s="98"/>
      <c r="QBJ3" s="98"/>
      <c r="QBK3" s="98"/>
      <c r="QBL3" s="98"/>
      <c r="QBM3" s="98"/>
      <c r="QBN3" s="98"/>
      <c r="QBO3" s="98"/>
      <c r="QBP3" s="98"/>
      <c r="QBQ3" s="98"/>
      <c r="QBR3" s="98"/>
      <c r="QBS3" s="98"/>
      <c r="QBT3" s="98"/>
      <c r="QBU3" s="98"/>
      <c r="QBV3" s="98"/>
      <c r="QBW3" s="98"/>
      <c r="QBX3" s="98"/>
      <c r="QBY3" s="98"/>
      <c r="QBZ3" s="98"/>
      <c r="QCA3" s="98"/>
      <c r="QCB3" s="98"/>
      <c r="QCC3" s="98"/>
      <c r="QCD3" s="98"/>
      <c r="QCE3" s="98"/>
      <c r="QCF3" s="98"/>
      <c r="QCG3" s="98"/>
      <c r="QCH3" s="98"/>
      <c r="QCI3" s="98"/>
      <c r="QCJ3" s="98"/>
      <c r="QCK3" s="98"/>
      <c r="QCL3" s="98"/>
      <c r="QCM3" s="98"/>
      <c r="QCN3" s="98"/>
      <c r="QCO3" s="98"/>
      <c r="QCP3" s="98"/>
      <c r="QCQ3" s="98"/>
      <c r="QCR3" s="98"/>
      <c r="QCS3" s="98"/>
      <c r="QCT3" s="98"/>
      <c r="QCU3" s="98"/>
      <c r="QCV3" s="98"/>
      <c r="QCW3" s="98"/>
      <c r="QCX3" s="98"/>
      <c r="QCY3" s="98"/>
      <c r="QCZ3" s="98"/>
      <c r="QDA3" s="98"/>
      <c r="QDB3" s="98"/>
      <c r="QDC3" s="98"/>
      <c r="QDD3" s="98"/>
      <c r="QDE3" s="98"/>
      <c r="QDF3" s="98"/>
      <c r="QDG3" s="98"/>
      <c r="QDH3" s="98"/>
      <c r="QDI3" s="98"/>
      <c r="QDJ3" s="98"/>
      <c r="QDK3" s="98"/>
      <c r="QDL3" s="98"/>
      <c r="QDM3" s="98"/>
      <c r="QDN3" s="98"/>
      <c r="QDO3" s="98"/>
      <c r="QDP3" s="98"/>
      <c r="QDQ3" s="98"/>
      <c r="QDR3" s="98"/>
      <c r="QDS3" s="98"/>
      <c r="QDT3" s="98"/>
      <c r="QDU3" s="98"/>
      <c r="QDV3" s="98"/>
      <c r="QDW3" s="98"/>
      <c r="QDX3" s="98"/>
      <c r="QDY3" s="98"/>
      <c r="QDZ3" s="98"/>
      <c r="QEA3" s="98"/>
      <c r="QEB3" s="98"/>
      <c r="QEC3" s="98"/>
      <c r="QED3" s="98"/>
      <c r="QEE3" s="98"/>
      <c r="QEF3" s="98"/>
      <c r="QEG3" s="98"/>
      <c r="QEH3" s="98"/>
      <c r="QEI3" s="98"/>
      <c r="QEJ3" s="98"/>
      <c r="QEK3" s="98"/>
      <c r="QEL3" s="98"/>
      <c r="QEM3" s="98"/>
      <c r="QEN3" s="98"/>
      <c r="QEO3" s="98"/>
      <c r="QEP3" s="98"/>
      <c r="QEQ3" s="98"/>
      <c r="QER3" s="98"/>
      <c r="QES3" s="98"/>
      <c r="QET3" s="98"/>
      <c r="QEU3" s="98"/>
      <c r="QEV3" s="98"/>
      <c r="QEW3" s="98"/>
      <c r="QEX3" s="98"/>
      <c r="QEY3" s="98"/>
      <c r="QEZ3" s="98"/>
      <c r="QFA3" s="98"/>
      <c r="QFB3" s="98"/>
      <c r="QFC3" s="98"/>
      <c r="QFD3" s="98"/>
      <c r="QFE3" s="98"/>
      <c r="QFF3" s="98"/>
      <c r="QFG3" s="98"/>
      <c r="QFH3" s="98"/>
      <c r="QFI3" s="98"/>
      <c r="QFJ3" s="98"/>
      <c r="QFK3" s="98"/>
      <c r="QFL3" s="98"/>
      <c r="QFM3" s="98"/>
      <c r="QFN3" s="98"/>
      <c r="QFO3" s="98"/>
      <c r="QFP3" s="98"/>
      <c r="QFQ3" s="98"/>
      <c r="QFR3" s="98"/>
      <c r="QFS3" s="98"/>
      <c r="QFT3" s="98"/>
      <c r="QFU3" s="98"/>
      <c r="QFV3" s="98"/>
      <c r="QFW3" s="98"/>
      <c r="QFX3" s="98"/>
      <c r="QFY3" s="98"/>
      <c r="QFZ3" s="98"/>
      <c r="QGA3" s="98"/>
      <c r="QGB3" s="98"/>
      <c r="QGC3" s="98"/>
      <c r="QGD3" s="98"/>
      <c r="QGE3" s="98"/>
      <c r="QGF3" s="98"/>
      <c r="QGG3" s="98"/>
      <c r="QGH3" s="98"/>
      <c r="QGI3" s="98"/>
      <c r="QGJ3" s="98"/>
      <c r="QGK3" s="98"/>
      <c r="QGL3" s="98"/>
      <c r="QGM3" s="98"/>
      <c r="QGN3" s="98"/>
      <c r="QGO3" s="98"/>
      <c r="QGP3" s="98"/>
      <c r="QGQ3" s="98"/>
      <c r="QGR3" s="98"/>
      <c r="QGS3" s="98"/>
      <c r="QGT3" s="98"/>
      <c r="QGU3" s="98"/>
      <c r="QGV3" s="98"/>
      <c r="QGW3" s="98"/>
      <c r="QGX3" s="98"/>
      <c r="QGY3" s="98"/>
      <c r="QGZ3" s="98"/>
      <c r="QHA3" s="98"/>
      <c r="QHB3" s="98"/>
      <c r="QHC3" s="98"/>
      <c r="QHD3" s="98"/>
      <c r="QHE3" s="98"/>
      <c r="QHF3" s="98"/>
      <c r="QHG3" s="98"/>
      <c r="QHH3" s="98"/>
      <c r="QHI3" s="98"/>
      <c r="QHJ3" s="98"/>
      <c r="QHK3" s="98"/>
      <c r="QHL3" s="98"/>
      <c r="QHM3" s="98"/>
      <c r="QHN3" s="98"/>
      <c r="QHO3" s="98"/>
      <c r="QHP3" s="98"/>
      <c r="QHQ3" s="98"/>
      <c r="QHR3" s="98"/>
      <c r="QHS3" s="98"/>
      <c r="QHT3" s="98"/>
      <c r="QHU3" s="98"/>
      <c r="QHV3" s="98"/>
      <c r="QHW3" s="98"/>
      <c r="QHX3" s="98"/>
      <c r="QHY3" s="98"/>
      <c r="QHZ3" s="98"/>
      <c r="QIA3" s="98"/>
      <c r="QIB3" s="98"/>
      <c r="QIC3" s="98"/>
      <c r="QID3" s="98"/>
      <c r="QIE3" s="98"/>
      <c r="QIF3" s="98"/>
      <c r="QIG3" s="98"/>
      <c r="QIH3" s="98"/>
      <c r="QII3" s="98"/>
      <c r="QIJ3" s="98"/>
      <c r="QIK3" s="98"/>
      <c r="QIL3" s="98"/>
      <c r="QIM3" s="98"/>
      <c r="QIN3" s="98"/>
      <c r="QIO3" s="98"/>
      <c r="QIP3" s="98"/>
      <c r="QIQ3" s="98"/>
      <c r="QIR3" s="98"/>
      <c r="QIS3" s="98"/>
      <c r="QIT3" s="98"/>
      <c r="QIU3" s="98"/>
      <c r="QIV3" s="98"/>
      <c r="QIW3" s="98"/>
      <c r="QIX3" s="98"/>
      <c r="QIY3" s="98"/>
      <c r="QIZ3" s="98"/>
      <c r="QJA3" s="98"/>
      <c r="QJB3" s="98"/>
      <c r="QJC3" s="98"/>
      <c r="QJD3" s="98"/>
      <c r="QJE3" s="98"/>
      <c r="QJF3" s="98"/>
      <c r="QJG3" s="98"/>
      <c r="QJH3" s="98"/>
      <c r="QJI3" s="98"/>
      <c r="QJJ3" s="98"/>
      <c r="QJK3" s="98"/>
      <c r="QJL3" s="98"/>
      <c r="QJM3" s="98"/>
      <c r="QJN3" s="98"/>
      <c r="QJO3" s="98"/>
      <c r="QJP3" s="98"/>
      <c r="QJQ3" s="98"/>
      <c r="QJR3" s="98"/>
      <c r="QJS3" s="98"/>
      <c r="QJT3" s="98"/>
      <c r="QJU3" s="98"/>
      <c r="QJV3" s="98"/>
      <c r="QJW3" s="98"/>
      <c r="QJX3" s="98"/>
      <c r="QJY3" s="98"/>
      <c r="QJZ3" s="98"/>
      <c r="QKA3" s="98"/>
      <c r="QKB3" s="98"/>
      <c r="QKC3" s="98"/>
      <c r="QKD3" s="98"/>
      <c r="QKE3" s="98"/>
      <c r="QKF3" s="98"/>
      <c r="QKG3" s="98"/>
      <c r="QKH3" s="98"/>
      <c r="QKI3" s="98"/>
      <c r="QKJ3" s="98"/>
      <c r="QKK3" s="98"/>
      <c r="QKL3" s="98"/>
      <c r="QKM3" s="98"/>
      <c r="QKN3" s="98"/>
      <c r="QKO3" s="98"/>
      <c r="QKP3" s="98"/>
      <c r="QKQ3" s="98"/>
      <c r="QKR3" s="98"/>
      <c r="QKS3" s="98"/>
      <c r="QKT3" s="98"/>
      <c r="QKU3" s="98"/>
      <c r="QKV3" s="98"/>
      <c r="QKW3" s="98"/>
      <c r="QKX3" s="98"/>
      <c r="QKY3" s="98"/>
      <c r="QKZ3" s="98"/>
      <c r="QLA3" s="98"/>
      <c r="QLB3" s="98"/>
      <c r="QLC3" s="98"/>
      <c r="QLD3" s="98"/>
      <c r="QLE3" s="98"/>
      <c r="QLF3" s="98"/>
      <c r="QLG3" s="98"/>
      <c r="QLH3" s="98"/>
      <c r="QLI3" s="98"/>
      <c r="QLJ3" s="98"/>
      <c r="QLK3" s="98"/>
      <c r="QLL3" s="98"/>
      <c r="QLM3" s="98"/>
      <c r="QLN3" s="98"/>
      <c r="QLO3" s="98"/>
      <c r="QLP3" s="98"/>
      <c r="QLQ3" s="98"/>
      <c r="QLR3" s="98"/>
      <c r="QLS3" s="98"/>
      <c r="QLT3" s="98"/>
      <c r="QLU3" s="98"/>
      <c r="QLV3" s="98"/>
      <c r="QLW3" s="98"/>
      <c r="QLX3" s="98"/>
      <c r="QLY3" s="98"/>
      <c r="QLZ3" s="98"/>
      <c r="QMA3" s="98"/>
      <c r="QMB3" s="98"/>
      <c r="QMC3" s="98"/>
      <c r="QMD3" s="98"/>
      <c r="QME3" s="98"/>
      <c r="QMF3" s="98"/>
      <c r="QMG3" s="98"/>
      <c r="QMH3" s="98"/>
      <c r="QMI3" s="98"/>
      <c r="QMJ3" s="98"/>
      <c r="QMK3" s="98"/>
      <c r="QML3" s="98"/>
      <c r="QMM3" s="98"/>
      <c r="QMN3" s="98"/>
      <c r="QMO3" s="98"/>
      <c r="QMP3" s="98"/>
      <c r="QMQ3" s="98"/>
      <c r="QMR3" s="98"/>
      <c r="QMS3" s="98"/>
      <c r="QMT3" s="98"/>
      <c r="QMU3" s="98"/>
      <c r="QMV3" s="98"/>
      <c r="QMW3" s="98"/>
      <c r="QMX3" s="98"/>
      <c r="QMY3" s="98"/>
      <c r="QMZ3" s="98"/>
      <c r="QNA3" s="98"/>
      <c r="QNB3" s="98"/>
      <c r="QNC3" s="98"/>
      <c r="QND3" s="98"/>
      <c r="QNE3" s="98"/>
      <c r="QNF3" s="98"/>
      <c r="QNG3" s="98"/>
      <c r="QNH3" s="98"/>
      <c r="QNI3" s="98"/>
      <c r="QNJ3" s="98"/>
      <c r="QNK3" s="98"/>
      <c r="QNL3" s="98"/>
      <c r="QNM3" s="98"/>
      <c r="QNN3" s="98"/>
      <c r="QNO3" s="98"/>
      <c r="QNP3" s="98"/>
      <c r="QNQ3" s="98"/>
      <c r="QNR3" s="98"/>
      <c r="QNS3" s="98"/>
      <c r="QNT3" s="98"/>
      <c r="QNU3" s="98"/>
      <c r="QNV3" s="98"/>
      <c r="QNW3" s="98"/>
      <c r="QNX3" s="98"/>
      <c r="QNY3" s="98"/>
      <c r="QNZ3" s="98"/>
      <c r="QOA3" s="98"/>
      <c r="QOB3" s="98"/>
      <c r="QOC3" s="98"/>
      <c r="QOD3" s="98"/>
      <c r="QOE3" s="98"/>
      <c r="QOF3" s="98"/>
      <c r="QOG3" s="98"/>
      <c r="QOH3" s="98"/>
      <c r="QOI3" s="98"/>
      <c r="QOJ3" s="98"/>
      <c r="QOK3" s="98"/>
      <c r="QOL3" s="98"/>
      <c r="QOM3" s="98"/>
      <c r="QON3" s="98"/>
      <c r="QOO3" s="98"/>
      <c r="QOP3" s="98"/>
      <c r="QOQ3" s="98"/>
      <c r="QOR3" s="98"/>
      <c r="QOS3" s="98"/>
      <c r="QOT3" s="98"/>
      <c r="QOU3" s="98"/>
      <c r="QOV3" s="98"/>
      <c r="QOW3" s="98"/>
      <c r="QOX3" s="98"/>
      <c r="QOY3" s="98"/>
      <c r="QOZ3" s="98"/>
      <c r="QPA3" s="98"/>
      <c r="QPB3" s="98"/>
      <c r="QPC3" s="98"/>
      <c r="QPD3" s="98"/>
      <c r="QPE3" s="98"/>
      <c r="QPF3" s="98"/>
      <c r="QPG3" s="98"/>
      <c r="QPH3" s="98"/>
      <c r="QPI3" s="98"/>
      <c r="QPJ3" s="98"/>
      <c r="QPK3" s="98"/>
      <c r="QPL3" s="98"/>
      <c r="QPM3" s="98"/>
      <c r="QPN3" s="98"/>
      <c r="QPO3" s="98"/>
      <c r="QPP3" s="98"/>
      <c r="QPQ3" s="98"/>
      <c r="QPR3" s="98"/>
      <c r="QPS3" s="98"/>
      <c r="QPT3" s="98"/>
      <c r="QPU3" s="98"/>
      <c r="QPV3" s="98"/>
      <c r="QPW3" s="98"/>
      <c r="QPX3" s="98"/>
      <c r="QPY3" s="98"/>
      <c r="QPZ3" s="98"/>
      <c r="QQA3" s="98"/>
      <c r="QQB3" s="98"/>
      <c r="QQC3" s="98"/>
      <c r="QQD3" s="98"/>
      <c r="QQE3" s="98"/>
      <c r="QQF3" s="98"/>
      <c r="QQG3" s="98"/>
      <c r="QQH3" s="98"/>
      <c r="QQI3" s="98"/>
      <c r="QQJ3" s="98"/>
      <c r="QQK3" s="98"/>
      <c r="QQL3" s="98"/>
      <c r="QQM3" s="98"/>
      <c r="QQN3" s="98"/>
      <c r="QQO3" s="98"/>
      <c r="QQP3" s="98"/>
      <c r="QQQ3" s="98"/>
      <c r="QQR3" s="98"/>
      <c r="QQS3" s="98"/>
      <c r="QQT3" s="98"/>
      <c r="QQU3" s="98"/>
      <c r="QQV3" s="98"/>
      <c r="QQW3" s="98"/>
      <c r="QQX3" s="98"/>
      <c r="QQY3" s="98"/>
      <c r="QQZ3" s="98"/>
      <c r="QRA3" s="98"/>
      <c r="QRB3" s="98"/>
      <c r="QRC3" s="98"/>
      <c r="QRD3" s="98"/>
      <c r="QRE3" s="98"/>
      <c r="QRF3" s="98"/>
      <c r="QRG3" s="98"/>
      <c r="QRH3" s="98"/>
      <c r="QRI3" s="98"/>
      <c r="QRJ3" s="98"/>
      <c r="QRK3" s="98"/>
      <c r="QRL3" s="98"/>
      <c r="QRM3" s="98"/>
      <c r="QRN3" s="98"/>
      <c r="QRO3" s="98"/>
      <c r="QRP3" s="98"/>
      <c r="QRQ3" s="98"/>
      <c r="QRR3" s="98"/>
      <c r="QRS3" s="98"/>
      <c r="QRT3" s="98"/>
      <c r="QRU3" s="98"/>
      <c r="QRV3" s="98"/>
      <c r="QRW3" s="98"/>
      <c r="QRX3" s="98"/>
      <c r="QRY3" s="98"/>
      <c r="QRZ3" s="98"/>
      <c r="QSA3" s="98"/>
      <c r="QSB3" s="98"/>
      <c r="QSC3" s="98"/>
      <c r="QSD3" s="98"/>
      <c r="QSE3" s="98"/>
      <c r="QSF3" s="98"/>
      <c r="QSG3" s="98"/>
      <c r="QSH3" s="98"/>
      <c r="QSI3" s="98"/>
      <c r="QSJ3" s="98"/>
      <c r="QSK3" s="98"/>
      <c r="QSL3" s="98"/>
      <c r="QSM3" s="98"/>
      <c r="QSN3" s="98"/>
      <c r="QSO3" s="98"/>
      <c r="QSP3" s="98"/>
      <c r="QSQ3" s="98"/>
      <c r="QSR3" s="98"/>
      <c r="QSS3" s="98"/>
      <c r="QST3" s="98"/>
      <c r="QSU3" s="98"/>
      <c r="QSV3" s="98"/>
      <c r="QSW3" s="98"/>
      <c r="QSX3" s="98"/>
      <c r="QSY3" s="98"/>
      <c r="QSZ3" s="98"/>
      <c r="QTA3" s="98"/>
      <c r="QTB3" s="98"/>
      <c r="QTC3" s="98"/>
      <c r="QTD3" s="98"/>
      <c r="QTE3" s="98"/>
      <c r="QTF3" s="98"/>
      <c r="QTG3" s="98"/>
      <c r="QTH3" s="98"/>
      <c r="QTI3" s="98"/>
      <c r="QTJ3" s="98"/>
      <c r="QTK3" s="98"/>
      <c r="QTL3" s="98"/>
      <c r="QTM3" s="98"/>
      <c r="QTN3" s="98"/>
      <c r="QTO3" s="98"/>
      <c r="QTP3" s="98"/>
      <c r="QTQ3" s="98"/>
      <c r="QTR3" s="98"/>
      <c r="QTS3" s="98"/>
      <c r="QTT3" s="98"/>
      <c r="QTU3" s="98"/>
      <c r="QTV3" s="98"/>
      <c r="QTW3" s="98"/>
      <c r="QTX3" s="98"/>
      <c r="QTY3" s="98"/>
      <c r="QTZ3" s="98"/>
      <c r="QUA3" s="98"/>
      <c r="QUB3" s="98"/>
      <c r="QUC3" s="98"/>
      <c r="QUD3" s="98"/>
      <c r="QUE3" s="98"/>
      <c r="QUF3" s="98"/>
      <c r="QUG3" s="98"/>
      <c r="QUH3" s="98"/>
      <c r="QUI3" s="98"/>
      <c r="QUJ3" s="98"/>
      <c r="QUK3" s="98"/>
      <c r="QUL3" s="98"/>
      <c r="QUM3" s="98"/>
      <c r="QUN3" s="98"/>
      <c r="QUO3" s="98"/>
      <c r="QUP3" s="98"/>
      <c r="QUQ3" s="98"/>
      <c r="QUR3" s="98"/>
      <c r="QUS3" s="98"/>
      <c r="QUT3" s="98"/>
      <c r="QUU3" s="98"/>
      <c r="QUV3" s="98"/>
      <c r="QUW3" s="98"/>
      <c r="QUX3" s="98"/>
      <c r="QUY3" s="98"/>
      <c r="QUZ3" s="98"/>
      <c r="QVA3" s="98"/>
      <c r="QVB3" s="98"/>
      <c r="QVC3" s="98"/>
      <c r="QVD3" s="98"/>
      <c r="QVE3" s="98"/>
      <c r="QVF3" s="98"/>
      <c r="QVG3" s="98"/>
      <c r="QVH3" s="98"/>
      <c r="QVI3" s="98"/>
      <c r="QVJ3" s="98"/>
      <c r="QVK3" s="98"/>
      <c r="QVL3" s="98"/>
      <c r="QVM3" s="98"/>
      <c r="QVN3" s="98"/>
      <c r="QVO3" s="98"/>
      <c r="QVP3" s="98"/>
      <c r="QVQ3" s="98"/>
      <c r="QVR3" s="98"/>
      <c r="QVS3" s="98"/>
      <c r="QVT3" s="98"/>
      <c r="QVU3" s="98"/>
      <c r="QVV3" s="98"/>
      <c r="QVW3" s="98"/>
      <c r="QVX3" s="98"/>
      <c r="QVY3" s="98"/>
      <c r="QVZ3" s="98"/>
      <c r="QWA3" s="98"/>
      <c r="QWB3" s="98"/>
      <c r="QWC3" s="98"/>
      <c r="QWD3" s="98"/>
      <c r="QWE3" s="98"/>
      <c r="QWF3" s="98"/>
      <c r="QWG3" s="98"/>
      <c r="QWH3" s="98"/>
      <c r="QWI3" s="98"/>
      <c r="QWJ3" s="98"/>
      <c r="QWK3" s="98"/>
      <c r="QWL3" s="98"/>
      <c r="QWM3" s="98"/>
      <c r="QWN3" s="98"/>
      <c r="QWO3" s="98"/>
      <c r="QWP3" s="98"/>
      <c r="QWQ3" s="98"/>
      <c r="QWR3" s="98"/>
      <c r="QWS3" s="98"/>
      <c r="QWT3" s="98"/>
      <c r="QWU3" s="98"/>
      <c r="QWV3" s="98"/>
      <c r="QWW3" s="98"/>
      <c r="QWX3" s="98"/>
      <c r="QWY3" s="98"/>
      <c r="QWZ3" s="98"/>
      <c r="QXA3" s="98"/>
      <c r="QXB3" s="98"/>
      <c r="QXC3" s="98"/>
      <c r="QXD3" s="98"/>
      <c r="QXE3" s="98"/>
      <c r="QXF3" s="98"/>
      <c r="QXG3" s="98"/>
      <c r="QXH3" s="98"/>
      <c r="QXI3" s="98"/>
      <c r="QXJ3" s="98"/>
      <c r="QXK3" s="98"/>
      <c r="QXL3" s="98"/>
      <c r="QXM3" s="98"/>
      <c r="QXN3" s="98"/>
      <c r="QXO3" s="98"/>
      <c r="QXP3" s="98"/>
      <c r="QXQ3" s="98"/>
      <c r="QXR3" s="98"/>
      <c r="QXS3" s="98"/>
      <c r="QXT3" s="98"/>
      <c r="QXU3" s="98"/>
      <c r="QXV3" s="98"/>
      <c r="QXW3" s="98"/>
      <c r="QXX3" s="98"/>
      <c r="QXY3" s="98"/>
      <c r="QXZ3" s="98"/>
      <c r="QYA3" s="98"/>
      <c r="QYB3" s="98"/>
      <c r="QYC3" s="98"/>
      <c r="QYD3" s="98"/>
      <c r="QYE3" s="98"/>
      <c r="QYF3" s="98"/>
      <c r="QYG3" s="98"/>
      <c r="QYH3" s="98"/>
      <c r="QYI3" s="98"/>
      <c r="QYJ3" s="98"/>
      <c r="QYK3" s="98"/>
      <c r="QYL3" s="98"/>
      <c r="QYM3" s="98"/>
      <c r="QYN3" s="98"/>
      <c r="QYO3" s="98"/>
      <c r="QYP3" s="98"/>
      <c r="QYQ3" s="98"/>
      <c r="QYR3" s="98"/>
      <c r="QYS3" s="98"/>
      <c r="QYT3" s="98"/>
      <c r="QYU3" s="98"/>
      <c r="QYV3" s="98"/>
      <c r="QYW3" s="98"/>
      <c r="QYX3" s="98"/>
      <c r="QYY3" s="98"/>
      <c r="QYZ3" s="98"/>
      <c r="QZA3" s="98"/>
      <c r="QZB3" s="98"/>
      <c r="QZC3" s="98"/>
      <c r="QZD3" s="98"/>
      <c r="QZE3" s="98"/>
      <c r="QZF3" s="98"/>
      <c r="QZG3" s="98"/>
      <c r="QZH3" s="98"/>
      <c r="QZI3" s="98"/>
      <c r="QZJ3" s="98"/>
      <c r="QZK3" s="98"/>
      <c r="QZL3" s="98"/>
      <c r="QZM3" s="98"/>
      <c r="QZN3" s="98"/>
      <c r="QZO3" s="98"/>
      <c r="QZP3" s="98"/>
      <c r="QZQ3" s="98"/>
      <c r="QZR3" s="98"/>
      <c r="QZS3" s="98"/>
      <c r="QZT3" s="98"/>
      <c r="QZU3" s="98"/>
      <c r="QZV3" s="98"/>
      <c r="QZW3" s="98"/>
      <c r="QZX3" s="98"/>
      <c r="QZY3" s="98"/>
      <c r="QZZ3" s="98"/>
      <c r="RAA3" s="98"/>
      <c r="RAB3" s="98"/>
      <c r="RAC3" s="98"/>
      <c r="RAD3" s="98"/>
      <c r="RAE3" s="98"/>
      <c r="RAF3" s="98"/>
      <c r="RAG3" s="98"/>
      <c r="RAH3" s="98"/>
      <c r="RAI3" s="98"/>
      <c r="RAJ3" s="98"/>
      <c r="RAK3" s="98"/>
      <c r="RAL3" s="98"/>
      <c r="RAM3" s="98"/>
      <c r="RAN3" s="98"/>
      <c r="RAO3" s="98"/>
      <c r="RAP3" s="98"/>
      <c r="RAQ3" s="98"/>
      <c r="RAR3" s="98"/>
      <c r="RAS3" s="98"/>
      <c r="RAT3" s="98"/>
      <c r="RAU3" s="98"/>
      <c r="RAV3" s="98"/>
      <c r="RAW3" s="98"/>
      <c r="RAX3" s="98"/>
      <c r="RAY3" s="98"/>
      <c r="RAZ3" s="98"/>
      <c r="RBA3" s="98"/>
      <c r="RBB3" s="98"/>
      <c r="RBC3" s="98"/>
      <c r="RBD3" s="98"/>
      <c r="RBE3" s="98"/>
      <c r="RBF3" s="98"/>
      <c r="RBG3" s="98"/>
      <c r="RBH3" s="98"/>
      <c r="RBI3" s="98"/>
      <c r="RBJ3" s="98"/>
      <c r="RBK3" s="98"/>
      <c r="RBL3" s="98"/>
      <c r="RBM3" s="98"/>
      <c r="RBN3" s="98"/>
      <c r="RBO3" s="98"/>
      <c r="RBP3" s="98"/>
      <c r="RBQ3" s="98"/>
      <c r="RBR3" s="98"/>
      <c r="RBS3" s="98"/>
      <c r="RBT3" s="98"/>
      <c r="RBU3" s="98"/>
      <c r="RBV3" s="98"/>
      <c r="RBW3" s="98"/>
      <c r="RBX3" s="98"/>
      <c r="RBY3" s="98"/>
      <c r="RBZ3" s="98"/>
      <c r="RCA3" s="98"/>
      <c r="RCB3" s="98"/>
      <c r="RCC3" s="98"/>
      <c r="RCD3" s="98"/>
      <c r="RCE3" s="98"/>
      <c r="RCF3" s="98"/>
      <c r="RCG3" s="98"/>
      <c r="RCH3" s="98"/>
      <c r="RCI3" s="98"/>
      <c r="RCJ3" s="98"/>
      <c r="RCK3" s="98"/>
      <c r="RCL3" s="98"/>
      <c r="RCM3" s="98"/>
      <c r="RCN3" s="98"/>
      <c r="RCO3" s="98"/>
      <c r="RCP3" s="98"/>
      <c r="RCQ3" s="98"/>
      <c r="RCR3" s="98"/>
      <c r="RCS3" s="98"/>
      <c r="RCT3" s="98"/>
      <c r="RCU3" s="98"/>
      <c r="RCV3" s="98"/>
      <c r="RCW3" s="98"/>
      <c r="RCX3" s="98"/>
      <c r="RCY3" s="98"/>
      <c r="RCZ3" s="98"/>
      <c r="RDA3" s="98"/>
      <c r="RDB3" s="98"/>
      <c r="RDC3" s="98"/>
      <c r="RDD3" s="98"/>
      <c r="RDE3" s="98"/>
      <c r="RDF3" s="98"/>
      <c r="RDG3" s="98"/>
      <c r="RDH3" s="98"/>
      <c r="RDI3" s="98"/>
      <c r="RDJ3" s="98"/>
      <c r="RDK3" s="98"/>
      <c r="RDL3" s="98"/>
      <c r="RDM3" s="98"/>
      <c r="RDN3" s="98"/>
      <c r="RDO3" s="98"/>
      <c r="RDP3" s="98"/>
      <c r="RDQ3" s="98"/>
      <c r="RDR3" s="98"/>
      <c r="RDS3" s="98"/>
      <c r="RDT3" s="98"/>
      <c r="RDU3" s="98"/>
      <c r="RDV3" s="98"/>
      <c r="RDW3" s="98"/>
      <c r="RDX3" s="98"/>
      <c r="RDY3" s="98"/>
      <c r="RDZ3" s="98"/>
      <c r="REA3" s="98"/>
      <c r="REB3" s="98"/>
      <c r="REC3" s="98"/>
      <c r="RED3" s="98"/>
      <c r="REE3" s="98"/>
      <c r="REF3" s="98"/>
      <c r="REG3" s="98"/>
      <c r="REH3" s="98"/>
      <c r="REI3" s="98"/>
      <c r="REJ3" s="98"/>
      <c r="REK3" s="98"/>
      <c r="REL3" s="98"/>
      <c r="REM3" s="98"/>
      <c r="REN3" s="98"/>
      <c r="REO3" s="98"/>
      <c r="REP3" s="98"/>
      <c r="REQ3" s="98"/>
      <c r="RER3" s="98"/>
      <c r="RES3" s="98"/>
      <c r="RET3" s="98"/>
      <c r="REU3" s="98"/>
      <c r="REV3" s="98"/>
      <c r="REW3" s="98"/>
      <c r="REX3" s="98"/>
      <c r="REY3" s="98"/>
      <c r="REZ3" s="98"/>
      <c r="RFA3" s="98"/>
      <c r="RFB3" s="98"/>
      <c r="RFC3" s="98"/>
      <c r="RFD3" s="98"/>
      <c r="RFE3" s="98"/>
      <c r="RFF3" s="98"/>
      <c r="RFG3" s="98"/>
      <c r="RFH3" s="98"/>
      <c r="RFI3" s="98"/>
      <c r="RFJ3" s="98"/>
      <c r="RFK3" s="98"/>
      <c r="RFL3" s="98"/>
      <c r="RFM3" s="98"/>
      <c r="RFN3" s="98"/>
      <c r="RFO3" s="98"/>
      <c r="RFP3" s="98"/>
      <c r="RFQ3" s="98"/>
      <c r="RFR3" s="98"/>
      <c r="RFS3" s="98"/>
      <c r="RFT3" s="98"/>
      <c r="RFU3" s="98"/>
      <c r="RFV3" s="98"/>
      <c r="RFW3" s="98"/>
      <c r="RFX3" s="98"/>
      <c r="RFY3" s="98"/>
      <c r="RFZ3" s="98"/>
      <c r="RGA3" s="98"/>
      <c r="RGB3" s="98"/>
      <c r="RGC3" s="98"/>
      <c r="RGD3" s="98"/>
      <c r="RGE3" s="98"/>
      <c r="RGF3" s="98"/>
      <c r="RGG3" s="98"/>
      <c r="RGH3" s="98"/>
      <c r="RGI3" s="98"/>
      <c r="RGJ3" s="98"/>
      <c r="RGK3" s="98"/>
      <c r="RGL3" s="98"/>
      <c r="RGM3" s="98"/>
      <c r="RGN3" s="98"/>
      <c r="RGO3" s="98"/>
      <c r="RGP3" s="98"/>
      <c r="RGQ3" s="98"/>
      <c r="RGR3" s="98"/>
      <c r="RGS3" s="98"/>
      <c r="RGT3" s="98"/>
      <c r="RGU3" s="98"/>
      <c r="RGV3" s="98"/>
      <c r="RGW3" s="98"/>
      <c r="RGX3" s="98"/>
      <c r="RGY3" s="98"/>
      <c r="RGZ3" s="98"/>
      <c r="RHA3" s="98"/>
      <c r="RHB3" s="98"/>
      <c r="RHC3" s="98"/>
      <c r="RHD3" s="98"/>
      <c r="RHE3" s="98"/>
      <c r="RHF3" s="98"/>
      <c r="RHG3" s="98"/>
      <c r="RHH3" s="98"/>
      <c r="RHI3" s="98"/>
      <c r="RHJ3" s="98"/>
      <c r="RHK3" s="98"/>
      <c r="RHL3" s="98"/>
      <c r="RHM3" s="98"/>
      <c r="RHN3" s="98"/>
      <c r="RHO3" s="98"/>
      <c r="RHP3" s="98"/>
      <c r="RHQ3" s="98"/>
      <c r="RHR3" s="98"/>
      <c r="RHS3" s="98"/>
      <c r="RHT3" s="98"/>
      <c r="RHU3" s="98"/>
      <c r="RHV3" s="98"/>
      <c r="RHW3" s="98"/>
      <c r="RHX3" s="98"/>
      <c r="RHY3" s="98"/>
      <c r="RHZ3" s="98"/>
      <c r="RIA3" s="98"/>
      <c r="RIB3" s="98"/>
      <c r="RIC3" s="98"/>
      <c r="RID3" s="98"/>
      <c r="RIE3" s="98"/>
      <c r="RIF3" s="98"/>
      <c r="RIG3" s="98"/>
      <c r="RIH3" s="98"/>
      <c r="RII3" s="98"/>
      <c r="RIJ3" s="98"/>
      <c r="RIK3" s="98"/>
      <c r="RIL3" s="98"/>
      <c r="RIM3" s="98"/>
      <c r="RIN3" s="98"/>
      <c r="RIO3" s="98"/>
      <c r="RIP3" s="98"/>
      <c r="RIQ3" s="98"/>
      <c r="RIR3" s="98"/>
      <c r="RIS3" s="98"/>
      <c r="RIT3" s="98"/>
      <c r="RIU3" s="98"/>
      <c r="RIV3" s="98"/>
      <c r="RIW3" s="98"/>
      <c r="RIX3" s="98"/>
      <c r="RIY3" s="98"/>
      <c r="RIZ3" s="98"/>
      <c r="RJA3" s="98"/>
      <c r="RJB3" s="98"/>
      <c r="RJC3" s="98"/>
      <c r="RJD3" s="98"/>
      <c r="RJE3" s="98"/>
      <c r="RJF3" s="98"/>
      <c r="RJG3" s="98"/>
      <c r="RJH3" s="98"/>
      <c r="RJI3" s="98"/>
      <c r="RJJ3" s="98"/>
      <c r="RJK3" s="98"/>
      <c r="RJL3" s="98"/>
      <c r="RJM3" s="98"/>
      <c r="RJN3" s="98"/>
      <c r="RJO3" s="98"/>
      <c r="RJP3" s="98"/>
      <c r="RJQ3" s="98"/>
      <c r="RJR3" s="98"/>
      <c r="RJS3" s="98"/>
      <c r="RJT3" s="98"/>
      <c r="RJU3" s="98"/>
      <c r="RJV3" s="98"/>
      <c r="RJW3" s="98"/>
      <c r="RJX3" s="98"/>
      <c r="RJY3" s="98"/>
      <c r="RJZ3" s="98"/>
      <c r="RKA3" s="98"/>
      <c r="RKB3" s="98"/>
      <c r="RKC3" s="98"/>
      <c r="RKD3" s="98"/>
      <c r="RKE3" s="98"/>
      <c r="RKF3" s="98"/>
      <c r="RKG3" s="98"/>
      <c r="RKH3" s="98"/>
      <c r="RKI3" s="98"/>
      <c r="RKJ3" s="98"/>
      <c r="RKK3" s="98"/>
      <c r="RKL3" s="98"/>
      <c r="RKM3" s="98"/>
      <c r="RKN3" s="98"/>
      <c r="RKO3" s="98"/>
      <c r="RKP3" s="98"/>
      <c r="RKQ3" s="98"/>
      <c r="RKR3" s="98"/>
      <c r="RKS3" s="98"/>
      <c r="RKT3" s="98"/>
      <c r="RKU3" s="98"/>
      <c r="RKV3" s="98"/>
      <c r="RKW3" s="98"/>
      <c r="RKX3" s="98"/>
      <c r="RKY3" s="98"/>
      <c r="RKZ3" s="98"/>
      <c r="RLA3" s="98"/>
      <c r="RLB3" s="98"/>
      <c r="RLC3" s="98"/>
      <c r="RLD3" s="98"/>
      <c r="RLE3" s="98"/>
      <c r="RLF3" s="98"/>
      <c r="RLG3" s="98"/>
      <c r="RLH3" s="98"/>
      <c r="RLI3" s="98"/>
      <c r="RLJ3" s="98"/>
      <c r="RLK3" s="98"/>
      <c r="RLL3" s="98"/>
      <c r="RLM3" s="98"/>
      <c r="RLN3" s="98"/>
      <c r="RLO3" s="98"/>
      <c r="RLP3" s="98"/>
      <c r="RLQ3" s="98"/>
      <c r="RLR3" s="98"/>
      <c r="RLS3" s="98"/>
      <c r="RLT3" s="98"/>
      <c r="RLU3" s="98"/>
      <c r="RLV3" s="98"/>
      <c r="RLW3" s="98"/>
      <c r="RLX3" s="98"/>
      <c r="RLY3" s="98"/>
      <c r="RLZ3" s="98"/>
      <c r="RMA3" s="98"/>
      <c r="RMB3" s="98"/>
      <c r="RMC3" s="98"/>
      <c r="RMD3" s="98"/>
      <c r="RME3" s="98"/>
      <c r="RMF3" s="98"/>
      <c r="RMG3" s="98"/>
      <c r="RMH3" s="98"/>
      <c r="RMI3" s="98"/>
      <c r="RMJ3" s="98"/>
      <c r="RMK3" s="98"/>
      <c r="RML3" s="98"/>
      <c r="RMM3" s="98"/>
      <c r="RMN3" s="98"/>
      <c r="RMO3" s="98"/>
      <c r="RMP3" s="98"/>
      <c r="RMQ3" s="98"/>
      <c r="RMR3" s="98"/>
      <c r="RMS3" s="98"/>
      <c r="RMT3" s="98"/>
      <c r="RMU3" s="98"/>
      <c r="RMV3" s="98"/>
      <c r="RMW3" s="98"/>
      <c r="RMX3" s="98"/>
      <c r="RMY3" s="98"/>
      <c r="RMZ3" s="98"/>
      <c r="RNA3" s="98"/>
      <c r="RNB3" s="98"/>
      <c r="RNC3" s="98"/>
      <c r="RND3" s="98"/>
      <c r="RNE3" s="98"/>
      <c r="RNF3" s="98"/>
      <c r="RNG3" s="98"/>
      <c r="RNH3" s="98"/>
      <c r="RNI3" s="98"/>
      <c r="RNJ3" s="98"/>
      <c r="RNK3" s="98"/>
      <c r="RNL3" s="98"/>
      <c r="RNM3" s="98"/>
      <c r="RNN3" s="98"/>
      <c r="RNO3" s="98"/>
      <c r="RNP3" s="98"/>
      <c r="RNQ3" s="98"/>
      <c r="RNR3" s="98"/>
      <c r="RNS3" s="98"/>
      <c r="RNT3" s="98"/>
      <c r="RNU3" s="98"/>
      <c r="RNV3" s="98"/>
      <c r="RNW3" s="98"/>
      <c r="RNX3" s="98"/>
      <c r="RNY3" s="98"/>
      <c r="RNZ3" s="98"/>
      <c r="ROA3" s="98"/>
      <c r="ROB3" s="98"/>
      <c r="ROC3" s="98"/>
      <c r="ROD3" s="98"/>
      <c r="ROE3" s="98"/>
      <c r="ROF3" s="98"/>
      <c r="ROG3" s="98"/>
      <c r="ROH3" s="98"/>
      <c r="ROI3" s="98"/>
      <c r="ROJ3" s="98"/>
      <c r="ROK3" s="98"/>
      <c r="ROL3" s="98"/>
      <c r="ROM3" s="98"/>
      <c r="RON3" s="98"/>
      <c r="ROO3" s="98"/>
      <c r="ROP3" s="98"/>
      <c r="ROQ3" s="98"/>
      <c r="ROR3" s="98"/>
      <c r="ROS3" s="98"/>
      <c r="ROT3" s="98"/>
      <c r="ROU3" s="98"/>
      <c r="ROV3" s="98"/>
      <c r="ROW3" s="98"/>
      <c r="ROX3" s="98"/>
      <c r="ROY3" s="98"/>
      <c r="ROZ3" s="98"/>
      <c r="RPA3" s="98"/>
      <c r="RPB3" s="98"/>
      <c r="RPC3" s="98"/>
      <c r="RPD3" s="98"/>
      <c r="RPE3" s="98"/>
      <c r="RPF3" s="98"/>
      <c r="RPG3" s="98"/>
      <c r="RPH3" s="98"/>
      <c r="RPI3" s="98"/>
      <c r="RPJ3" s="98"/>
      <c r="RPK3" s="98"/>
      <c r="RPL3" s="98"/>
      <c r="RPM3" s="98"/>
      <c r="RPN3" s="98"/>
      <c r="RPO3" s="98"/>
      <c r="RPP3" s="98"/>
      <c r="RPQ3" s="98"/>
      <c r="RPR3" s="98"/>
      <c r="RPS3" s="98"/>
      <c r="RPT3" s="98"/>
      <c r="RPU3" s="98"/>
      <c r="RPV3" s="98"/>
      <c r="RPW3" s="98"/>
      <c r="RPX3" s="98"/>
      <c r="RPY3" s="98"/>
      <c r="RPZ3" s="98"/>
      <c r="RQA3" s="98"/>
      <c r="RQB3" s="98"/>
      <c r="RQC3" s="98"/>
      <c r="RQD3" s="98"/>
      <c r="RQE3" s="98"/>
      <c r="RQF3" s="98"/>
      <c r="RQG3" s="98"/>
      <c r="RQH3" s="98"/>
      <c r="RQI3" s="98"/>
      <c r="RQJ3" s="98"/>
      <c r="RQK3" s="98"/>
      <c r="RQL3" s="98"/>
      <c r="RQM3" s="98"/>
      <c r="RQN3" s="98"/>
      <c r="RQO3" s="98"/>
      <c r="RQP3" s="98"/>
      <c r="RQQ3" s="98"/>
      <c r="RQR3" s="98"/>
      <c r="RQS3" s="98"/>
      <c r="RQT3" s="98"/>
      <c r="RQU3" s="98"/>
      <c r="RQV3" s="98"/>
      <c r="RQW3" s="98"/>
      <c r="RQX3" s="98"/>
      <c r="RQY3" s="98"/>
      <c r="RQZ3" s="98"/>
      <c r="RRA3" s="98"/>
      <c r="RRB3" s="98"/>
      <c r="RRC3" s="98"/>
      <c r="RRD3" s="98"/>
      <c r="RRE3" s="98"/>
      <c r="RRF3" s="98"/>
      <c r="RRG3" s="98"/>
      <c r="RRH3" s="98"/>
      <c r="RRI3" s="98"/>
      <c r="RRJ3" s="98"/>
      <c r="RRK3" s="98"/>
      <c r="RRL3" s="98"/>
      <c r="RRM3" s="98"/>
      <c r="RRN3" s="98"/>
      <c r="RRO3" s="98"/>
      <c r="RRP3" s="98"/>
      <c r="RRQ3" s="98"/>
      <c r="RRR3" s="98"/>
      <c r="RRS3" s="98"/>
      <c r="RRT3" s="98"/>
      <c r="RRU3" s="98"/>
      <c r="RRV3" s="98"/>
      <c r="RRW3" s="98"/>
      <c r="RRX3" s="98"/>
      <c r="RRY3" s="98"/>
      <c r="RRZ3" s="98"/>
      <c r="RSA3" s="98"/>
      <c r="RSB3" s="98"/>
      <c r="RSC3" s="98"/>
      <c r="RSD3" s="98"/>
      <c r="RSE3" s="98"/>
      <c r="RSF3" s="98"/>
      <c r="RSG3" s="98"/>
      <c r="RSH3" s="98"/>
      <c r="RSI3" s="98"/>
      <c r="RSJ3" s="98"/>
      <c r="RSK3" s="98"/>
      <c r="RSL3" s="98"/>
      <c r="RSM3" s="98"/>
      <c r="RSN3" s="98"/>
      <c r="RSO3" s="98"/>
      <c r="RSP3" s="98"/>
      <c r="RSQ3" s="98"/>
      <c r="RSR3" s="98"/>
      <c r="RSS3" s="98"/>
      <c r="RST3" s="98"/>
      <c r="RSU3" s="98"/>
      <c r="RSV3" s="98"/>
      <c r="RSW3" s="98"/>
      <c r="RSX3" s="98"/>
      <c r="RSY3" s="98"/>
      <c r="RSZ3" s="98"/>
      <c r="RTA3" s="98"/>
      <c r="RTB3" s="98"/>
      <c r="RTC3" s="98"/>
      <c r="RTD3" s="98"/>
      <c r="RTE3" s="98"/>
      <c r="RTF3" s="98"/>
      <c r="RTG3" s="98"/>
      <c r="RTH3" s="98"/>
      <c r="RTI3" s="98"/>
      <c r="RTJ3" s="98"/>
      <c r="RTK3" s="98"/>
      <c r="RTL3" s="98"/>
      <c r="RTM3" s="98"/>
      <c r="RTN3" s="98"/>
      <c r="RTO3" s="98"/>
      <c r="RTP3" s="98"/>
      <c r="RTQ3" s="98"/>
      <c r="RTR3" s="98"/>
      <c r="RTS3" s="98"/>
      <c r="RTT3" s="98"/>
      <c r="RTU3" s="98"/>
      <c r="RTV3" s="98"/>
      <c r="RTW3" s="98"/>
      <c r="RTX3" s="98"/>
      <c r="RTY3" s="98"/>
      <c r="RTZ3" s="98"/>
      <c r="RUA3" s="98"/>
      <c r="RUB3" s="98"/>
      <c r="RUC3" s="98"/>
      <c r="RUD3" s="98"/>
      <c r="RUE3" s="98"/>
      <c r="RUF3" s="98"/>
      <c r="RUG3" s="98"/>
      <c r="RUH3" s="98"/>
      <c r="RUI3" s="98"/>
      <c r="RUJ3" s="98"/>
      <c r="RUK3" s="98"/>
      <c r="RUL3" s="98"/>
      <c r="RUM3" s="98"/>
      <c r="RUN3" s="98"/>
      <c r="RUO3" s="98"/>
      <c r="RUP3" s="98"/>
      <c r="RUQ3" s="98"/>
      <c r="RUR3" s="98"/>
      <c r="RUS3" s="98"/>
      <c r="RUT3" s="98"/>
      <c r="RUU3" s="98"/>
      <c r="RUV3" s="98"/>
      <c r="RUW3" s="98"/>
      <c r="RUX3" s="98"/>
      <c r="RUY3" s="98"/>
      <c r="RUZ3" s="98"/>
      <c r="RVA3" s="98"/>
      <c r="RVB3" s="98"/>
      <c r="RVC3" s="98"/>
      <c r="RVD3" s="98"/>
      <c r="RVE3" s="98"/>
      <c r="RVF3" s="98"/>
      <c r="RVG3" s="98"/>
      <c r="RVH3" s="98"/>
      <c r="RVI3" s="98"/>
      <c r="RVJ3" s="98"/>
      <c r="RVK3" s="98"/>
      <c r="RVL3" s="98"/>
      <c r="RVM3" s="98"/>
      <c r="RVN3" s="98"/>
      <c r="RVO3" s="98"/>
      <c r="RVP3" s="98"/>
      <c r="RVQ3" s="98"/>
      <c r="RVR3" s="98"/>
      <c r="RVS3" s="98"/>
      <c r="RVT3" s="98"/>
      <c r="RVU3" s="98"/>
      <c r="RVV3" s="98"/>
      <c r="RVW3" s="98"/>
      <c r="RVX3" s="98"/>
      <c r="RVY3" s="98"/>
      <c r="RVZ3" s="98"/>
      <c r="RWA3" s="98"/>
      <c r="RWB3" s="98"/>
      <c r="RWC3" s="98"/>
      <c r="RWD3" s="98"/>
      <c r="RWE3" s="98"/>
      <c r="RWF3" s="98"/>
      <c r="RWG3" s="98"/>
      <c r="RWH3" s="98"/>
      <c r="RWI3" s="98"/>
      <c r="RWJ3" s="98"/>
      <c r="RWK3" s="98"/>
      <c r="RWL3" s="98"/>
      <c r="RWM3" s="98"/>
      <c r="RWN3" s="98"/>
      <c r="RWO3" s="98"/>
      <c r="RWP3" s="98"/>
      <c r="RWQ3" s="98"/>
      <c r="RWR3" s="98"/>
      <c r="RWS3" s="98"/>
      <c r="RWT3" s="98"/>
      <c r="RWU3" s="98"/>
      <c r="RWV3" s="98"/>
      <c r="RWW3" s="98"/>
      <c r="RWX3" s="98"/>
      <c r="RWY3" s="98"/>
      <c r="RWZ3" s="98"/>
      <c r="RXA3" s="98"/>
      <c r="RXB3" s="98"/>
      <c r="RXC3" s="98"/>
      <c r="RXD3" s="98"/>
      <c r="RXE3" s="98"/>
      <c r="RXF3" s="98"/>
      <c r="RXG3" s="98"/>
      <c r="RXH3" s="98"/>
      <c r="RXI3" s="98"/>
      <c r="RXJ3" s="98"/>
      <c r="RXK3" s="98"/>
      <c r="RXL3" s="98"/>
      <c r="RXM3" s="98"/>
      <c r="RXN3" s="98"/>
      <c r="RXO3" s="98"/>
      <c r="RXP3" s="98"/>
      <c r="RXQ3" s="98"/>
      <c r="RXR3" s="98"/>
      <c r="RXS3" s="98"/>
      <c r="RXT3" s="98"/>
      <c r="RXU3" s="98"/>
      <c r="RXV3" s="98"/>
      <c r="RXW3" s="98"/>
      <c r="RXX3" s="98"/>
      <c r="RXY3" s="98"/>
      <c r="RXZ3" s="98"/>
      <c r="RYA3" s="98"/>
      <c r="RYB3" s="98"/>
      <c r="RYC3" s="98"/>
      <c r="RYD3" s="98"/>
      <c r="RYE3" s="98"/>
      <c r="RYF3" s="98"/>
      <c r="RYG3" s="98"/>
      <c r="RYH3" s="98"/>
      <c r="RYI3" s="98"/>
      <c r="RYJ3" s="98"/>
      <c r="RYK3" s="98"/>
      <c r="RYL3" s="98"/>
      <c r="RYM3" s="98"/>
      <c r="RYN3" s="98"/>
      <c r="RYO3" s="98"/>
      <c r="RYP3" s="98"/>
      <c r="RYQ3" s="98"/>
      <c r="RYR3" s="98"/>
      <c r="RYS3" s="98"/>
      <c r="RYT3" s="98"/>
      <c r="RYU3" s="98"/>
      <c r="RYV3" s="98"/>
      <c r="RYW3" s="98"/>
      <c r="RYX3" s="98"/>
      <c r="RYY3" s="98"/>
      <c r="RYZ3" s="98"/>
      <c r="RZA3" s="98"/>
      <c r="RZB3" s="98"/>
      <c r="RZC3" s="98"/>
      <c r="RZD3" s="98"/>
      <c r="RZE3" s="98"/>
      <c r="RZF3" s="98"/>
      <c r="RZG3" s="98"/>
      <c r="RZH3" s="98"/>
      <c r="RZI3" s="98"/>
      <c r="RZJ3" s="98"/>
      <c r="RZK3" s="98"/>
      <c r="RZL3" s="98"/>
      <c r="RZM3" s="98"/>
      <c r="RZN3" s="98"/>
      <c r="RZO3" s="98"/>
      <c r="RZP3" s="98"/>
      <c r="RZQ3" s="98"/>
      <c r="RZR3" s="98"/>
      <c r="RZS3" s="98"/>
      <c r="RZT3" s="98"/>
      <c r="RZU3" s="98"/>
      <c r="RZV3" s="98"/>
      <c r="RZW3" s="98"/>
      <c r="RZX3" s="98"/>
      <c r="RZY3" s="98"/>
      <c r="RZZ3" s="98"/>
      <c r="SAA3" s="98"/>
      <c r="SAB3" s="98"/>
      <c r="SAC3" s="98"/>
      <c r="SAD3" s="98"/>
      <c r="SAE3" s="98"/>
      <c r="SAF3" s="98"/>
      <c r="SAG3" s="98"/>
      <c r="SAH3" s="98"/>
      <c r="SAI3" s="98"/>
      <c r="SAJ3" s="98"/>
      <c r="SAK3" s="98"/>
      <c r="SAL3" s="98"/>
      <c r="SAM3" s="98"/>
      <c r="SAN3" s="98"/>
      <c r="SAO3" s="98"/>
      <c r="SAP3" s="98"/>
      <c r="SAQ3" s="98"/>
      <c r="SAR3" s="98"/>
      <c r="SAS3" s="98"/>
      <c r="SAT3" s="98"/>
      <c r="SAU3" s="98"/>
      <c r="SAV3" s="98"/>
      <c r="SAW3" s="98"/>
      <c r="SAX3" s="98"/>
      <c r="SAY3" s="98"/>
      <c r="SAZ3" s="98"/>
      <c r="SBA3" s="98"/>
      <c r="SBB3" s="98"/>
      <c r="SBC3" s="98"/>
      <c r="SBD3" s="98"/>
      <c r="SBE3" s="98"/>
      <c r="SBF3" s="98"/>
      <c r="SBG3" s="98"/>
      <c r="SBH3" s="98"/>
      <c r="SBI3" s="98"/>
      <c r="SBJ3" s="98"/>
      <c r="SBK3" s="98"/>
      <c r="SBL3" s="98"/>
      <c r="SBM3" s="98"/>
      <c r="SBN3" s="98"/>
      <c r="SBO3" s="98"/>
      <c r="SBP3" s="98"/>
      <c r="SBQ3" s="98"/>
      <c r="SBR3" s="98"/>
      <c r="SBS3" s="98"/>
      <c r="SBT3" s="98"/>
      <c r="SBU3" s="98"/>
      <c r="SBV3" s="98"/>
      <c r="SBW3" s="98"/>
      <c r="SBX3" s="98"/>
      <c r="SBY3" s="98"/>
      <c r="SBZ3" s="98"/>
      <c r="SCA3" s="98"/>
      <c r="SCB3" s="98"/>
      <c r="SCC3" s="98"/>
      <c r="SCD3" s="98"/>
      <c r="SCE3" s="98"/>
      <c r="SCF3" s="98"/>
      <c r="SCG3" s="98"/>
      <c r="SCH3" s="98"/>
      <c r="SCI3" s="98"/>
      <c r="SCJ3" s="98"/>
      <c r="SCK3" s="98"/>
      <c r="SCL3" s="98"/>
      <c r="SCM3" s="98"/>
      <c r="SCN3" s="98"/>
      <c r="SCO3" s="98"/>
      <c r="SCP3" s="98"/>
      <c r="SCQ3" s="98"/>
      <c r="SCR3" s="98"/>
      <c r="SCS3" s="98"/>
      <c r="SCT3" s="98"/>
      <c r="SCU3" s="98"/>
      <c r="SCV3" s="98"/>
      <c r="SCW3" s="98"/>
      <c r="SCX3" s="98"/>
      <c r="SCY3" s="98"/>
      <c r="SCZ3" s="98"/>
      <c r="SDA3" s="98"/>
      <c r="SDB3" s="98"/>
      <c r="SDC3" s="98"/>
      <c r="SDD3" s="98"/>
      <c r="SDE3" s="98"/>
      <c r="SDF3" s="98"/>
      <c r="SDG3" s="98"/>
      <c r="SDH3" s="98"/>
      <c r="SDI3" s="98"/>
      <c r="SDJ3" s="98"/>
      <c r="SDK3" s="98"/>
      <c r="SDL3" s="98"/>
      <c r="SDM3" s="98"/>
      <c r="SDN3" s="98"/>
      <c r="SDO3" s="98"/>
      <c r="SDP3" s="98"/>
      <c r="SDQ3" s="98"/>
      <c r="SDR3" s="98"/>
      <c r="SDS3" s="98"/>
      <c r="SDT3" s="98"/>
      <c r="SDU3" s="98"/>
      <c r="SDV3" s="98"/>
      <c r="SDW3" s="98"/>
      <c r="SDX3" s="98"/>
      <c r="SDY3" s="98"/>
      <c r="SDZ3" s="98"/>
      <c r="SEA3" s="98"/>
      <c r="SEB3" s="98"/>
      <c r="SEC3" s="98"/>
      <c r="SED3" s="98"/>
      <c r="SEE3" s="98"/>
      <c r="SEF3" s="98"/>
      <c r="SEG3" s="98"/>
      <c r="SEH3" s="98"/>
      <c r="SEI3" s="98"/>
      <c r="SEJ3" s="98"/>
      <c r="SEK3" s="98"/>
      <c r="SEL3" s="98"/>
      <c r="SEM3" s="98"/>
      <c r="SEN3" s="98"/>
      <c r="SEO3" s="98"/>
      <c r="SEP3" s="98"/>
      <c r="SEQ3" s="98"/>
      <c r="SER3" s="98"/>
      <c r="SES3" s="98"/>
      <c r="SET3" s="98"/>
      <c r="SEU3" s="98"/>
      <c r="SEV3" s="98"/>
      <c r="SEW3" s="98"/>
      <c r="SEX3" s="98"/>
      <c r="SEY3" s="98"/>
      <c r="SEZ3" s="98"/>
      <c r="SFA3" s="98"/>
      <c r="SFB3" s="98"/>
      <c r="SFC3" s="98"/>
      <c r="SFD3" s="98"/>
      <c r="SFE3" s="98"/>
      <c r="SFF3" s="98"/>
      <c r="SFG3" s="98"/>
      <c r="SFH3" s="98"/>
      <c r="SFI3" s="98"/>
      <c r="SFJ3" s="98"/>
      <c r="SFK3" s="98"/>
      <c r="SFL3" s="98"/>
      <c r="SFM3" s="98"/>
      <c r="SFN3" s="98"/>
      <c r="SFO3" s="98"/>
      <c r="SFP3" s="98"/>
      <c r="SFQ3" s="98"/>
      <c r="SFR3" s="98"/>
      <c r="SFS3" s="98"/>
      <c r="SFT3" s="98"/>
      <c r="SFU3" s="98"/>
      <c r="SFV3" s="98"/>
      <c r="SFW3" s="98"/>
      <c r="SFX3" s="98"/>
      <c r="SFY3" s="98"/>
      <c r="SFZ3" s="98"/>
      <c r="SGA3" s="98"/>
      <c r="SGB3" s="98"/>
      <c r="SGC3" s="98"/>
      <c r="SGD3" s="98"/>
      <c r="SGE3" s="98"/>
      <c r="SGF3" s="98"/>
      <c r="SGG3" s="98"/>
      <c r="SGH3" s="98"/>
      <c r="SGI3" s="98"/>
      <c r="SGJ3" s="98"/>
      <c r="SGK3" s="98"/>
      <c r="SGL3" s="98"/>
      <c r="SGM3" s="98"/>
      <c r="SGN3" s="98"/>
      <c r="SGO3" s="98"/>
      <c r="SGP3" s="98"/>
      <c r="SGQ3" s="98"/>
      <c r="SGR3" s="98"/>
      <c r="SGS3" s="98"/>
      <c r="SGT3" s="98"/>
      <c r="SGU3" s="98"/>
      <c r="SGV3" s="98"/>
      <c r="SGW3" s="98"/>
      <c r="SGX3" s="98"/>
      <c r="SGY3" s="98"/>
      <c r="SGZ3" s="98"/>
      <c r="SHA3" s="98"/>
      <c r="SHB3" s="98"/>
      <c r="SHC3" s="98"/>
      <c r="SHD3" s="98"/>
      <c r="SHE3" s="98"/>
      <c r="SHF3" s="98"/>
      <c r="SHG3" s="98"/>
      <c r="SHH3" s="98"/>
      <c r="SHI3" s="98"/>
      <c r="SHJ3" s="98"/>
      <c r="SHK3" s="98"/>
      <c r="SHL3" s="98"/>
      <c r="SHM3" s="98"/>
      <c r="SHN3" s="98"/>
      <c r="SHO3" s="98"/>
      <c r="SHP3" s="98"/>
      <c r="SHQ3" s="98"/>
      <c r="SHR3" s="98"/>
      <c r="SHS3" s="98"/>
      <c r="SHT3" s="98"/>
      <c r="SHU3" s="98"/>
      <c r="SHV3" s="98"/>
      <c r="SHW3" s="98"/>
      <c r="SHX3" s="98"/>
      <c r="SHY3" s="98"/>
      <c r="SHZ3" s="98"/>
      <c r="SIA3" s="98"/>
      <c r="SIB3" s="98"/>
      <c r="SIC3" s="98"/>
      <c r="SID3" s="98"/>
      <c r="SIE3" s="98"/>
      <c r="SIF3" s="98"/>
      <c r="SIG3" s="98"/>
      <c r="SIH3" s="98"/>
      <c r="SII3" s="98"/>
      <c r="SIJ3" s="98"/>
      <c r="SIK3" s="98"/>
      <c r="SIL3" s="98"/>
      <c r="SIM3" s="98"/>
      <c r="SIN3" s="98"/>
      <c r="SIO3" s="98"/>
      <c r="SIP3" s="98"/>
      <c r="SIQ3" s="98"/>
      <c r="SIR3" s="98"/>
      <c r="SIS3" s="98"/>
      <c r="SIT3" s="98"/>
      <c r="SIU3" s="98"/>
      <c r="SIV3" s="98"/>
      <c r="SIW3" s="98"/>
      <c r="SIX3" s="98"/>
      <c r="SIY3" s="98"/>
      <c r="SIZ3" s="98"/>
      <c r="SJA3" s="98"/>
      <c r="SJB3" s="98"/>
      <c r="SJC3" s="98"/>
      <c r="SJD3" s="98"/>
      <c r="SJE3" s="98"/>
      <c r="SJF3" s="98"/>
      <c r="SJG3" s="98"/>
      <c r="SJH3" s="98"/>
      <c r="SJI3" s="98"/>
      <c r="SJJ3" s="98"/>
      <c r="SJK3" s="98"/>
      <c r="SJL3" s="98"/>
      <c r="SJM3" s="98"/>
      <c r="SJN3" s="98"/>
      <c r="SJO3" s="98"/>
      <c r="SJP3" s="98"/>
      <c r="SJQ3" s="98"/>
      <c r="SJR3" s="98"/>
      <c r="SJS3" s="98"/>
      <c r="SJT3" s="98"/>
      <c r="SJU3" s="98"/>
      <c r="SJV3" s="98"/>
      <c r="SJW3" s="98"/>
      <c r="SJX3" s="98"/>
      <c r="SJY3" s="98"/>
      <c r="SJZ3" s="98"/>
      <c r="SKA3" s="98"/>
      <c r="SKB3" s="98"/>
      <c r="SKC3" s="98"/>
      <c r="SKD3" s="98"/>
      <c r="SKE3" s="98"/>
      <c r="SKF3" s="98"/>
      <c r="SKG3" s="98"/>
      <c r="SKH3" s="98"/>
      <c r="SKI3" s="98"/>
      <c r="SKJ3" s="98"/>
      <c r="SKK3" s="98"/>
      <c r="SKL3" s="98"/>
      <c r="SKM3" s="98"/>
      <c r="SKN3" s="98"/>
      <c r="SKO3" s="98"/>
      <c r="SKP3" s="98"/>
      <c r="SKQ3" s="98"/>
      <c r="SKR3" s="98"/>
      <c r="SKS3" s="98"/>
      <c r="SKT3" s="98"/>
      <c r="SKU3" s="98"/>
      <c r="SKV3" s="98"/>
      <c r="SKW3" s="98"/>
      <c r="SKX3" s="98"/>
      <c r="SKY3" s="98"/>
      <c r="SKZ3" s="98"/>
      <c r="SLA3" s="98"/>
      <c r="SLB3" s="98"/>
      <c r="SLC3" s="98"/>
      <c r="SLD3" s="98"/>
      <c r="SLE3" s="98"/>
      <c r="SLF3" s="98"/>
      <c r="SLG3" s="98"/>
      <c r="SLH3" s="98"/>
      <c r="SLI3" s="98"/>
      <c r="SLJ3" s="98"/>
      <c r="SLK3" s="98"/>
      <c r="SLL3" s="98"/>
      <c r="SLM3" s="98"/>
      <c r="SLN3" s="98"/>
      <c r="SLO3" s="98"/>
      <c r="SLP3" s="98"/>
      <c r="SLQ3" s="98"/>
      <c r="SLR3" s="98"/>
      <c r="SLS3" s="98"/>
      <c r="SLT3" s="98"/>
      <c r="SLU3" s="98"/>
      <c r="SLV3" s="98"/>
      <c r="SLW3" s="98"/>
      <c r="SLX3" s="98"/>
      <c r="SLY3" s="98"/>
      <c r="SLZ3" s="98"/>
      <c r="SMA3" s="98"/>
      <c r="SMB3" s="98"/>
      <c r="SMC3" s="98"/>
      <c r="SMD3" s="98"/>
      <c r="SME3" s="98"/>
      <c r="SMF3" s="98"/>
      <c r="SMG3" s="98"/>
      <c r="SMH3" s="98"/>
      <c r="SMI3" s="98"/>
      <c r="SMJ3" s="98"/>
      <c r="SMK3" s="98"/>
      <c r="SML3" s="98"/>
      <c r="SMM3" s="98"/>
      <c r="SMN3" s="98"/>
      <c r="SMO3" s="98"/>
      <c r="SMP3" s="98"/>
      <c r="SMQ3" s="98"/>
      <c r="SMR3" s="98"/>
      <c r="SMS3" s="98"/>
      <c r="SMT3" s="98"/>
      <c r="SMU3" s="98"/>
      <c r="SMV3" s="98"/>
      <c r="SMW3" s="98"/>
      <c r="SMX3" s="98"/>
      <c r="SMY3" s="98"/>
      <c r="SMZ3" s="98"/>
      <c r="SNA3" s="98"/>
      <c r="SNB3" s="98"/>
      <c r="SNC3" s="98"/>
      <c r="SND3" s="98"/>
      <c r="SNE3" s="98"/>
      <c r="SNF3" s="98"/>
      <c r="SNG3" s="98"/>
      <c r="SNH3" s="98"/>
      <c r="SNI3" s="98"/>
      <c r="SNJ3" s="98"/>
      <c r="SNK3" s="98"/>
      <c r="SNL3" s="98"/>
      <c r="SNM3" s="98"/>
      <c r="SNN3" s="98"/>
      <c r="SNO3" s="98"/>
      <c r="SNP3" s="98"/>
      <c r="SNQ3" s="98"/>
      <c r="SNR3" s="98"/>
      <c r="SNS3" s="98"/>
      <c r="SNT3" s="98"/>
      <c r="SNU3" s="98"/>
      <c r="SNV3" s="98"/>
      <c r="SNW3" s="98"/>
      <c r="SNX3" s="98"/>
      <c r="SNY3" s="98"/>
      <c r="SNZ3" s="98"/>
      <c r="SOA3" s="98"/>
      <c r="SOB3" s="98"/>
      <c r="SOC3" s="98"/>
      <c r="SOD3" s="98"/>
      <c r="SOE3" s="98"/>
      <c r="SOF3" s="98"/>
      <c r="SOG3" s="98"/>
      <c r="SOH3" s="98"/>
      <c r="SOI3" s="98"/>
      <c r="SOJ3" s="98"/>
      <c r="SOK3" s="98"/>
      <c r="SOL3" s="98"/>
      <c r="SOM3" s="98"/>
      <c r="SON3" s="98"/>
      <c r="SOO3" s="98"/>
      <c r="SOP3" s="98"/>
      <c r="SOQ3" s="98"/>
      <c r="SOR3" s="98"/>
      <c r="SOS3" s="98"/>
      <c r="SOT3" s="98"/>
      <c r="SOU3" s="98"/>
      <c r="SOV3" s="98"/>
      <c r="SOW3" s="98"/>
      <c r="SOX3" s="98"/>
      <c r="SOY3" s="98"/>
      <c r="SOZ3" s="98"/>
      <c r="SPA3" s="98"/>
      <c r="SPB3" s="98"/>
      <c r="SPC3" s="98"/>
      <c r="SPD3" s="98"/>
      <c r="SPE3" s="98"/>
      <c r="SPF3" s="98"/>
      <c r="SPG3" s="98"/>
      <c r="SPH3" s="98"/>
      <c r="SPI3" s="98"/>
      <c r="SPJ3" s="98"/>
      <c r="SPK3" s="98"/>
      <c r="SPL3" s="98"/>
      <c r="SPM3" s="98"/>
      <c r="SPN3" s="98"/>
      <c r="SPO3" s="98"/>
      <c r="SPP3" s="98"/>
      <c r="SPQ3" s="98"/>
      <c r="SPR3" s="98"/>
      <c r="SPS3" s="98"/>
      <c r="SPT3" s="98"/>
      <c r="SPU3" s="98"/>
      <c r="SPV3" s="98"/>
      <c r="SPW3" s="98"/>
      <c r="SPX3" s="98"/>
      <c r="SPY3" s="98"/>
      <c r="SPZ3" s="98"/>
      <c r="SQA3" s="98"/>
      <c r="SQB3" s="98"/>
      <c r="SQC3" s="98"/>
      <c r="SQD3" s="98"/>
      <c r="SQE3" s="98"/>
      <c r="SQF3" s="98"/>
      <c r="SQG3" s="98"/>
      <c r="SQH3" s="98"/>
      <c r="SQI3" s="98"/>
      <c r="SQJ3" s="98"/>
      <c r="SQK3" s="98"/>
      <c r="SQL3" s="98"/>
      <c r="SQM3" s="98"/>
      <c r="SQN3" s="98"/>
      <c r="SQO3" s="98"/>
      <c r="SQP3" s="98"/>
      <c r="SQQ3" s="98"/>
      <c r="SQR3" s="98"/>
      <c r="SQS3" s="98"/>
      <c r="SQT3" s="98"/>
      <c r="SQU3" s="98"/>
      <c r="SQV3" s="98"/>
      <c r="SQW3" s="98"/>
      <c r="SQX3" s="98"/>
      <c r="SQY3" s="98"/>
      <c r="SQZ3" s="98"/>
      <c r="SRA3" s="98"/>
      <c r="SRB3" s="98"/>
      <c r="SRC3" s="98"/>
      <c r="SRD3" s="98"/>
      <c r="SRE3" s="98"/>
      <c r="SRF3" s="98"/>
      <c r="SRG3" s="98"/>
      <c r="SRH3" s="98"/>
      <c r="SRI3" s="98"/>
      <c r="SRJ3" s="98"/>
      <c r="SRK3" s="98"/>
      <c r="SRL3" s="98"/>
      <c r="SRM3" s="98"/>
      <c r="SRN3" s="98"/>
      <c r="SRO3" s="98"/>
      <c r="SRP3" s="98"/>
      <c r="SRQ3" s="98"/>
      <c r="SRR3" s="98"/>
      <c r="SRS3" s="98"/>
      <c r="SRT3" s="98"/>
      <c r="SRU3" s="98"/>
      <c r="SRV3" s="98"/>
      <c r="SRW3" s="98"/>
      <c r="SRX3" s="98"/>
      <c r="SRY3" s="98"/>
      <c r="SRZ3" s="98"/>
      <c r="SSA3" s="98"/>
      <c r="SSB3" s="98"/>
      <c r="SSC3" s="98"/>
      <c r="SSD3" s="98"/>
      <c r="SSE3" s="98"/>
      <c r="SSF3" s="98"/>
      <c r="SSG3" s="98"/>
      <c r="SSH3" s="98"/>
      <c r="SSI3" s="98"/>
      <c r="SSJ3" s="98"/>
      <c r="SSK3" s="98"/>
      <c r="SSL3" s="98"/>
      <c r="SSM3" s="98"/>
      <c r="SSN3" s="98"/>
      <c r="SSO3" s="98"/>
      <c r="SSP3" s="98"/>
      <c r="SSQ3" s="98"/>
      <c r="SSR3" s="98"/>
      <c r="SSS3" s="98"/>
      <c r="SST3" s="98"/>
      <c r="SSU3" s="98"/>
      <c r="SSV3" s="98"/>
      <c r="SSW3" s="98"/>
      <c r="SSX3" s="98"/>
      <c r="SSY3" s="98"/>
      <c r="SSZ3" s="98"/>
      <c r="STA3" s="98"/>
      <c r="STB3" s="98"/>
      <c r="STC3" s="98"/>
      <c r="STD3" s="98"/>
      <c r="STE3" s="98"/>
      <c r="STF3" s="98"/>
      <c r="STG3" s="98"/>
      <c r="STH3" s="98"/>
      <c r="STI3" s="98"/>
      <c r="STJ3" s="98"/>
      <c r="STK3" s="98"/>
      <c r="STL3" s="98"/>
      <c r="STM3" s="98"/>
      <c r="STN3" s="98"/>
      <c r="STO3" s="98"/>
      <c r="STP3" s="98"/>
      <c r="STQ3" s="98"/>
      <c r="STR3" s="98"/>
      <c r="STS3" s="98"/>
      <c r="STT3" s="98"/>
      <c r="STU3" s="98"/>
      <c r="STV3" s="98"/>
      <c r="STW3" s="98"/>
      <c r="STX3" s="98"/>
      <c r="STY3" s="98"/>
      <c r="STZ3" s="98"/>
      <c r="SUA3" s="98"/>
      <c r="SUB3" s="98"/>
      <c r="SUC3" s="98"/>
      <c r="SUD3" s="98"/>
      <c r="SUE3" s="98"/>
      <c r="SUF3" s="98"/>
      <c r="SUG3" s="98"/>
      <c r="SUH3" s="98"/>
      <c r="SUI3" s="98"/>
      <c r="SUJ3" s="98"/>
      <c r="SUK3" s="98"/>
      <c r="SUL3" s="98"/>
      <c r="SUM3" s="98"/>
      <c r="SUN3" s="98"/>
      <c r="SUO3" s="98"/>
      <c r="SUP3" s="98"/>
      <c r="SUQ3" s="98"/>
      <c r="SUR3" s="98"/>
      <c r="SUS3" s="98"/>
      <c r="SUT3" s="98"/>
      <c r="SUU3" s="98"/>
      <c r="SUV3" s="98"/>
      <c r="SUW3" s="98"/>
      <c r="SUX3" s="98"/>
      <c r="SUY3" s="98"/>
      <c r="SUZ3" s="98"/>
      <c r="SVA3" s="98"/>
      <c r="SVB3" s="98"/>
      <c r="SVC3" s="98"/>
      <c r="SVD3" s="98"/>
      <c r="SVE3" s="98"/>
      <c r="SVF3" s="98"/>
      <c r="SVG3" s="98"/>
      <c r="SVH3" s="98"/>
      <c r="SVI3" s="98"/>
      <c r="SVJ3" s="98"/>
      <c r="SVK3" s="98"/>
      <c r="SVL3" s="98"/>
      <c r="SVM3" s="98"/>
      <c r="SVN3" s="98"/>
      <c r="SVO3" s="98"/>
      <c r="SVP3" s="98"/>
      <c r="SVQ3" s="98"/>
      <c r="SVR3" s="98"/>
      <c r="SVS3" s="98"/>
      <c r="SVT3" s="98"/>
      <c r="SVU3" s="98"/>
      <c r="SVV3" s="98"/>
      <c r="SVW3" s="98"/>
      <c r="SVX3" s="98"/>
      <c r="SVY3" s="98"/>
      <c r="SVZ3" s="98"/>
      <c r="SWA3" s="98"/>
      <c r="SWB3" s="98"/>
      <c r="SWC3" s="98"/>
      <c r="SWD3" s="98"/>
      <c r="SWE3" s="98"/>
      <c r="SWF3" s="98"/>
      <c r="SWG3" s="98"/>
      <c r="SWH3" s="98"/>
      <c r="SWI3" s="98"/>
      <c r="SWJ3" s="98"/>
      <c r="SWK3" s="98"/>
      <c r="SWL3" s="98"/>
      <c r="SWM3" s="98"/>
      <c r="SWN3" s="98"/>
      <c r="SWO3" s="98"/>
      <c r="SWP3" s="98"/>
      <c r="SWQ3" s="98"/>
      <c r="SWR3" s="98"/>
      <c r="SWS3" s="98"/>
      <c r="SWT3" s="98"/>
      <c r="SWU3" s="98"/>
      <c r="SWV3" s="98"/>
      <c r="SWW3" s="98"/>
      <c r="SWX3" s="98"/>
      <c r="SWY3" s="98"/>
      <c r="SWZ3" s="98"/>
      <c r="SXA3" s="98"/>
      <c r="SXB3" s="98"/>
      <c r="SXC3" s="98"/>
      <c r="SXD3" s="98"/>
      <c r="SXE3" s="98"/>
      <c r="SXF3" s="98"/>
      <c r="SXG3" s="98"/>
      <c r="SXH3" s="98"/>
      <c r="SXI3" s="98"/>
      <c r="SXJ3" s="98"/>
      <c r="SXK3" s="98"/>
      <c r="SXL3" s="98"/>
      <c r="SXM3" s="98"/>
      <c r="SXN3" s="98"/>
      <c r="SXO3" s="98"/>
      <c r="SXP3" s="98"/>
      <c r="SXQ3" s="98"/>
      <c r="SXR3" s="98"/>
      <c r="SXS3" s="98"/>
      <c r="SXT3" s="98"/>
      <c r="SXU3" s="98"/>
      <c r="SXV3" s="98"/>
      <c r="SXW3" s="98"/>
      <c r="SXX3" s="98"/>
      <c r="SXY3" s="98"/>
      <c r="SXZ3" s="98"/>
      <c r="SYA3" s="98"/>
      <c r="SYB3" s="98"/>
      <c r="SYC3" s="98"/>
      <c r="SYD3" s="98"/>
      <c r="SYE3" s="98"/>
      <c r="SYF3" s="98"/>
      <c r="SYG3" s="98"/>
      <c r="SYH3" s="98"/>
      <c r="SYI3" s="98"/>
      <c r="SYJ3" s="98"/>
      <c r="SYK3" s="98"/>
      <c r="SYL3" s="98"/>
      <c r="SYM3" s="98"/>
      <c r="SYN3" s="98"/>
      <c r="SYO3" s="98"/>
      <c r="SYP3" s="98"/>
      <c r="SYQ3" s="98"/>
      <c r="SYR3" s="98"/>
      <c r="SYS3" s="98"/>
      <c r="SYT3" s="98"/>
      <c r="SYU3" s="98"/>
      <c r="SYV3" s="98"/>
      <c r="SYW3" s="98"/>
      <c r="SYX3" s="98"/>
      <c r="SYY3" s="98"/>
      <c r="SYZ3" s="98"/>
      <c r="SZA3" s="98"/>
      <c r="SZB3" s="98"/>
      <c r="SZC3" s="98"/>
      <c r="SZD3" s="98"/>
      <c r="SZE3" s="98"/>
      <c r="SZF3" s="98"/>
      <c r="SZG3" s="98"/>
      <c r="SZH3" s="98"/>
      <c r="SZI3" s="98"/>
      <c r="SZJ3" s="98"/>
      <c r="SZK3" s="98"/>
      <c r="SZL3" s="98"/>
      <c r="SZM3" s="98"/>
      <c r="SZN3" s="98"/>
      <c r="SZO3" s="98"/>
      <c r="SZP3" s="98"/>
      <c r="SZQ3" s="98"/>
      <c r="SZR3" s="98"/>
      <c r="SZS3" s="98"/>
      <c r="SZT3" s="98"/>
      <c r="SZU3" s="98"/>
      <c r="SZV3" s="98"/>
      <c r="SZW3" s="98"/>
      <c r="SZX3" s="98"/>
      <c r="SZY3" s="98"/>
      <c r="SZZ3" s="98"/>
      <c r="TAA3" s="98"/>
      <c r="TAB3" s="98"/>
      <c r="TAC3" s="98"/>
      <c r="TAD3" s="98"/>
      <c r="TAE3" s="98"/>
      <c r="TAF3" s="98"/>
      <c r="TAG3" s="98"/>
      <c r="TAH3" s="98"/>
      <c r="TAI3" s="98"/>
      <c r="TAJ3" s="98"/>
      <c r="TAK3" s="98"/>
      <c r="TAL3" s="98"/>
      <c r="TAM3" s="98"/>
      <c r="TAN3" s="98"/>
      <c r="TAO3" s="98"/>
      <c r="TAP3" s="98"/>
      <c r="TAQ3" s="98"/>
      <c r="TAR3" s="98"/>
      <c r="TAS3" s="98"/>
      <c r="TAT3" s="98"/>
      <c r="TAU3" s="98"/>
      <c r="TAV3" s="98"/>
      <c r="TAW3" s="98"/>
      <c r="TAX3" s="98"/>
      <c r="TAY3" s="98"/>
      <c r="TAZ3" s="98"/>
      <c r="TBA3" s="98"/>
      <c r="TBB3" s="98"/>
      <c r="TBC3" s="98"/>
      <c r="TBD3" s="98"/>
      <c r="TBE3" s="98"/>
      <c r="TBF3" s="98"/>
      <c r="TBG3" s="98"/>
      <c r="TBH3" s="98"/>
      <c r="TBI3" s="98"/>
      <c r="TBJ3" s="98"/>
      <c r="TBK3" s="98"/>
      <c r="TBL3" s="98"/>
      <c r="TBM3" s="98"/>
      <c r="TBN3" s="98"/>
      <c r="TBO3" s="98"/>
      <c r="TBP3" s="98"/>
      <c r="TBQ3" s="98"/>
      <c r="TBR3" s="98"/>
      <c r="TBS3" s="98"/>
      <c r="TBT3" s="98"/>
      <c r="TBU3" s="98"/>
      <c r="TBV3" s="98"/>
      <c r="TBW3" s="98"/>
      <c r="TBX3" s="98"/>
      <c r="TBY3" s="98"/>
      <c r="TBZ3" s="98"/>
      <c r="TCA3" s="98"/>
      <c r="TCB3" s="98"/>
      <c r="TCC3" s="98"/>
      <c r="TCD3" s="98"/>
      <c r="TCE3" s="98"/>
      <c r="TCF3" s="98"/>
      <c r="TCG3" s="98"/>
      <c r="TCH3" s="98"/>
      <c r="TCI3" s="98"/>
      <c r="TCJ3" s="98"/>
      <c r="TCK3" s="98"/>
      <c r="TCL3" s="98"/>
      <c r="TCM3" s="98"/>
      <c r="TCN3" s="98"/>
      <c r="TCO3" s="98"/>
      <c r="TCP3" s="98"/>
      <c r="TCQ3" s="98"/>
      <c r="TCR3" s="98"/>
      <c r="TCS3" s="98"/>
      <c r="TCT3" s="98"/>
      <c r="TCU3" s="98"/>
      <c r="TCV3" s="98"/>
      <c r="TCW3" s="98"/>
      <c r="TCX3" s="98"/>
      <c r="TCY3" s="98"/>
      <c r="TCZ3" s="98"/>
      <c r="TDA3" s="98"/>
      <c r="TDB3" s="98"/>
      <c r="TDC3" s="98"/>
      <c r="TDD3" s="98"/>
      <c r="TDE3" s="98"/>
      <c r="TDF3" s="98"/>
      <c r="TDG3" s="98"/>
      <c r="TDH3" s="98"/>
      <c r="TDI3" s="98"/>
      <c r="TDJ3" s="98"/>
      <c r="TDK3" s="98"/>
      <c r="TDL3" s="98"/>
      <c r="TDM3" s="98"/>
      <c r="TDN3" s="98"/>
      <c r="TDO3" s="98"/>
      <c r="TDP3" s="98"/>
      <c r="TDQ3" s="98"/>
      <c r="TDR3" s="98"/>
      <c r="TDS3" s="98"/>
      <c r="TDT3" s="98"/>
      <c r="TDU3" s="98"/>
      <c r="TDV3" s="98"/>
      <c r="TDW3" s="98"/>
      <c r="TDX3" s="98"/>
      <c r="TDY3" s="98"/>
      <c r="TDZ3" s="98"/>
      <c r="TEA3" s="98"/>
      <c r="TEB3" s="98"/>
      <c r="TEC3" s="98"/>
      <c r="TED3" s="98"/>
      <c r="TEE3" s="98"/>
      <c r="TEF3" s="98"/>
      <c r="TEG3" s="98"/>
      <c r="TEH3" s="98"/>
      <c r="TEI3" s="98"/>
      <c r="TEJ3" s="98"/>
      <c r="TEK3" s="98"/>
      <c r="TEL3" s="98"/>
      <c r="TEM3" s="98"/>
      <c r="TEN3" s="98"/>
      <c r="TEO3" s="98"/>
      <c r="TEP3" s="98"/>
      <c r="TEQ3" s="98"/>
      <c r="TER3" s="98"/>
      <c r="TES3" s="98"/>
      <c r="TET3" s="98"/>
      <c r="TEU3" s="98"/>
      <c r="TEV3" s="98"/>
      <c r="TEW3" s="98"/>
      <c r="TEX3" s="98"/>
      <c r="TEY3" s="98"/>
      <c r="TEZ3" s="98"/>
      <c r="TFA3" s="98"/>
      <c r="TFB3" s="98"/>
      <c r="TFC3" s="98"/>
      <c r="TFD3" s="98"/>
      <c r="TFE3" s="98"/>
      <c r="TFF3" s="98"/>
      <c r="TFG3" s="98"/>
      <c r="TFH3" s="98"/>
      <c r="TFI3" s="98"/>
      <c r="TFJ3" s="98"/>
      <c r="TFK3" s="98"/>
      <c r="TFL3" s="98"/>
      <c r="TFM3" s="98"/>
      <c r="TFN3" s="98"/>
      <c r="TFO3" s="98"/>
      <c r="TFP3" s="98"/>
      <c r="TFQ3" s="98"/>
      <c r="TFR3" s="98"/>
      <c r="TFS3" s="98"/>
      <c r="TFT3" s="98"/>
      <c r="TFU3" s="98"/>
      <c r="TFV3" s="98"/>
      <c r="TFW3" s="98"/>
      <c r="TFX3" s="98"/>
      <c r="TFY3" s="98"/>
      <c r="TFZ3" s="98"/>
      <c r="TGA3" s="98"/>
      <c r="TGB3" s="98"/>
      <c r="TGC3" s="98"/>
      <c r="TGD3" s="98"/>
      <c r="TGE3" s="98"/>
      <c r="TGF3" s="98"/>
      <c r="TGG3" s="98"/>
      <c r="TGH3" s="98"/>
      <c r="TGI3" s="98"/>
      <c r="TGJ3" s="98"/>
      <c r="TGK3" s="98"/>
      <c r="TGL3" s="98"/>
      <c r="TGM3" s="98"/>
      <c r="TGN3" s="98"/>
      <c r="TGO3" s="98"/>
      <c r="TGP3" s="98"/>
      <c r="TGQ3" s="98"/>
      <c r="TGR3" s="98"/>
      <c r="TGS3" s="98"/>
      <c r="TGT3" s="98"/>
      <c r="TGU3" s="98"/>
      <c r="TGV3" s="98"/>
      <c r="TGW3" s="98"/>
      <c r="TGX3" s="98"/>
      <c r="TGY3" s="98"/>
      <c r="TGZ3" s="98"/>
      <c r="THA3" s="98"/>
      <c r="THB3" s="98"/>
      <c r="THC3" s="98"/>
      <c r="THD3" s="98"/>
      <c r="THE3" s="98"/>
      <c r="THF3" s="98"/>
      <c r="THG3" s="98"/>
      <c r="THH3" s="98"/>
      <c r="THI3" s="98"/>
      <c r="THJ3" s="98"/>
      <c r="THK3" s="98"/>
      <c r="THL3" s="98"/>
      <c r="THM3" s="98"/>
      <c r="THN3" s="98"/>
      <c r="THO3" s="98"/>
      <c r="THP3" s="98"/>
      <c r="THQ3" s="98"/>
      <c r="THR3" s="98"/>
      <c r="THS3" s="98"/>
      <c r="THT3" s="98"/>
      <c r="THU3" s="98"/>
      <c r="THV3" s="98"/>
      <c r="THW3" s="98"/>
      <c r="THX3" s="98"/>
      <c r="THY3" s="98"/>
      <c r="THZ3" s="98"/>
      <c r="TIA3" s="98"/>
      <c r="TIB3" s="98"/>
      <c r="TIC3" s="98"/>
      <c r="TID3" s="98"/>
      <c r="TIE3" s="98"/>
      <c r="TIF3" s="98"/>
      <c r="TIG3" s="98"/>
      <c r="TIH3" s="98"/>
      <c r="TII3" s="98"/>
      <c r="TIJ3" s="98"/>
      <c r="TIK3" s="98"/>
      <c r="TIL3" s="98"/>
      <c r="TIM3" s="98"/>
      <c r="TIN3" s="98"/>
      <c r="TIO3" s="98"/>
      <c r="TIP3" s="98"/>
      <c r="TIQ3" s="98"/>
      <c r="TIR3" s="98"/>
      <c r="TIS3" s="98"/>
      <c r="TIT3" s="98"/>
      <c r="TIU3" s="98"/>
      <c r="TIV3" s="98"/>
      <c r="TIW3" s="98"/>
      <c r="TIX3" s="98"/>
      <c r="TIY3" s="98"/>
      <c r="TIZ3" s="98"/>
      <c r="TJA3" s="98"/>
      <c r="TJB3" s="98"/>
      <c r="TJC3" s="98"/>
      <c r="TJD3" s="98"/>
      <c r="TJE3" s="98"/>
      <c r="TJF3" s="98"/>
      <c r="TJG3" s="98"/>
      <c r="TJH3" s="98"/>
      <c r="TJI3" s="98"/>
      <c r="TJJ3" s="98"/>
      <c r="TJK3" s="98"/>
      <c r="TJL3" s="98"/>
      <c r="TJM3" s="98"/>
      <c r="TJN3" s="98"/>
      <c r="TJO3" s="98"/>
      <c r="TJP3" s="98"/>
      <c r="TJQ3" s="98"/>
      <c r="TJR3" s="98"/>
      <c r="TJS3" s="98"/>
      <c r="TJT3" s="98"/>
      <c r="TJU3" s="98"/>
      <c r="TJV3" s="98"/>
      <c r="TJW3" s="98"/>
      <c r="TJX3" s="98"/>
      <c r="TJY3" s="98"/>
      <c r="TJZ3" s="98"/>
      <c r="TKA3" s="98"/>
      <c r="TKB3" s="98"/>
      <c r="TKC3" s="98"/>
      <c r="TKD3" s="98"/>
      <c r="TKE3" s="98"/>
      <c r="TKF3" s="98"/>
      <c r="TKG3" s="98"/>
      <c r="TKH3" s="98"/>
      <c r="TKI3" s="98"/>
      <c r="TKJ3" s="98"/>
      <c r="TKK3" s="98"/>
      <c r="TKL3" s="98"/>
      <c r="TKM3" s="98"/>
      <c r="TKN3" s="98"/>
      <c r="TKO3" s="98"/>
      <c r="TKP3" s="98"/>
      <c r="TKQ3" s="98"/>
      <c r="TKR3" s="98"/>
      <c r="TKS3" s="98"/>
      <c r="TKT3" s="98"/>
      <c r="TKU3" s="98"/>
      <c r="TKV3" s="98"/>
      <c r="TKW3" s="98"/>
      <c r="TKX3" s="98"/>
      <c r="TKY3" s="98"/>
      <c r="TKZ3" s="98"/>
      <c r="TLA3" s="98"/>
      <c r="TLB3" s="98"/>
      <c r="TLC3" s="98"/>
      <c r="TLD3" s="98"/>
      <c r="TLE3" s="98"/>
      <c r="TLF3" s="98"/>
      <c r="TLG3" s="98"/>
      <c r="TLH3" s="98"/>
      <c r="TLI3" s="98"/>
      <c r="TLJ3" s="98"/>
      <c r="TLK3" s="98"/>
      <c r="TLL3" s="98"/>
      <c r="TLM3" s="98"/>
      <c r="TLN3" s="98"/>
      <c r="TLO3" s="98"/>
      <c r="TLP3" s="98"/>
      <c r="TLQ3" s="98"/>
      <c r="TLR3" s="98"/>
      <c r="TLS3" s="98"/>
      <c r="TLT3" s="98"/>
      <c r="TLU3" s="98"/>
      <c r="TLV3" s="98"/>
      <c r="TLW3" s="98"/>
      <c r="TLX3" s="98"/>
      <c r="TLY3" s="98"/>
      <c r="TLZ3" s="98"/>
      <c r="TMA3" s="98"/>
      <c r="TMB3" s="98"/>
      <c r="TMC3" s="98"/>
      <c r="TMD3" s="98"/>
      <c r="TME3" s="98"/>
      <c r="TMF3" s="98"/>
      <c r="TMG3" s="98"/>
      <c r="TMH3" s="98"/>
      <c r="TMI3" s="98"/>
      <c r="TMJ3" s="98"/>
      <c r="TMK3" s="98"/>
      <c r="TML3" s="98"/>
      <c r="TMM3" s="98"/>
      <c r="TMN3" s="98"/>
      <c r="TMO3" s="98"/>
      <c r="TMP3" s="98"/>
      <c r="TMQ3" s="98"/>
      <c r="TMR3" s="98"/>
      <c r="TMS3" s="98"/>
      <c r="TMT3" s="98"/>
      <c r="TMU3" s="98"/>
      <c r="TMV3" s="98"/>
      <c r="TMW3" s="98"/>
      <c r="TMX3" s="98"/>
      <c r="TMY3" s="98"/>
      <c r="TMZ3" s="98"/>
      <c r="TNA3" s="98"/>
      <c r="TNB3" s="98"/>
      <c r="TNC3" s="98"/>
      <c r="TND3" s="98"/>
      <c r="TNE3" s="98"/>
      <c r="TNF3" s="98"/>
      <c r="TNG3" s="98"/>
      <c r="TNH3" s="98"/>
      <c r="TNI3" s="98"/>
      <c r="TNJ3" s="98"/>
      <c r="TNK3" s="98"/>
      <c r="TNL3" s="98"/>
      <c r="TNM3" s="98"/>
      <c r="TNN3" s="98"/>
      <c r="TNO3" s="98"/>
      <c r="TNP3" s="98"/>
      <c r="TNQ3" s="98"/>
      <c r="TNR3" s="98"/>
      <c r="TNS3" s="98"/>
      <c r="TNT3" s="98"/>
      <c r="TNU3" s="98"/>
      <c r="TNV3" s="98"/>
      <c r="TNW3" s="98"/>
      <c r="TNX3" s="98"/>
      <c r="TNY3" s="98"/>
      <c r="TNZ3" s="98"/>
      <c r="TOA3" s="98"/>
      <c r="TOB3" s="98"/>
      <c r="TOC3" s="98"/>
      <c r="TOD3" s="98"/>
      <c r="TOE3" s="98"/>
      <c r="TOF3" s="98"/>
      <c r="TOG3" s="98"/>
      <c r="TOH3" s="98"/>
      <c r="TOI3" s="98"/>
      <c r="TOJ3" s="98"/>
      <c r="TOK3" s="98"/>
      <c r="TOL3" s="98"/>
      <c r="TOM3" s="98"/>
      <c r="TON3" s="98"/>
      <c r="TOO3" s="98"/>
      <c r="TOP3" s="98"/>
      <c r="TOQ3" s="98"/>
      <c r="TOR3" s="98"/>
      <c r="TOS3" s="98"/>
      <c r="TOT3" s="98"/>
      <c r="TOU3" s="98"/>
      <c r="TOV3" s="98"/>
      <c r="TOW3" s="98"/>
      <c r="TOX3" s="98"/>
      <c r="TOY3" s="98"/>
      <c r="TOZ3" s="98"/>
      <c r="TPA3" s="98"/>
      <c r="TPB3" s="98"/>
      <c r="TPC3" s="98"/>
      <c r="TPD3" s="98"/>
      <c r="TPE3" s="98"/>
      <c r="TPF3" s="98"/>
      <c r="TPG3" s="98"/>
      <c r="TPH3" s="98"/>
      <c r="TPI3" s="98"/>
      <c r="TPJ3" s="98"/>
      <c r="TPK3" s="98"/>
      <c r="TPL3" s="98"/>
      <c r="TPM3" s="98"/>
      <c r="TPN3" s="98"/>
      <c r="TPO3" s="98"/>
      <c r="TPP3" s="98"/>
      <c r="TPQ3" s="98"/>
      <c r="TPR3" s="98"/>
      <c r="TPS3" s="98"/>
      <c r="TPT3" s="98"/>
      <c r="TPU3" s="98"/>
      <c r="TPV3" s="98"/>
      <c r="TPW3" s="98"/>
      <c r="TPX3" s="98"/>
      <c r="TPY3" s="98"/>
      <c r="TPZ3" s="98"/>
      <c r="TQA3" s="98"/>
      <c r="TQB3" s="98"/>
      <c r="TQC3" s="98"/>
      <c r="TQD3" s="98"/>
      <c r="TQE3" s="98"/>
      <c r="TQF3" s="98"/>
      <c r="TQG3" s="98"/>
      <c r="TQH3" s="98"/>
      <c r="TQI3" s="98"/>
      <c r="TQJ3" s="98"/>
      <c r="TQK3" s="98"/>
      <c r="TQL3" s="98"/>
      <c r="TQM3" s="98"/>
      <c r="TQN3" s="98"/>
      <c r="TQO3" s="98"/>
      <c r="TQP3" s="98"/>
      <c r="TQQ3" s="98"/>
      <c r="TQR3" s="98"/>
      <c r="TQS3" s="98"/>
      <c r="TQT3" s="98"/>
      <c r="TQU3" s="98"/>
      <c r="TQV3" s="98"/>
      <c r="TQW3" s="98"/>
      <c r="TQX3" s="98"/>
      <c r="TQY3" s="98"/>
      <c r="TQZ3" s="98"/>
      <c r="TRA3" s="98"/>
      <c r="TRB3" s="98"/>
      <c r="TRC3" s="98"/>
      <c r="TRD3" s="98"/>
      <c r="TRE3" s="98"/>
      <c r="TRF3" s="98"/>
      <c r="TRG3" s="98"/>
      <c r="TRH3" s="98"/>
      <c r="TRI3" s="98"/>
      <c r="TRJ3" s="98"/>
      <c r="TRK3" s="98"/>
      <c r="TRL3" s="98"/>
      <c r="TRM3" s="98"/>
      <c r="TRN3" s="98"/>
      <c r="TRO3" s="98"/>
      <c r="TRP3" s="98"/>
      <c r="TRQ3" s="98"/>
      <c r="TRR3" s="98"/>
      <c r="TRS3" s="98"/>
      <c r="TRT3" s="98"/>
      <c r="TRU3" s="98"/>
      <c r="TRV3" s="98"/>
      <c r="TRW3" s="98"/>
      <c r="TRX3" s="98"/>
      <c r="TRY3" s="98"/>
      <c r="TRZ3" s="98"/>
      <c r="TSA3" s="98"/>
      <c r="TSB3" s="98"/>
      <c r="TSC3" s="98"/>
      <c r="TSD3" s="98"/>
      <c r="TSE3" s="98"/>
      <c r="TSF3" s="98"/>
      <c r="TSG3" s="98"/>
      <c r="TSH3" s="98"/>
      <c r="TSI3" s="98"/>
      <c r="TSJ3" s="98"/>
      <c r="TSK3" s="98"/>
      <c r="TSL3" s="98"/>
      <c r="TSM3" s="98"/>
      <c r="TSN3" s="98"/>
      <c r="TSO3" s="98"/>
      <c r="TSP3" s="98"/>
      <c r="TSQ3" s="98"/>
      <c r="TSR3" s="98"/>
      <c r="TSS3" s="98"/>
      <c r="TST3" s="98"/>
      <c r="TSU3" s="98"/>
      <c r="TSV3" s="98"/>
      <c r="TSW3" s="98"/>
      <c r="TSX3" s="98"/>
      <c r="TSY3" s="98"/>
      <c r="TSZ3" s="98"/>
      <c r="TTA3" s="98"/>
      <c r="TTB3" s="98"/>
      <c r="TTC3" s="98"/>
      <c r="TTD3" s="98"/>
      <c r="TTE3" s="98"/>
      <c r="TTF3" s="98"/>
      <c r="TTG3" s="98"/>
      <c r="TTH3" s="98"/>
      <c r="TTI3" s="98"/>
      <c r="TTJ3" s="98"/>
      <c r="TTK3" s="98"/>
      <c r="TTL3" s="98"/>
      <c r="TTM3" s="98"/>
      <c r="TTN3" s="98"/>
      <c r="TTO3" s="98"/>
      <c r="TTP3" s="98"/>
      <c r="TTQ3" s="98"/>
      <c r="TTR3" s="98"/>
      <c r="TTS3" s="98"/>
      <c r="TTT3" s="98"/>
      <c r="TTU3" s="98"/>
      <c r="TTV3" s="98"/>
      <c r="TTW3" s="98"/>
      <c r="TTX3" s="98"/>
      <c r="TTY3" s="98"/>
      <c r="TTZ3" s="98"/>
      <c r="TUA3" s="98"/>
      <c r="TUB3" s="98"/>
      <c r="TUC3" s="98"/>
      <c r="TUD3" s="98"/>
      <c r="TUE3" s="98"/>
      <c r="TUF3" s="98"/>
      <c r="TUG3" s="98"/>
      <c r="TUH3" s="98"/>
      <c r="TUI3" s="98"/>
      <c r="TUJ3" s="98"/>
      <c r="TUK3" s="98"/>
      <c r="TUL3" s="98"/>
      <c r="TUM3" s="98"/>
      <c r="TUN3" s="98"/>
      <c r="TUO3" s="98"/>
      <c r="TUP3" s="98"/>
      <c r="TUQ3" s="98"/>
      <c r="TUR3" s="98"/>
      <c r="TUS3" s="98"/>
      <c r="TUT3" s="98"/>
      <c r="TUU3" s="98"/>
      <c r="TUV3" s="98"/>
      <c r="TUW3" s="98"/>
      <c r="TUX3" s="98"/>
      <c r="TUY3" s="98"/>
      <c r="TUZ3" s="98"/>
      <c r="TVA3" s="98"/>
      <c r="TVB3" s="98"/>
      <c r="TVC3" s="98"/>
      <c r="TVD3" s="98"/>
      <c r="TVE3" s="98"/>
      <c r="TVF3" s="98"/>
      <c r="TVG3" s="98"/>
      <c r="TVH3" s="98"/>
      <c r="TVI3" s="98"/>
      <c r="TVJ3" s="98"/>
      <c r="TVK3" s="98"/>
      <c r="TVL3" s="98"/>
      <c r="TVM3" s="98"/>
      <c r="TVN3" s="98"/>
      <c r="TVO3" s="98"/>
      <c r="TVP3" s="98"/>
      <c r="TVQ3" s="98"/>
      <c r="TVR3" s="98"/>
      <c r="TVS3" s="98"/>
      <c r="TVT3" s="98"/>
      <c r="TVU3" s="98"/>
      <c r="TVV3" s="98"/>
      <c r="TVW3" s="98"/>
      <c r="TVX3" s="98"/>
      <c r="TVY3" s="98"/>
      <c r="TVZ3" s="98"/>
      <c r="TWA3" s="98"/>
      <c r="TWB3" s="98"/>
      <c r="TWC3" s="98"/>
      <c r="TWD3" s="98"/>
      <c r="TWE3" s="98"/>
      <c r="TWF3" s="98"/>
      <c r="TWG3" s="98"/>
      <c r="TWH3" s="98"/>
      <c r="TWI3" s="98"/>
      <c r="TWJ3" s="98"/>
      <c r="TWK3" s="98"/>
      <c r="TWL3" s="98"/>
      <c r="TWM3" s="98"/>
      <c r="TWN3" s="98"/>
      <c r="TWO3" s="98"/>
      <c r="TWP3" s="98"/>
      <c r="TWQ3" s="98"/>
      <c r="TWR3" s="98"/>
      <c r="TWS3" s="98"/>
      <c r="TWT3" s="98"/>
      <c r="TWU3" s="98"/>
      <c r="TWV3" s="98"/>
      <c r="TWW3" s="98"/>
      <c r="TWX3" s="98"/>
      <c r="TWY3" s="98"/>
      <c r="TWZ3" s="98"/>
      <c r="TXA3" s="98"/>
      <c r="TXB3" s="98"/>
      <c r="TXC3" s="98"/>
      <c r="TXD3" s="98"/>
      <c r="TXE3" s="98"/>
      <c r="TXF3" s="98"/>
      <c r="TXG3" s="98"/>
      <c r="TXH3" s="98"/>
      <c r="TXI3" s="98"/>
      <c r="TXJ3" s="98"/>
      <c r="TXK3" s="98"/>
      <c r="TXL3" s="98"/>
      <c r="TXM3" s="98"/>
      <c r="TXN3" s="98"/>
      <c r="TXO3" s="98"/>
      <c r="TXP3" s="98"/>
      <c r="TXQ3" s="98"/>
      <c r="TXR3" s="98"/>
      <c r="TXS3" s="98"/>
      <c r="TXT3" s="98"/>
      <c r="TXU3" s="98"/>
      <c r="TXV3" s="98"/>
      <c r="TXW3" s="98"/>
      <c r="TXX3" s="98"/>
      <c r="TXY3" s="98"/>
      <c r="TXZ3" s="98"/>
      <c r="TYA3" s="98"/>
      <c r="TYB3" s="98"/>
      <c r="TYC3" s="98"/>
      <c r="TYD3" s="98"/>
      <c r="TYE3" s="98"/>
      <c r="TYF3" s="98"/>
      <c r="TYG3" s="98"/>
      <c r="TYH3" s="98"/>
      <c r="TYI3" s="98"/>
      <c r="TYJ3" s="98"/>
      <c r="TYK3" s="98"/>
      <c r="TYL3" s="98"/>
      <c r="TYM3" s="98"/>
      <c r="TYN3" s="98"/>
      <c r="TYO3" s="98"/>
      <c r="TYP3" s="98"/>
      <c r="TYQ3" s="98"/>
      <c r="TYR3" s="98"/>
      <c r="TYS3" s="98"/>
      <c r="TYT3" s="98"/>
      <c r="TYU3" s="98"/>
      <c r="TYV3" s="98"/>
      <c r="TYW3" s="98"/>
      <c r="TYX3" s="98"/>
      <c r="TYY3" s="98"/>
      <c r="TYZ3" s="98"/>
      <c r="TZA3" s="98"/>
      <c r="TZB3" s="98"/>
      <c r="TZC3" s="98"/>
      <c r="TZD3" s="98"/>
      <c r="TZE3" s="98"/>
      <c r="TZF3" s="98"/>
      <c r="TZG3" s="98"/>
      <c r="TZH3" s="98"/>
      <c r="TZI3" s="98"/>
      <c r="TZJ3" s="98"/>
      <c r="TZK3" s="98"/>
      <c r="TZL3" s="98"/>
      <c r="TZM3" s="98"/>
      <c r="TZN3" s="98"/>
      <c r="TZO3" s="98"/>
      <c r="TZP3" s="98"/>
      <c r="TZQ3" s="98"/>
      <c r="TZR3" s="98"/>
      <c r="TZS3" s="98"/>
      <c r="TZT3" s="98"/>
      <c r="TZU3" s="98"/>
      <c r="TZV3" s="98"/>
      <c r="TZW3" s="98"/>
      <c r="TZX3" s="98"/>
      <c r="TZY3" s="98"/>
      <c r="TZZ3" s="98"/>
      <c r="UAA3" s="98"/>
      <c r="UAB3" s="98"/>
      <c r="UAC3" s="98"/>
      <c r="UAD3" s="98"/>
      <c r="UAE3" s="98"/>
      <c r="UAF3" s="98"/>
      <c r="UAG3" s="98"/>
      <c r="UAH3" s="98"/>
      <c r="UAI3" s="98"/>
      <c r="UAJ3" s="98"/>
      <c r="UAK3" s="98"/>
      <c r="UAL3" s="98"/>
      <c r="UAM3" s="98"/>
      <c r="UAN3" s="98"/>
      <c r="UAO3" s="98"/>
      <c r="UAP3" s="98"/>
      <c r="UAQ3" s="98"/>
      <c r="UAR3" s="98"/>
      <c r="UAS3" s="98"/>
      <c r="UAT3" s="98"/>
      <c r="UAU3" s="98"/>
      <c r="UAV3" s="98"/>
      <c r="UAW3" s="98"/>
      <c r="UAX3" s="98"/>
      <c r="UAY3" s="98"/>
      <c r="UAZ3" s="98"/>
      <c r="UBA3" s="98"/>
      <c r="UBB3" s="98"/>
      <c r="UBC3" s="98"/>
      <c r="UBD3" s="98"/>
      <c r="UBE3" s="98"/>
      <c r="UBF3" s="98"/>
      <c r="UBG3" s="98"/>
      <c r="UBH3" s="98"/>
      <c r="UBI3" s="98"/>
      <c r="UBJ3" s="98"/>
      <c r="UBK3" s="98"/>
      <c r="UBL3" s="98"/>
      <c r="UBM3" s="98"/>
      <c r="UBN3" s="98"/>
      <c r="UBO3" s="98"/>
      <c r="UBP3" s="98"/>
      <c r="UBQ3" s="98"/>
      <c r="UBR3" s="98"/>
      <c r="UBS3" s="98"/>
      <c r="UBT3" s="98"/>
      <c r="UBU3" s="98"/>
      <c r="UBV3" s="98"/>
      <c r="UBW3" s="98"/>
      <c r="UBX3" s="98"/>
      <c r="UBY3" s="98"/>
      <c r="UBZ3" s="98"/>
      <c r="UCA3" s="98"/>
      <c r="UCB3" s="98"/>
      <c r="UCC3" s="98"/>
      <c r="UCD3" s="98"/>
      <c r="UCE3" s="98"/>
      <c r="UCF3" s="98"/>
      <c r="UCG3" s="98"/>
      <c r="UCH3" s="98"/>
      <c r="UCI3" s="98"/>
      <c r="UCJ3" s="98"/>
      <c r="UCK3" s="98"/>
      <c r="UCL3" s="98"/>
      <c r="UCM3" s="98"/>
      <c r="UCN3" s="98"/>
      <c r="UCO3" s="98"/>
      <c r="UCP3" s="98"/>
      <c r="UCQ3" s="98"/>
      <c r="UCR3" s="98"/>
      <c r="UCS3" s="98"/>
      <c r="UCT3" s="98"/>
      <c r="UCU3" s="98"/>
      <c r="UCV3" s="98"/>
      <c r="UCW3" s="98"/>
      <c r="UCX3" s="98"/>
      <c r="UCY3" s="98"/>
      <c r="UCZ3" s="98"/>
      <c r="UDA3" s="98"/>
      <c r="UDB3" s="98"/>
      <c r="UDC3" s="98"/>
      <c r="UDD3" s="98"/>
      <c r="UDE3" s="98"/>
      <c r="UDF3" s="98"/>
      <c r="UDG3" s="98"/>
      <c r="UDH3" s="98"/>
      <c r="UDI3" s="98"/>
      <c r="UDJ3" s="98"/>
      <c r="UDK3" s="98"/>
      <c r="UDL3" s="98"/>
      <c r="UDM3" s="98"/>
      <c r="UDN3" s="98"/>
      <c r="UDO3" s="98"/>
      <c r="UDP3" s="98"/>
      <c r="UDQ3" s="98"/>
      <c r="UDR3" s="98"/>
      <c r="UDS3" s="98"/>
      <c r="UDT3" s="98"/>
      <c r="UDU3" s="98"/>
      <c r="UDV3" s="98"/>
      <c r="UDW3" s="98"/>
      <c r="UDX3" s="98"/>
      <c r="UDY3" s="98"/>
      <c r="UDZ3" s="98"/>
      <c r="UEA3" s="98"/>
      <c r="UEB3" s="98"/>
      <c r="UEC3" s="98"/>
      <c r="UED3" s="98"/>
      <c r="UEE3" s="98"/>
      <c r="UEF3" s="98"/>
      <c r="UEG3" s="98"/>
      <c r="UEH3" s="98"/>
      <c r="UEI3" s="98"/>
      <c r="UEJ3" s="98"/>
      <c r="UEK3" s="98"/>
      <c r="UEL3" s="98"/>
      <c r="UEM3" s="98"/>
      <c r="UEN3" s="98"/>
      <c r="UEO3" s="98"/>
      <c r="UEP3" s="98"/>
      <c r="UEQ3" s="98"/>
      <c r="UER3" s="98"/>
      <c r="UES3" s="98"/>
      <c r="UET3" s="98"/>
      <c r="UEU3" s="98"/>
      <c r="UEV3" s="98"/>
      <c r="UEW3" s="98"/>
      <c r="UEX3" s="98"/>
      <c r="UEY3" s="98"/>
      <c r="UEZ3" s="98"/>
      <c r="UFA3" s="98"/>
      <c r="UFB3" s="98"/>
      <c r="UFC3" s="98"/>
      <c r="UFD3" s="98"/>
      <c r="UFE3" s="98"/>
      <c r="UFF3" s="98"/>
      <c r="UFG3" s="98"/>
      <c r="UFH3" s="98"/>
      <c r="UFI3" s="98"/>
      <c r="UFJ3" s="98"/>
      <c r="UFK3" s="98"/>
      <c r="UFL3" s="98"/>
      <c r="UFM3" s="98"/>
      <c r="UFN3" s="98"/>
      <c r="UFO3" s="98"/>
      <c r="UFP3" s="98"/>
      <c r="UFQ3" s="98"/>
      <c r="UFR3" s="98"/>
      <c r="UFS3" s="98"/>
      <c r="UFT3" s="98"/>
      <c r="UFU3" s="98"/>
      <c r="UFV3" s="98"/>
      <c r="UFW3" s="98"/>
      <c r="UFX3" s="98"/>
      <c r="UFY3" s="98"/>
      <c r="UFZ3" s="98"/>
      <c r="UGA3" s="98"/>
      <c r="UGB3" s="98"/>
      <c r="UGC3" s="98"/>
      <c r="UGD3" s="98"/>
      <c r="UGE3" s="98"/>
      <c r="UGF3" s="98"/>
      <c r="UGG3" s="98"/>
      <c r="UGH3" s="98"/>
      <c r="UGI3" s="98"/>
      <c r="UGJ3" s="98"/>
      <c r="UGK3" s="98"/>
      <c r="UGL3" s="98"/>
      <c r="UGM3" s="98"/>
      <c r="UGN3" s="98"/>
      <c r="UGO3" s="98"/>
      <c r="UGP3" s="98"/>
      <c r="UGQ3" s="98"/>
      <c r="UGR3" s="98"/>
      <c r="UGS3" s="98"/>
      <c r="UGT3" s="98"/>
      <c r="UGU3" s="98"/>
      <c r="UGV3" s="98"/>
      <c r="UGW3" s="98"/>
      <c r="UGX3" s="98"/>
      <c r="UGY3" s="98"/>
      <c r="UGZ3" s="98"/>
      <c r="UHA3" s="98"/>
      <c r="UHB3" s="98"/>
      <c r="UHC3" s="98"/>
      <c r="UHD3" s="98"/>
      <c r="UHE3" s="98"/>
      <c r="UHF3" s="98"/>
      <c r="UHG3" s="98"/>
      <c r="UHH3" s="98"/>
      <c r="UHI3" s="98"/>
      <c r="UHJ3" s="98"/>
      <c r="UHK3" s="98"/>
      <c r="UHL3" s="98"/>
      <c r="UHM3" s="98"/>
      <c r="UHN3" s="98"/>
      <c r="UHO3" s="98"/>
      <c r="UHP3" s="98"/>
      <c r="UHQ3" s="98"/>
      <c r="UHR3" s="98"/>
      <c r="UHS3" s="98"/>
      <c r="UHT3" s="98"/>
      <c r="UHU3" s="98"/>
      <c r="UHV3" s="98"/>
      <c r="UHW3" s="98"/>
      <c r="UHX3" s="98"/>
      <c r="UHY3" s="98"/>
      <c r="UHZ3" s="98"/>
      <c r="UIA3" s="98"/>
      <c r="UIB3" s="98"/>
      <c r="UIC3" s="98"/>
      <c r="UID3" s="98"/>
      <c r="UIE3" s="98"/>
      <c r="UIF3" s="98"/>
      <c r="UIG3" s="98"/>
      <c r="UIH3" s="98"/>
      <c r="UII3" s="98"/>
      <c r="UIJ3" s="98"/>
      <c r="UIK3" s="98"/>
      <c r="UIL3" s="98"/>
      <c r="UIM3" s="98"/>
      <c r="UIN3" s="98"/>
      <c r="UIO3" s="98"/>
      <c r="UIP3" s="98"/>
      <c r="UIQ3" s="98"/>
      <c r="UIR3" s="98"/>
      <c r="UIS3" s="98"/>
      <c r="UIT3" s="98"/>
      <c r="UIU3" s="98"/>
      <c r="UIV3" s="98"/>
      <c r="UIW3" s="98"/>
      <c r="UIX3" s="98"/>
      <c r="UIY3" s="98"/>
      <c r="UIZ3" s="98"/>
      <c r="UJA3" s="98"/>
      <c r="UJB3" s="98"/>
      <c r="UJC3" s="98"/>
      <c r="UJD3" s="98"/>
      <c r="UJE3" s="98"/>
      <c r="UJF3" s="98"/>
      <c r="UJG3" s="98"/>
      <c r="UJH3" s="98"/>
      <c r="UJI3" s="98"/>
      <c r="UJJ3" s="98"/>
      <c r="UJK3" s="98"/>
      <c r="UJL3" s="98"/>
      <c r="UJM3" s="98"/>
      <c r="UJN3" s="98"/>
      <c r="UJO3" s="98"/>
      <c r="UJP3" s="98"/>
      <c r="UJQ3" s="98"/>
      <c r="UJR3" s="98"/>
      <c r="UJS3" s="98"/>
      <c r="UJT3" s="98"/>
      <c r="UJU3" s="98"/>
      <c r="UJV3" s="98"/>
      <c r="UJW3" s="98"/>
      <c r="UJX3" s="98"/>
      <c r="UJY3" s="98"/>
      <c r="UJZ3" s="98"/>
      <c r="UKA3" s="98"/>
      <c r="UKB3" s="98"/>
      <c r="UKC3" s="98"/>
      <c r="UKD3" s="98"/>
      <c r="UKE3" s="98"/>
      <c r="UKF3" s="98"/>
      <c r="UKG3" s="98"/>
      <c r="UKH3" s="98"/>
      <c r="UKI3" s="98"/>
      <c r="UKJ3" s="98"/>
      <c r="UKK3" s="98"/>
      <c r="UKL3" s="98"/>
      <c r="UKM3" s="98"/>
      <c r="UKN3" s="98"/>
      <c r="UKO3" s="98"/>
      <c r="UKP3" s="98"/>
      <c r="UKQ3" s="98"/>
      <c r="UKR3" s="98"/>
      <c r="UKS3" s="98"/>
      <c r="UKT3" s="98"/>
      <c r="UKU3" s="98"/>
      <c r="UKV3" s="98"/>
      <c r="UKW3" s="98"/>
      <c r="UKX3" s="98"/>
      <c r="UKY3" s="98"/>
      <c r="UKZ3" s="98"/>
      <c r="ULA3" s="98"/>
      <c r="ULB3" s="98"/>
      <c r="ULC3" s="98"/>
      <c r="ULD3" s="98"/>
      <c r="ULE3" s="98"/>
      <c r="ULF3" s="98"/>
      <c r="ULG3" s="98"/>
      <c r="ULH3" s="98"/>
      <c r="ULI3" s="98"/>
      <c r="ULJ3" s="98"/>
      <c r="ULK3" s="98"/>
      <c r="ULL3" s="98"/>
      <c r="ULM3" s="98"/>
      <c r="ULN3" s="98"/>
      <c r="ULO3" s="98"/>
      <c r="ULP3" s="98"/>
      <c r="ULQ3" s="98"/>
      <c r="ULR3" s="98"/>
      <c r="ULS3" s="98"/>
      <c r="ULT3" s="98"/>
      <c r="ULU3" s="98"/>
      <c r="ULV3" s="98"/>
      <c r="ULW3" s="98"/>
      <c r="ULX3" s="98"/>
      <c r="ULY3" s="98"/>
      <c r="ULZ3" s="98"/>
      <c r="UMA3" s="98"/>
      <c r="UMB3" s="98"/>
      <c r="UMC3" s="98"/>
      <c r="UMD3" s="98"/>
      <c r="UME3" s="98"/>
      <c r="UMF3" s="98"/>
      <c r="UMG3" s="98"/>
      <c r="UMH3" s="98"/>
      <c r="UMI3" s="98"/>
      <c r="UMJ3" s="98"/>
      <c r="UMK3" s="98"/>
      <c r="UML3" s="98"/>
      <c r="UMM3" s="98"/>
      <c r="UMN3" s="98"/>
      <c r="UMO3" s="98"/>
      <c r="UMP3" s="98"/>
      <c r="UMQ3" s="98"/>
      <c r="UMR3" s="98"/>
      <c r="UMS3" s="98"/>
      <c r="UMT3" s="98"/>
      <c r="UMU3" s="98"/>
      <c r="UMV3" s="98"/>
      <c r="UMW3" s="98"/>
      <c r="UMX3" s="98"/>
      <c r="UMY3" s="98"/>
      <c r="UMZ3" s="98"/>
      <c r="UNA3" s="98"/>
      <c r="UNB3" s="98"/>
      <c r="UNC3" s="98"/>
      <c r="UND3" s="98"/>
      <c r="UNE3" s="98"/>
      <c r="UNF3" s="98"/>
      <c r="UNG3" s="98"/>
      <c r="UNH3" s="98"/>
      <c r="UNI3" s="98"/>
      <c r="UNJ3" s="98"/>
      <c r="UNK3" s="98"/>
      <c r="UNL3" s="98"/>
      <c r="UNM3" s="98"/>
      <c r="UNN3" s="98"/>
      <c r="UNO3" s="98"/>
      <c r="UNP3" s="98"/>
      <c r="UNQ3" s="98"/>
      <c r="UNR3" s="98"/>
      <c r="UNS3" s="98"/>
      <c r="UNT3" s="98"/>
      <c r="UNU3" s="98"/>
      <c r="UNV3" s="98"/>
      <c r="UNW3" s="98"/>
      <c r="UNX3" s="98"/>
      <c r="UNY3" s="98"/>
      <c r="UNZ3" s="98"/>
      <c r="UOA3" s="98"/>
      <c r="UOB3" s="98"/>
      <c r="UOC3" s="98"/>
      <c r="UOD3" s="98"/>
      <c r="UOE3" s="98"/>
      <c r="UOF3" s="98"/>
      <c r="UOG3" s="98"/>
      <c r="UOH3" s="98"/>
      <c r="UOI3" s="98"/>
      <c r="UOJ3" s="98"/>
      <c r="UOK3" s="98"/>
      <c r="UOL3" s="98"/>
      <c r="UOM3" s="98"/>
      <c r="UON3" s="98"/>
      <c r="UOO3" s="98"/>
      <c r="UOP3" s="98"/>
      <c r="UOQ3" s="98"/>
      <c r="UOR3" s="98"/>
      <c r="UOS3" s="98"/>
      <c r="UOT3" s="98"/>
      <c r="UOU3" s="98"/>
      <c r="UOV3" s="98"/>
      <c r="UOW3" s="98"/>
      <c r="UOX3" s="98"/>
      <c r="UOY3" s="98"/>
      <c r="UOZ3" s="98"/>
      <c r="UPA3" s="98"/>
      <c r="UPB3" s="98"/>
      <c r="UPC3" s="98"/>
      <c r="UPD3" s="98"/>
      <c r="UPE3" s="98"/>
      <c r="UPF3" s="98"/>
      <c r="UPG3" s="98"/>
      <c r="UPH3" s="98"/>
      <c r="UPI3" s="98"/>
      <c r="UPJ3" s="98"/>
      <c r="UPK3" s="98"/>
      <c r="UPL3" s="98"/>
      <c r="UPM3" s="98"/>
      <c r="UPN3" s="98"/>
      <c r="UPO3" s="98"/>
      <c r="UPP3" s="98"/>
      <c r="UPQ3" s="98"/>
      <c r="UPR3" s="98"/>
      <c r="UPS3" s="98"/>
      <c r="UPT3" s="98"/>
      <c r="UPU3" s="98"/>
      <c r="UPV3" s="98"/>
      <c r="UPW3" s="98"/>
      <c r="UPX3" s="98"/>
      <c r="UPY3" s="98"/>
      <c r="UPZ3" s="98"/>
      <c r="UQA3" s="98"/>
      <c r="UQB3" s="98"/>
      <c r="UQC3" s="98"/>
      <c r="UQD3" s="98"/>
      <c r="UQE3" s="98"/>
      <c r="UQF3" s="98"/>
      <c r="UQG3" s="98"/>
      <c r="UQH3" s="98"/>
      <c r="UQI3" s="98"/>
      <c r="UQJ3" s="98"/>
      <c r="UQK3" s="98"/>
      <c r="UQL3" s="98"/>
      <c r="UQM3" s="98"/>
      <c r="UQN3" s="98"/>
      <c r="UQO3" s="98"/>
      <c r="UQP3" s="98"/>
      <c r="UQQ3" s="98"/>
      <c r="UQR3" s="98"/>
      <c r="UQS3" s="98"/>
      <c r="UQT3" s="98"/>
      <c r="UQU3" s="98"/>
      <c r="UQV3" s="98"/>
      <c r="UQW3" s="98"/>
      <c r="UQX3" s="98"/>
      <c r="UQY3" s="98"/>
      <c r="UQZ3" s="98"/>
      <c r="URA3" s="98"/>
      <c r="URB3" s="98"/>
      <c r="URC3" s="98"/>
      <c r="URD3" s="98"/>
      <c r="URE3" s="98"/>
      <c r="URF3" s="98"/>
      <c r="URG3" s="98"/>
      <c r="URH3" s="98"/>
      <c r="URI3" s="98"/>
      <c r="URJ3" s="98"/>
      <c r="URK3" s="98"/>
      <c r="URL3" s="98"/>
      <c r="URM3" s="98"/>
      <c r="URN3" s="98"/>
      <c r="URO3" s="98"/>
      <c r="URP3" s="98"/>
      <c r="URQ3" s="98"/>
      <c r="URR3" s="98"/>
      <c r="URS3" s="98"/>
      <c r="URT3" s="98"/>
      <c r="URU3" s="98"/>
      <c r="URV3" s="98"/>
      <c r="URW3" s="98"/>
      <c r="URX3" s="98"/>
      <c r="URY3" s="98"/>
      <c r="URZ3" s="98"/>
      <c r="USA3" s="98"/>
      <c r="USB3" s="98"/>
      <c r="USC3" s="98"/>
      <c r="USD3" s="98"/>
      <c r="USE3" s="98"/>
      <c r="USF3" s="98"/>
      <c r="USG3" s="98"/>
      <c r="USH3" s="98"/>
      <c r="USI3" s="98"/>
      <c r="USJ3" s="98"/>
      <c r="USK3" s="98"/>
      <c r="USL3" s="98"/>
      <c r="USM3" s="98"/>
      <c r="USN3" s="98"/>
      <c r="USO3" s="98"/>
      <c r="USP3" s="98"/>
      <c r="USQ3" s="98"/>
      <c r="USR3" s="98"/>
      <c r="USS3" s="98"/>
      <c r="UST3" s="98"/>
      <c r="USU3" s="98"/>
      <c r="USV3" s="98"/>
      <c r="USW3" s="98"/>
      <c r="USX3" s="98"/>
      <c r="USY3" s="98"/>
      <c r="USZ3" s="98"/>
      <c r="UTA3" s="98"/>
      <c r="UTB3" s="98"/>
      <c r="UTC3" s="98"/>
      <c r="UTD3" s="98"/>
      <c r="UTE3" s="98"/>
      <c r="UTF3" s="98"/>
      <c r="UTG3" s="98"/>
      <c r="UTH3" s="98"/>
      <c r="UTI3" s="98"/>
      <c r="UTJ3" s="98"/>
      <c r="UTK3" s="98"/>
      <c r="UTL3" s="98"/>
      <c r="UTM3" s="98"/>
      <c r="UTN3" s="98"/>
      <c r="UTO3" s="98"/>
      <c r="UTP3" s="98"/>
      <c r="UTQ3" s="98"/>
      <c r="UTR3" s="98"/>
      <c r="UTS3" s="98"/>
      <c r="UTT3" s="98"/>
      <c r="UTU3" s="98"/>
      <c r="UTV3" s="98"/>
      <c r="UTW3" s="98"/>
      <c r="UTX3" s="98"/>
      <c r="UTY3" s="98"/>
      <c r="UTZ3" s="98"/>
      <c r="UUA3" s="98"/>
      <c r="UUB3" s="98"/>
      <c r="UUC3" s="98"/>
      <c r="UUD3" s="98"/>
      <c r="UUE3" s="98"/>
      <c r="UUF3" s="98"/>
      <c r="UUG3" s="98"/>
      <c r="UUH3" s="98"/>
      <c r="UUI3" s="98"/>
      <c r="UUJ3" s="98"/>
      <c r="UUK3" s="98"/>
      <c r="UUL3" s="98"/>
      <c r="UUM3" s="98"/>
      <c r="UUN3" s="98"/>
      <c r="UUO3" s="98"/>
      <c r="UUP3" s="98"/>
      <c r="UUQ3" s="98"/>
      <c r="UUR3" s="98"/>
      <c r="UUS3" s="98"/>
      <c r="UUT3" s="98"/>
      <c r="UUU3" s="98"/>
      <c r="UUV3" s="98"/>
      <c r="UUW3" s="98"/>
      <c r="UUX3" s="98"/>
      <c r="UUY3" s="98"/>
      <c r="UUZ3" s="98"/>
      <c r="UVA3" s="98"/>
      <c r="UVB3" s="98"/>
      <c r="UVC3" s="98"/>
      <c r="UVD3" s="98"/>
      <c r="UVE3" s="98"/>
      <c r="UVF3" s="98"/>
      <c r="UVG3" s="98"/>
      <c r="UVH3" s="98"/>
      <c r="UVI3" s="98"/>
      <c r="UVJ3" s="98"/>
      <c r="UVK3" s="98"/>
      <c r="UVL3" s="98"/>
      <c r="UVM3" s="98"/>
      <c r="UVN3" s="98"/>
      <c r="UVO3" s="98"/>
      <c r="UVP3" s="98"/>
      <c r="UVQ3" s="98"/>
      <c r="UVR3" s="98"/>
      <c r="UVS3" s="98"/>
      <c r="UVT3" s="98"/>
      <c r="UVU3" s="98"/>
      <c r="UVV3" s="98"/>
      <c r="UVW3" s="98"/>
      <c r="UVX3" s="98"/>
      <c r="UVY3" s="98"/>
      <c r="UVZ3" s="98"/>
      <c r="UWA3" s="98"/>
      <c r="UWB3" s="98"/>
      <c r="UWC3" s="98"/>
      <c r="UWD3" s="98"/>
      <c r="UWE3" s="98"/>
      <c r="UWF3" s="98"/>
      <c r="UWG3" s="98"/>
      <c r="UWH3" s="98"/>
      <c r="UWI3" s="98"/>
      <c r="UWJ3" s="98"/>
      <c r="UWK3" s="98"/>
      <c r="UWL3" s="98"/>
      <c r="UWM3" s="98"/>
      <c r="UWN3" s="98"/>
      <c r="UWO3" s="98"/>
      <c r="UWP3" s="98"/>
      <c r="UWQ3" s="98"/>
      <c r="UWR3" s="98"/>
      <c r="UWS3" s="98"/>
      <c r="UWT3" s="98"/>
      <c r="UWU3" s="98"/>
      <c r="UWV3" s="98"/>
      <c r="UWW3" s="98"/>
      <c r="UWX3" s="98"/>
      <c r="UWY3" s="98"/>
      <c r="UWZ3" s="98"/>
      <c r="UXA3" s="98"/>
      <c r="UXB3" s="98"/>
      <c r="UXC3" s="98"/>
      <c r="UXD3" s="98"/>
      <c r="UXE3" s="98"/>
      <c r="UXF3" s="98"/>
      <c r="UXG3" s="98"/>
      <c r="UXH3" s="98"/>
      <c r="UXI3" s="98"/>
      <c r="UXJ3" s="98"/>
      <c r="UXK3" s="98"/>
      <c r="UXL3" s="98"/>
      <c r="UXM3" s="98"/>
      <c r="UXN3" s="98"/>
      <c r="UXO3" s="98"/>
      <c r="UXP3" s="98"/>
      <c r="UXQ3" s="98"/>
      <c r="UXR3" s="98"/>
      <c r="UXS3" s="98"/>
      <c r="UXT3" s="98"/>
      <c r="UXU3" s="98"/>
      <c r="UXV3" s="98"/>
      <c r="UXW3" s="98"/>
      <c r="UXX3" s="98"/>
      <c r="UXY3" s="98"/>
      <c r="UXZ3" s="98"/>
      <c r="UYA3" s="98"/>
      <c r="UYB3" s="98"/>
      <c r="UYC3" s="98"/>
      <c r="UYD3" s="98"/>
      <c r="UYE3" s="98"/>
      <c r="UYF3" s="98"/>
      <c r="UYG3" s="98"/>
      <c r="UYH3" s="98"/>
      <c r="UYI3" s="98"/>
      <c r="UYJ3" s="98"/>
      <c r="UYK3" s="98"/>
      <c r="UYL3" s="98"/>
      <c r="UYM3" s="98"/>
      <c r="UYN3" s="98"/>
      <c r="UYO3" s="98"/>
      <c r="UYP3" s="98"/>
      <c r="UYQ3" s="98"/>
      <c r="UYR3" s="98"/>
      <c r="UYS3" s="98"/>
      <c r="UYT3" s="98"/>
      <c r="UYU3" s="98"/>
      <c r="UYV3" s="98"/>
      <c r="UYW3" s="98"/>
      <c r="UYX3" s="98"/>
      <c r="UYY3" s="98"/>
      <c r="UYZ3" s="98"/>
      <c r="UZA3" s="98"/>
      <c r="UZB3" s="98"/>
      <c r="UZC3" s="98"/>
      <c r="UZD3" s="98"/>
      <c r="UZE3" s="98"/>
      <c r="UZF3" s="98"/>
      <c r="UZG3" s="98"/>
      <c r="UZH3" s="98"/>
      <c r="UZI3" s="98"/>
      <c r="UZJ3" s="98"/>
      <c r="UZK3" s="98"/>
      <c r="UZL3" s="98"/>
      <c r="UZM3" s="98"/>
      <c r="UZN3" s="98"/>
      <c r="UZO3" s="98"/>
      <c r="UZP3" s="98"/>
      <c r="UZQ3" s="98"/>
      <c r="UZR3" s="98"/>
      <c r="UZS3" s="98"/>
      <c r="UZT3" s="98"/>
      <c r="UZU3" s="98"/>
      <c r="UZV3" s="98"/>
      <c r="UZW3" s="98"/>
      <c r="UZX3" s="98"/>
      <c r="UZY3" s="98"/>
      <c r="UZZ3" s="98"/>
      <c r="VAA3" s="98"/>
      <c r="VAB3" s="98"/>
      <c r="VAC3" s="98"/>
      <c r="VAD3" s="98"/>
      <c r="VAE3" s="98"/>
      <c r="VAF3" s="98"/>
      <c r="VAG3" s="98"/>
      <c r="VAH3" s="98"/>
      <c r="VAI3" s="98"/>
      <c r="VAJ3" s="98"/>
      <c r="VAK3" s="98"/>
      <c r="VAL3" s="98"/>
      <c r="VAM3" s="98"/>
      <c r="VAN3" s="98"/>
      <c r="VAO3" s="98"/>
      <c r="VAP3" s="98"/>
      <c r="VAQ3" s="98"/>
      <c r="VAR3" s="98"/>
      <c r="VAS3" s="98"/>
      <c r="VAT3" s="98"/>
      <c r="VAU3" s="98"/>
      <c r="VAV3" s="98"/>
      <c r="VAW3" s="98"/>
      <c r="VAX3" s="98"/>
      <c r="VAY3" s="98"/>
      <c r="VAZ3" s="98"/>
      <c r="VBA3" s="98"/>
      <c r="VBB3" s="98"/>
      <c r="VBC3" s="98"/>
      <c r="VBD3" s="98"/>
      <c r="VBE3" s="98"/>
      <c r="VBF3" s="98"/>
      <c r="VBG3" s="98"/>
      <c r="VBH3" s="98"/>
      <c r="VBI3" s="98"/>
      <c r="VBJ3" s="98"/>
      <c r="VBK3" s="98"/>
      <c r="VBL3" s="98"/>
      <c r="VBM3" s="98"/>
      <c r="VBN3" s="98"/>
      <c r="VBO3" s="98"/>
      <c r="VBP3" s="98"/>
      <c r="VBQ3" s="98"/>
      <c r="VBR3" s="98"/>
      <c r="VBS3" s="98"/>
      <c r="VBT3" s="98"/>
      <c r="VBU3" s="98"/>
      <c r="VBV3" s="98"/>
      <c r="VBW3" s="98"/>
      <c r="VBX3" s="98"/>
      <c r="VBY3" s="98"/>
      <c r="VBZ3" s="98"/>
      <c r="VCA3" s="98"/>
      <c r="VCB3" s="98"/>
      <c r="VCC3" s="98"/>
      <c r="VCD3" s="98"/>
      <c r="VCE3" s="98"/>
      <c r="VCF3" s="98"/>
      <c r="VCG3" s="98"/>
      <c r="VCH3" s="98"/>
      <c r="VCI3" s="98"/>
      <c r="VCJ3" s="98"/>
      <c r="VCK3" s="98"/>
      <c r="VCL3" s="98"/>
      <c r="VCM3" s="98"/>
      <c r="VCN3" s="98"/>
      <c r="VCO3" s="98"/>
      <c r="VCP3" s="98"/>
      <c r="VCQ3" s="98"/>
      <c r="VCR3" s="98"/>
      <c r="VCS3" s="98"/>
      <c r="VCT3" s="98"/>
      <c r="VCU3" s="98"/>
      <c r="VCV3" s="98"/>
      <c r="VCW3" s="98"/>
      <c r="VCX3" s="98"/>
      <c r="VCY3" s="98"/>
      <c r="VCZ3" s="98"/>
      <c r="VDA3" s="98"/>
      <c r="VDB3" s="98"/>
      <c r="VDC3" s="98"/>
      <c r="VDD3" s="98"/>
      <c r="VDE3" s="98"/>
      <c r="VDF3" s="98"/>
      <c r="VDG3" s="98"/>
      <c r="VDH3" s="98"/>
      <c r="VDI3" s="98"/>
      <c r="VDJ3" s="98"/>
      <c r="VDK3" s="98"/>
      <c r="VDL3" s="98"/>
      <c r="VDM3" s="98"/>
      <c r="VDN3" s="98"/>
      <c r="VDO3" s="98"/>
      <c r="VDP3" s="98"/>
      <c r="VDQ3" s="98"/>
      <c r="VDR3" s="98"/>
      <c r="VDS3" s="98"/>
      <c r="VDT3" s="98"/>
      <c r="VDU3" s="98"/>
      <c r="VDV3" s="98"/>
      <c r="VDW3" s="98"/>
      <c r="VDX3" s="98"/>
      <c r="VDY3" s="98"/>
      <c r="VDZ3" s="98"/>
      <c r="VEA3" s="98"/>
      <c r="VEB3" s="98"/>
      <c r="VEC3" s="98"/>
      <c r="VED3" s="98"/>
      <c r="VEE3" s="98"/>
      <c r="VEF3" s="98"/>
      <c r="VEG3" s="98"/>
      <c r="VEH3" s="98"/>
      <c r="VEI3" s="98"/>
      <c r="VEJ3" s="98"/>
      <c r="VEK3" s="98"/>
      <c r="VEL3" s="98"/>
      <c r="VEM3" s="98"/>
      <c r="VEN3" s="98"/>
      <c r="VEO3" s="98"/>
      <c r="VEP3" s="98"/>
      <c r="VEQ3" s="98"/>
      <c r="VER3" s="98"/>
      <c r="VES3" s="98"/>
      <c r="VET3" s="98"/>
      <c r="VEU3" s="98"/>
      <c r="VEV3" s="98"/>
      <c r="VEW3" s="98"/>
      <c r="VEX3" s="98"/>
      <c r="VEY3" s="98"/>
      <c r="VEZ3" s="98"/>
      <c r="VFA3" s="98"/>
      <c r="VFB3" s="98"/>
      <c r="VFC3" s="98"/>
      <c r="VFD3" s="98"/>
      <c r="VFE3" s="98"/>
      <c r="VFF3" s="98"/>
      <c r="VFG3" s="98"/>
      <c r="VFH3" s="98"/>
      <c r="VFI3" s="98"/>
      <c r="VFJ3" s="98"/>
      <c r="VFK3" s="98"/>
      <c r="VFL3" s="98"/>
      <c r="VFM3" s="98"/>
      <c r="VFN3" s="98"/>
      <c r="VFO3" s="98"/>
      <c r="VFP3" s="98"/>
      <c r="VFQ3" s="98"/>
      <c r="VFR3" s="98"/>
      <c r="VFS3" s="98"/>
      <c r="VFT3" s="98"/>
      <c r="VFU3" s="98"/>
      <c r="VFV3" s="98"/>
      <c r="VFW3" s="98"/>
      <c r="VFX3" s="98"/>
      <c r="VFY3" s="98"/>
      <c r="VFZ3" s="98"/>
      <c r="VGA3" s="98"/>
      <c r="VGB3" s="98"/>
      <c r="VGC3" s="98"/>
      <c r="VGD3" s="98"/>
      <c r="VGE3" s="98"/>
      <c r="VGF3" s="98"/>
      <c r="VGG3" s="98"/>
      <c r="VGH3" s="98"/>
      <c r="VGI3" s="98"/>
      <c r="VGJ3" s="98"/>
      <c r="VGK3" s="98"/>
      <c r="VGL3" s="98"/>
      <c r="VGM3" s="98"/>
      <c r="VGN3" s="98"/>
      <c r="VGO3" s="98"/>
      <c r="VGP3" s="98"/>
      <c r="VGQ3" s="98"/>
      <c r="VGR3" s="98"/>
      <c r="VGS3" s="98"/>
      <c r="VGT3" s="98"/>
      <c r="VGU3" s="98"/>
      <c r="VGV3" s="98"/>
      <c r="VGW3" s="98"/>
      <c r="VGX3" s="98"/>
      <c r="VGY3" s="98"/>
      <c r="VGZ3" s="98"/>
      <c r="VHA3" s="98"/>
      <c r="VHB3" s="98"/>
      <c r="VHC3" s="98"/>
      <c r="VHD3" s="98"/>
      <c r="VHE3" s="98"/>
      <c r="VHF3" s="98"/>
      <c r="VHG3" s="98"/>
      <c r="VHH3" s="98"/>
      <c r="VHI3" s="98"/>
      <c r="VHJ3" s="98"/>
      <c r="VHK3" s="98"/>
      <c r="VHL3" s="98"/>
      <c r="VHM3" s="98"/>
      <c r="VHN3" s="98"/>
      <c r="VHO3" s="98"/>
      <c r="VHP3" s="98"/>
      <c r="VHQ3" s="98"/>
      <c r="VHR3" s="98"/>
      <c r="VHS3" s="98"/>
      <c r="VHT3" s="98"/>
      <c r="VHU3" s="98"/>
      <c r="VHV3" s="98"/>
      <c r="VHW3" s="98"/>
      <c r="VHX3" s="98"/>
      <c r="VHY3" s="98"/>
      <c r="VHZ3" s="98"/>
      <c r="VIA3" s="98"/>
      <c r="VIB3" s="98"/>
      <c r="VIC3" s="98"/>
      <c r="VID3" s="98"/>
      <c r="VIE3" s="98"/>
      <c r="VIF3" s="98"/>
      <c r="VIG3" s="98"/>
      <c r="VIH3" s="98"/>
      <c r="VII3" s="98"/>
      <c r="VIJ3" s="98"/>
      <c r="VIK3" s="98"/>
      <c r="VIL3" s="98"/>
      <c r="VIM3" s="98"/>
      <c r="VIN3" s="98"/>
      <c r="VIO3" s="98"/>
      <c r="VIP3" s="98"/>
      <c r="VIQ3" s="98"/>
      <c r="VIR3" s="98"/>
      <c r="VIS3" s="98"/>
      <c r="VIT3" s="98"/>
      <c r="VIU3" s="98"/>
      <c r="VIV3" s="98"/>
      <c r="VIW3" s="98"/>
      <c r="VIX3" s="98"/>
      <c r="VIY3" s="98"/>
      <c r="VIZ3" s="98"/>
      <c r="VJA3" s="98"/>
      <c r="VJB3" s="98"/>
      <c r="VJC3" s="98"/>
      <c r="VJD3" s="98"/>
      <c r="VJE3" s="98"/>
      <c r="VJF3" s="98"/>
      <c r="VJG3" s="98"/>
      <c r="VJH3" s="98"/>
      <c r="VJI3" s="98"/>
      <c r="VJJ3" s="98"/>
      <c r="VJK3" s="98"/>
      <c r="VJL3" s="98"/>
      <c r="VJM3" s="98"/>
      <c r="VJN3" s="98"/>
      <c r="VJO3" s="98"/>
      <c r="VJP3" s="98"/>
      <c r="VJQ3" s="98"/>
      <c r="VJR3" s="98"/>
      <c r="VJS3" s="98"/>
      <c r="VJT3" s="98"/>
      <c r="VJU3" s="98"/>
      <c r="VJV3" s="98"/>
      <c r="VJW3" s="98"/>
      <c r="VJX3" s="98"/>
      <c r="VJY3" s="98"/>
      <c r="VJZ3" s="98"/>
      <c r="VKA3" s="98"/>
      <c r="VKB3" s="98"/>
      <c r="VKC3" s="98"/>
      <c r="VKD3" s="98"/>
      <c r="VKE3" s="98"/>
      <c r="VKF3" s="98"/>
      <c r="VKG3" s="98"/>
      <c r="VKH3" s="98"/>
      <c r="VKI3" s="98"/>
      <c r="VKJ3" s="98"/>
      <c r="VKK3" s="98"/>
      <c r="VKL3" s="98"/>
      <c r="VKM3" s="98"/>
      <c r="VKN3" s="98"/>
      <c r="VKO3" s="98"/>
      <c r="VKP3" s="98"/>
      <c r="VKQ3" s="98"/>
      <c r="VKR3" s="98"/>
      <c r="VKS3" s="98"/>
      <c r="VKT3" s="98"/>
      <c r="VKU3" s="98"/>
      <c r="VKV3" s="98"/>
      <c r="VKW3" s="98"/>
      <c r="VKX3" s="98"/>
      <c r="VKY3" s="98"/>
      <c r="VKZ3" s="98"/>
      <c r="VLA3" s="98"/>
      <c r="VLB3" s="98"/>
      <c r="VLC3" s="98"/>
      <c r="VLD3" s="98"/>
      <c r="VLE3" s="98"/>
      <c r="VLF3" s="98"/>
      <c r="VLG3" s="98"/>
      <c r="VLH3" s="98"/>
      <c r="VLI3" s="98"/>
      <c r="VLJ3" s="98"/>
      <c r="VLK3" s="98"/>
      <c r="VLL3" s="98"/>
      <c r="VLM3" s="98"/>
      <c r="VLN3" s="98"/>
      <c r="VLO3" s="98"/>
      <c r="VLP3" s="98"/>
      <c r="VLQ3" s="98"/>
      <c r="VLR3" s="98"/>
      <c r="VLS3" s="98"/>
      <c r="VLT3" s="98"/>
      <c r="VLU3" s="98"/>
      <c r="VLV3" s="98"/>
      <c r="VLW3" s="98"/>
      <c r="VLX3" s="98"/>
      <c r="VLY3" s="98"/>
      <c r="VLZ3" s="98"/>
      <c r="VMA3" s="98"/>
      <c r="VMB3" s="98"/>
      <c r="VMC3" s="98"/>
      <c r="VMD3" s="98"/>
      <c r="VME3" s="98"/>
      <c r="VMF3" s="98"/>
      <c r="VMG3" s="98"/>
      <c r="VMH3" s="98"/>
      <c r="VMI3" s="98"/>
      <c r="VMJ3" s="98"/>
      <c r="VMK3" s="98"/>
      <c r="VML3" s="98"/>
      <c r="VMM3" s="98"/>
      <c r="VMN3" s="98"/>
      <c r="VMO3" s="98"/>
      <c r="VMP3" s="98"/>
      <c r="VMQ3" s="98"/>
      <c r="VMR3" s="98"/>
      <c r="VMS3" s="98"/>
      <c r="VMT3" s="98"/>
      <c r="VMU3" s="98"/>
      <c r="VMV3" s="98"/>
      <c r="VMW3" s="98"/>
      <c r="VMX3" s="98"/>
      <c r="VMY3" s="98"/>
      <c r="VMZ3" s="98"/>
      <c r="VNA3" s="98"/>
      <c r="VNB3" s="98"/>
      <c r="VNC3" s="98"/>
      <c r="VND3" s="98"/>
      <c r="VNE3" s="98"/>
      <c r="VNF3" s="98"/>
      <c r="VNG3" s="98"/>
      <c r="VNH3" s="98"/>
      <c r="VNI3" s="98"/>
      <c r="VNJ3" s="98"/>
      <c r="VNK3" s="98"/>
      <c r="VNL3" s="98"/>
      <c r="VNM3" s="98"/>
      <c r="VNN3" s="98"/>
      <c r="VNO3" s="98"/>
      <c r="VNP3" s="98"/>
      <c r="VNQ3" s="98"/>
      <c r="VNR3" s="98"/>
      <c r="VNS3" s="98"/>
      <c r="VNT3" s="98"/>
      <c r="VNU3" s="98"/>
      <c r="VNV3" s="98"/>
      <c r="VNW3" s="98"/>
      <c r="VNX3" s="98"/>
      <c r="VNY3" s="98"/>
      <c r="VNZ3" s="98"/>
      <c r="VOA3" s="98"/>
      <c r="VOB3" s="98"/>
      <c r="VOC3" s="98"/>
      <c r="VOD3" s="98"/>
      <c r="VOE3" s="98"/>
      <c r="VOF3" s="98"/>
      <c r="VOG3" s="98"/>
      <c r="VOH3" s="98"/>
      <c r="VOI3" s="98"/>
      <c r="VOJ3" s="98"/>
      <c r="VOK3" s="98"/>
      <c r="VOL3" s="98"/>
      <c r="VOM3" s="98"/>
      <c r="VON3" s="98"/>
      <c r="VOO3" s="98"/>
      <c r="VOP3" s="98"/>
      <c r="VOQ3" s="98"/>
      <c r="VOR3" s="98"/>
      <c r="VOS3" s="98"/>
      <c r="VOT3" s="98"/>
      <c r="VOU3" s="98"/>
      <c r="VOV3" s="98"/>
      <c r="VOW3" s="98"/>
      <c r="VOX3" s="98"/>
      <c r="VOY3" s="98"/>
      <c r="VOZ3" s="98"/>
      <c r="VPA3" s="98"/>
      <c r="VPB3" s="98"/>
      <c r="VPC3" s="98"/>
      <c r="VPD3" s="98"/>
      <c r="VPE3" s="98"/>
      <c r="VPF3" s="98"/>
      <c r="VPG3" s="98"/>
      <c r="VPH3" s="98"/>
      <c r="VPI3" s="98"/>
      <c r="VPJ3" s="98"/>
      <c r="VPK3" s="98"/>
      <c r="VPL3" s="98"/>
      <c r="VPM3" s="98"/>
      <c r="VPN3" s="98"/>
      <c r="VPO3" s="98"/>
      <c r="VPP3" s="98"/>
      <c r="VPQ3" s="98"/>
      <c r="VPR3" s="98"/>
      <c r="VPS3" s="98"/>
      <c r="VPT3" s="98"/>
      <c r="VPU3" s="98"/>
      <c r="VPV3" s="98"/>
      <c r="VPW3" s="98"/>
      <c r="VPX3" s="98"/>
      <c r="VPY3" s="98"/>
      <c r="VPZ3" s="98"/>
      <c r="VQA3" s="98"/>
      <c r="VQB3" s="98"/>
      <c r="VQC3" s="98"/>
      <c r="VQD3" s="98"/>
      <c r="VQE3" s="98"/>
      <c r="VQF3" s="98"/>
      <c r="VQG3" s="98"/>
      <c r="VQH3" s="98"/>
      <c r="VQI3" s="98"/>
      <c r="VQJ3" s="98"/>
      <c r="VQK3" s="98"/>
      <c r="VQL3" s="98"/>
      <c r="VQM3" s="98"/>
      <c r="VQN3" s="98"/>
      <c r="VQO3" s="98"/>
      <c r="VQP3" s="98"/>
      <c r="VQQ3" s="98"/>
      <c r="VQR3" s="98"/>
      <c r="VQS3" s="98"/>
      <c r="VQT3" s="98"/>
      <c r="VQU3" s="98"/>
      <c r="VQV3" s="98"/>
      <c r="VQW3" s="98"/>
      <c r="VQX3" s="98"/>
      <c r="VQY3" s="98"/>
      <c r="VQZ3" s="98"/>
      <c r="VRA3" s="98"/>
      <c r="VRB3" s="98"/>
      <c r="VRC3" s="98"/>
      <c r="VRD3" s="98"/>
      <c r="VRE3" s="98"/>
      <c r="VRF3" s="98"/>
      <c r="VRG3" s="98"/>
      <c r="VRH3" s="98"/>
      <c r="VRI3" s="98"/>
      <c r="VRJ3" s="98"/>
      <c r="VRK3" s="98"/>
      <c r="VRL3" s="98"/>
      <c r="VRM3" s="98"/>
      <c r="VRN3" s="98"/>
      <c r="VRO3" s="98"/>
      <c r="VRP3" s="98"/>
      <c r="VRQ3" s="98"/>
      <c r="VRR3" s="98"/>
      <c r="VRS3" s="98"/>
      <c r="VRT3" s="98"/>
      <c r="VRU3" s="98"/>
      <c r="VRV3" s="98"/>
      <c r="VRW3" s="98"/>
      <c r="VRX3" s="98"/>
      <c r="VRY3" s="98"/>
      <c r="VRZ3" s="98"/>
      <c r="VSA3" s="98"/>
      <c r="VSB3" s="98"/>
      <c r="VSC3" s="98"/>
      <c r="VSD3" s="98"/>
      <c r="VSE3" s="98"/>
      <c r="VSF3" s="98"/>
      <c r="VSG3" s="98"/>
      <c r="VSH3" s="98"/>
      <c r="VSI3" s="98"/>
      <c r="VSJ3" s="98"/>
      <c r="VSK3" s="98"/>
      <c r="VSL3" s="98"/>
      <c r="VSM3" s="98"/>
      <c r="VSN3" s="98"/>
      <c r="VSO3" s="98"/>
      <c r="VSP3" s="98"/>
      <c r="VSQ3" s="98"/>
      <c r="VSR3" s="98"/>
      <c r="VSS3" s="98"/>
      <c r="VST3" s="98"/>
      <c r="VSU3" s="98"/>
      <c r="VSV3" s="98"/>
      <c r="VSW3" s="98"/>
      <c r="VSX3" s="98"/>
      <c r="VSY3" s="98"/>
      <c r="VSZ3" s="98"/>
      <c r="VTA3" s="98"/>
      <c r="VTB3" s="98"/>
      <c r="VTC3" s="98"/>
      <c r="VTD3" s="98"/>
      <c r="VTE3" s="98"/>
      <c r="VTF3" s="98"/>
      <c r="VTG3" s="98"/>
      <c r="VTH3" s="98"/>
      <c r="VTI3" s="98"/>
      <c r="VTJ3" s="98"/>
      <c r="VTK3" s="98"/>
      <c r="VTL3" s="98"/>
      <c r="VTM3" s="98"/>
      <c r="VTN3" s="98"/>
      <c r="VTO3" s="98"/>
      <c r="VTP3" s="98"/>
      <c r="VTQ3" s="98"/>
      <c r="VTR3" s="98"/>
      <c r="VTS3" s="98"/>
      <c r="VTT3" s="98"/>
      <c r="VTU3" s="98"/>
      <c r="VTV3" s="98"/>
      <c r="VTW3" s="98"/>
      <c r="VTX3" s="98"/>
      <c r="VTY3" s="98"/>
      <c r="VTZ3" s="98"/>
      <c r="VUA3" s="98"/>
      <c r="VUB3" s="98"/>
      <c r="VUC3" s="98"/>
      <c r="VUD3" s="98"/>
      <c r="VUE3" s="98"/>
      <c r="VUF3" s="98"/>
      <c r="VUG3" s="98"/>
      <c r="VUH3" s="98"/>
      <c r="VUI3" s="98"/>
      <c r="VUJ3" s="98"/>
      <c r="VUK3" s="98"/>
      <c r="VUL3" s="98"/>
      <c r="VUM3" s="98"/>
      <c r="VUN3" s="98"/>
      <c r="VUO3" s="98"/>
      <c r="VUP3" s="98"/>
      <c r="VUQ3" s="98"/>
      <c r="VUR3" s="98"/>
      <c r="VUS3" s="98"/>
      <c r="VUT3" s="98"/>
      <c r="VUU3" s="98"/>
      <c r="VUV3" s="98"/>
      <c r="VUW3" s="98"/>
      <c r="VUX3" s="98"/>
      <c r="VUY3" s="98"/>
      <c r="VUZ3" s="98"/>
      <c r="VVA3" s="98"/>
      <c r="VVB3" s="98"/>
      <c r="VVC3" s="98"/>
      <c r="VVD3" s="98"/>
      <c r="VVE3" s="98"/>
      <c r="VVF3" s="98"/>
      <c r="VVG3" s="98"/>
      <c r="VVH3" s="98"/>
      <c r="VVI3" s="98"/>
      <c r="VVJ3" s="98"/>
      <c r="VVK3" s="98"/>
      <c r="VVL3" s="98"/>
      <c r="VVM3" s="98"/>
      <c r="VVN3" s="98"/>
      <c r="VVO3" s="98"/>
      <c r="VVP3" s="98"/>
      <c r="VVQ3" s="98"/>
      <c r="VVR3" s="98"/>
      <c r="VVS3" s="98"/>
      <c r="VVT3" s="98"/>
      <c r="VVU3" s="98"/>
      <c r="VVV3" s="98"/>
      <c r="VVW3" s="98"/>
      <c r="VVX3" s="98"/>
      <c r="VVY3" s="98"/>
      <c r="VVZ3" s="98"/>
      <c r="VWA3" s="98"/>
      <c r="VWB3" s="98"/>
      <c r="VWC3" s="98"/>
      <c r="VWD3" s="98"/>
      <c r="VWE3" s="98"/>
      <c r="VWF3" s="98"/>
      <c r="VWG3" s="98"/>
      <c r="VWH3" s="98"/>
      <c r="VWI3" s="98"/>
      <c r="VWJ3" s="98"/>
      <c r="VWK3" s="98"/>
      <c r="VWL3" s="98"/>
      <c r="VWM3" s="98"/>
      <c r="VWN3" s="98"/>
      <c r="VWO3" s="98"/>
      <c r="VWP3" s="98"/>
      <c r="VWQ3" s="98"/>
      <c r="VWR3" s="98"/>
      <c r="VWS3" s="98"/>
      <c r="VWT3" s="98"/>
      <c r="VWU3" s="98"/>
      <c r="VWV3" s="98"/>
      <c r="VWW3" s="98"/>
      <c r="VWX3" s="98"/>
      <c r="VWY3" s="98"/>
      <c r="VWZ3" s="98"/>
      <c r="VXA3" s="98"/>
      <c r="VXB3" s="98"/>
      <c r="VXC3" s="98"/>
      <c r="VXD3" s="98"/>
      <c r="VXE3" s="98"/>
      <c r="VXF3" s="98"/>
      <c r="VXG3" s="98"/>
      <c r="VXH3" s="98"/>
      <c r="VXI3" s="98"/>
      <c r="VXJ3" s="98"/>
      <c r="VXK3" s="98"/>
      <c r="VXL3" s="98"/>
      <c r="VXM3" s="98"/>
      <c r="VXN3" s="98"/>
      <c r="VXO3" s="98"/>
      <c r="VXP3" s="98"/>
      <c r="VXQ3" s="98"/>
      <c r="VXR3" s="98"/>
      <c r="VXS3" s="98"/>
      <c r="VXT3" s="98"/>
      <c r="VXU3" s="98"/>
      <c r="VXV3" s="98"/>
      <c r="VXW3" s="98"/>
      <c r="VXX3" s="98"/>
      <c r="VXY3" s="98"/>
      <c r="VXZ3" s="98"/>
      <c r="VYA3" s="98"/>
      <c r="VYB3" s="98"/>
      <c r="VYC3" s="98"/>
      <c r="VYD3" s="98"/>
      <c r="VYE3" s="98"/>
      <c r="VYF3" s="98"/>
      <c r="VYG3" s="98"/>
      <c r="VYH3" s="98"/>
      <c r="VYI3" s="98"/>
      <c r="VYJ3" s="98"/>
      <c r="VYK3" s="98"/>
      <c r="VYL3" s="98"/>
      <c r="VYM3" s="98"/>
      <c r="VYN3" s="98"/>
      <c r="VYO3" s="98"/>
      <c r="VYP3" s="98"/>
      <c r="VYQ3" s="98"/>
      <c r="VYR3" s="98"/>
      <c r="VYS3" s="98"/>
      <c r="VYT3" s="98"/>
      <c r="VYU3" s="98"/>
      <c r="VYV3" s="98"/>
      <c r="VYW3" s="98"/>
      <c r="VYX3" s="98"/>
      <c r="VYY3" s="98"/>
      <c r="VYZ3" s="98"/>
      <c r="VZA3" s="98"/>
      <c r="VZB3" s="98"/>
      <c r="VZC3" s="98"/>
      <c r="VZD3" s="98"/>
      <c r="VZE3" s="98"/>
      <c r="VZF3" s="98"/>
      <c r="VZG3" s="98"/>
      <c r="VZH3" s="98"/>
      <c r="VZI3" s="98"/>
      <c r="VZJ3" s="98"/>
      <c r="VZK3" s="98"/>
      <c r="VZL3" s="98"/>
      <c r="VZM3" s="98"/>
      <c r="VZN3" s="98"/>
      <c r="VZO3" s="98"/>
      <c r="VZP3" s="98"/>
      <c r="VZQ3" s="98"/>
      <c r="VZR3" s="98"/>
      <c r="VZS3" s="98"/>
      <c r="VZT3" s="98"/>
      <c r="VZU3" s="98"/>
      <c r="VZV3" s="98"/>
      <c r="VZW3" s="98"/>
      <c r="VZX3" s="98"/>
      <c r="VZY3" s="98"/>
      <c r="VZZ3" s="98"/>
      <c r="WAA3" s="98"/>
      <c r="WAB3" s="98"/>
      <c r="WAC3" s="98"/>
      <c r="WAD3" s="98"/>
      <c r="WAE3" s="98"/>
      <c r="WAF3" s="98"/>
      <c r="WAG3" s="98"/>
      <c r="WAH3" s="98"/>
      <c r="WAI3" s="98"/>
      <c r="WAJ3" s="98"/>
      <c r="WAK3" s="98"/>
      <c r="WAL3" s="98"/>
      <c r="WAM3" s="98"/>
      <c r="WAN3" s="98"/>
      <c r="WAO3" s="98"/>
      <c r="WAP3" s="98"/>
      <c r="WAQ3" s="98"/>
      <c r="WAR3" s="98"/>
      <c r="WAS3" s="98"/>
      <c r="WAT3" s="98"/>
      <c r="WAU3" s="98"/>
      <c r="WAV3" s="98"/>
      <c r="WAW3" s="98"/>
      <c r="WAX3" s="98"/>
      <c r="WAY3" s="98"/>
      <c r="WAZ3" s="98"/>
      <c r="WBA3" s="98"/>
      <c r="WBB3" s="98"/>
      <c r="WBC3" s="98"/>
      <c r="WBD3" s="98"/>
      <c r="WBE3" s="98"/>
      <c r="WBF3" s="98"/>
      <c r="WBG3" s="98"/>
      <c r="WBH3" s="98"/>
      <c r="WBI3" s="98"/>
      <c r="WBJ3" s="98"/>
      <c r="WBK3" s="98"/>
      <c r="WBL3" s="98"/>
      <c r="WBM3" s="98"/>
      <c r="WBN3" s="98"/>
      <c r="WBO3" s="98"/>
      <c r="WBP3" s="98"/>
      <c r="WBQ3" s="98"/>
      <c r="WBR3" s="98"/>
      <c r="WBS3" s="98"/>
      <c r="WBT3" s="98"/>
      <c r="WBU3" s="98"/>
      <c r="WBV3" s="98"/>
      <c r="WBW3" s="98"/>
      <c r="WBX3" s="98"/>
      <c r="WBY3" s="98"/>
      <c r="WBZ3" s="98"/>
      <c r="WCA3" s="98"/>
      <c r="WCB3" s="98"/>
      <c r="WCC3" s="98"/>
      <c r="WCD3" s="98"/>
      <c r="WCE3" s="98"/>
      <c r="WCF3" s="98"/>
      <c r="WCG3" s="98"/>
      <c r="WCH3" s="98"/>
      <c r="WCI3" s="98"/>
      <c r="WCJ3" s="98"/>
      <c r="WCK3" s="98"/>
      <c r="WCL3" s="98"/>
      <c r="WCM3" s="98"/>
      <c r="WCN3" s="98"/>
      <c r="WCO3" s="98"/>
      <c r="WCP3" s="98"/>
      <c r="WCQ3" s="98"/>
      <c r="WCR3" s="98"/>
      <c r="WCS3" s="98"/>
      <c r="WCT3" s="98"/>
      <c r="WCU3" s="98"/>
      <c r="WCV3" s="98"/>
      <c r="WCW3" s="98"/>
      <c r="WCX3" s="98"/>
      <c r="WCY3" s="98"/>
      <c r="WCZ3" s="98"/>
      <c r="WDA3" s="98"/>
      <c r="WDB3" s="98"/>
      <c r="WDC3" s="98"/>
      <c r="WDD3" s="98"/>
      <c r="WDE3" s="98"/>
      <c r="WDF3" s="98"/>
      <c r="WDG3" s="98"/>
      <c r="WDH3" s="98"/>
      <c r="WDI3" s="98"/>
      <c r="WDJ3" s="98"/>
      <c r="WDK3" s="98"/>
      <c r="WDL3" s="98"/>
      <c r="WDM3" s="98"/>
      <c r="WDN3" s="98"/>
      <c r="WDO3" s="98"/>
      <c r="WDP3" s="98"/>
      <c r="WDQ3" s="98"/>
      <c r="WDR3" s="98"/>
      <c r="WDS3" s="98"/>
      <c r="WDT3" s="98"/>
      <c r="WDU3" s="98"/>
      <c r="WDV3" s="98"/>
      <c r="WDW3" s="98"/>
      <c r="WDX3" s="98"/>
      <c r="WDY3" s="98"/>
      <c r="WDZ3" s="98"/>
      <c r="WEA3" s="98"/>
      <c r="WEB3" s="98"/>
      <c r="WEC3" s="98"/>
      <c r="WED3" s="98"/>
      <c r="WEE3" s="98"/>
      <c r="WEF3" s="98"/>
      <c r="WEG3" s="98"/>
      <c r="WEH3" s="98"/>
      <c r="WEI3" s="98"/>
      <c r="WEJ3" s="98"/>
      <c r="WEK3" s="98"/>
      <c r="WEL3" s="98"/>
      <c r="WEM3" s="98"/>
      <c r="WEN3" s="98"/>
      <c r="WEO3" s="98"/>
      <c r="WEP3" s="98"/>
      <c r="WEQ3" s="98"/>
      <c r="WER3" s="98"/>
      <c r="WES3" s="98"/>
      <c r="WET3" s="98"/>
      <c r="WEU3" s="98"/>
      <c r="WEV3" s="98"/>
      <c r="WEW3" s="98"/>
      <c r="WEX3" s="98"/>
      <c r="WEY3" s="98"/>
      <c r="WEZ3" s="98"/>
      <c r="WFA3" s="98"/>
      <c r="WFB3" s="98"/>
      <c r="WFC3" s="98"/>
      <c r="WFD3" s="98"/>
      <c r="WFE3" s="98"/>
      <c r="WFF3" s="98"/>
      <c r="WFG3" s="98"/>
      <c r="WFH3" s="98"/>
      <c r="WFI3" s="98"/>
      <c r="WFJ3" s="98"/>
      <c r="WFK3" s="98"/>
      <c r="WFL3" s="98"/>
      <c r="WFM3" s="98"/>
      <c r="WFN3" s="98"/>
      <c r="WFO3" s="98"/>
      <c r="WFP3" s="98"/>
      <c r="WFQ3" s="98"/>
      <c r="WFR3" s="98"/>
      <c r="WFS3" s="98"/>
      <c r="WFT3" s="98"/>
      <c r="WFU3" s="98"/>
      <c r="WFV3" s="98"/>
      <c r="WFW3" s="98"/>
      <c r="WFX3" s="98"/>
      <c r="WFY3" s="98"/>
      <c r="WFZ3" s="98"/>
      <c r="WGA3" s="98"/>
      <c r="WGB3" s="98"/>
      <c r="WGC3" s="98"/>
      <c r="WGD3" s="98"/>
      <c r="WGE3" s="98"/>
      <c r="WGF3" s="98"/>
      <c r="WGG3" s="98"/>
      <c r="WGH3" s="98"/>
      <c r="WGI3" s="98"/>
      <c r="WGJ3" s="98"/>
      <c r="WGK3" s="98"/>
      <c r="WGL3" s="98"/>
      <c r="WGM3" s="98"/>
      <c r="WGN3" s="98"/>
      <c r="WGO3" s="98"/>
      <c r="WGP3" s="98"/>
      <c r="WGQ3" s="98"/>
      <c r="WGR3" s="98"/>
      <c r="WGS3" s="98"/>
      <c r="WGT3" s="98"/>
      <c r="WGU3" s="98"/>
      <c r="WGV3" s="98"/>
      <c r="WGW3" s="98"/>
      <c r="WGX3" s="98"/>
      <c r="WGY3" s="98"/>
      <c r="WGZ3" s="98"/>
      <c r="WHA3" s="98"/>
      <c r="WHB3" s="98"/>
      <c r="WHC3" s="98"/>
      <c r="WHD3" s="98"/>
      <c r="WHE3" s="98"/>
      <c r="WHF3" s="98"/>
      <c r="WHG3" s="98"/>
      <c r="WHH3" s="98"/>
      <c r="WHI3" s="98"/>
      <c r="WHJ3" s="98"/>
      <c r="WHK3" s="98"/>
      <c r="WHL3" s="98"/>
      <c r="WHM3" s="98"/>
      <c r="WHN3" s="98"/>
      <c r="WHO3" s="98"/>
      <c r="WHP3" s="98"/>
      <c r="WHQ3" s="98"/>
      <c r="WHR3" s="98"/>
      <c r="WHS3" s="98"/>
      <c r="WHT3" s="98"/>
      <c r="WHU3" s="98"/>
      <c r="WHV3" s="98"/>
      <c r="WHW3" s="98"/>
      <c r="WHX3" s="98"/>
      <c r="WHY3" s="98"/>
      <c r="WHZ3" s="98"/>
      <c r="WIA3" s="98"/>
      <c r="WIB3" s="98"/>
      <c r="WIC3" s="98"/>
      <c r="WID3" s="98"/>
      <c r="WIE3" s="98"/>
      <c r="WIF3" s="98"/>
      <c r="WIG3" s="98"/>
      <c r="WIH3" s="98"/>
      <c r="WII3" s="98"/>
      <c r="WIJ3" s="98"/>
      <c r="WIK3" s="98"/>
      <c r="WIL3" s="98"/>
      <c r="WIM3" s="98"/>
      <c r="WIN3" s="98"/>
      <c r="WIO3" s="98"/>
      <c r="WIP3" s="98"/>
      <c r="WIQ3" s="98"/>
      <c r="WIR3" s="98"/>
      <c r="WIS3" s="98"/>
      <c r="WIT3" s="98"/>
      <c r="WIU3" s="98"/>
      <c r="WIV3" s="98"/>
      <c r="WIW3" s="98"/>
      <c r="WIX3" s="98"/>
      <c r="WIY3" s="98"/>
      <c r="WIZ3" s="98"/>
      <c r="WJA3" s="98"/>
      <c r="WJB3" s="98"/>
      <c r="WJC3" s="98"/>
      <c r="WJD3" s="98"/>
      <c r="WJE3" s="98"/>
      <c r="WJF3" s="98"/>
      <c r="WJG3" s="98"/>
      <c r="WJH3" s="98"/>
      <c r="WJI3" s="98"/>
      <c r="WJJ3" s="98"/>
      <c r="WJK3" s="98"/>
      <c r="WJL3" s="98"/>
      <c r="WJM3" s="98"/>
      <c r="WJN3" s="98"/>
      <c r="WJO3" s="98"/>
      <c r="WJP3" s="98"/>
      <c r="WJQ3" s="98"/>
      <c r="WJR3" s="98"/>
      <c r="WJS3" s="98"/>
      <c r="WJT3" s="98"/>
      <c r="WJU3" s="98"/>
      <c r="WJV3" s="98"/>
      <c r="WJW3" s="98"/>
      <c r="WJX3" s="98"/>
      <c r="WJY3" s="98"/>
      <c r="WJZ3" s="98"/>
      <c r="WKA3" s="98"/>
      <c r="WKB3" s="98"/>
      <c r="WKC3" s="98"/>
      <c r="WKD3" s="98"/>
      <c r="WKE3" s="98"/>
      <c r="WKF3" s="98"/>
      <c r="WKG3" s="98"/>
      <c r="WKH3" s="98"/>
      <c r="WKI3" s="98"/>
      <c r="WKJ3" s="98"/>
      <c r="WKK3" s="98"/>
      <c r="WKL3" s="98"/>
      <c r="WKM3" s="98"/>
      <c r="WKN3" s="98"/>
      <c r="WKO3" s="98"/>
      <c r="WKP3" s="98"/>
      <c r="WKQ3" s="98"/>
      <c r="WKR3" s="98"/>
      <c r="WKS3" s="98"/>
      <c r="WKT3" s="98"/>
      <c r="WKU3" s="98"/>
      <c r="WKV3" s="98"/>
      <c r="WKW3" s="98"/>
      <c r="WKX3" s="98"/>
      <c r="WKY3" s="98"/>
      <c r="WKZ3" s="98"/>
      <c r="WLA3" s="98"/>
      <c r="WLB3" s="98"/>
      <c r="WLC3" s="98"/>
      <c r="WLD3" s="98"/>
      <c r="WLE3" s="98"/>
      <c r="WLF3" s="98"/>
      <c r="WLG3" s="98"/>
      <c r="WLH3" s="98"/>
      <c r="WLI3" s="98"/>
      <c r="WLJ3" s="98"/>
      <c r="WLK3" s="98"/>
      <c r="WLL3" s="98"/>
      <c r="WLM3" s="98"/>
      <c r="WLN3" s="98"/>
      <c r="WLO3" s="98"/>
      <c r="WLP3" s="98"/>
      <c r="WLQ3" s="98"/>
      <c r="WLR3" s="98"/>
      <c r="WLS3" s="98"/>
      <c r="WLT3" s="98"/>
      <c r="WLU3" s="98"/>
      <c r="WLV3" s="98"/>
      <c r="WLW3" s="98"/>
      <c r="WLX3" s="98"/>
      <c r="WLY3" s="98"/>
      <c r="WLZ3" s="98"/>
      <c r="WMA3" s="98"/>
      <c r="WMB3" s="98"/>
      <c r="WMC3" s="98"/>
      <c r="WMD3" s="98"/>
      <c r="WME3" s="98"/>
      <c r="WMF3" s="98"/>
      <c r="WMG3" s="98"/>
      <c r="WMH3" s="98"/>
      <c r="WMI3" s="98"/>
      <c r="WMJ3" s="98"/>
      <c r="WMK3" s="98"/>
      <c r="WML3" s="98"/>
      <c r="WMM3" s="98"/>
      <c r="WMN3" s="98"/>
      <c r="WMO3" s="98"/>
      <c r="WMP3" s="98"/>
      <c r="WMQ3" s="98"/>
      <c r="WMR3" s="98"/>
      <c r="WMS3" s="98"/>
      <c r="WMT3" s="98"/>
      <c r="WMU3" s="98"/>
      <c r="WMV3" s="98"/>
      <c r="WMW3" s="98"/>
      <c r="WMX3" s="98"/>
      <c r="WMY3" s="98"/>
      <c r="WMZ3" s="98"/>
      <c r="WNA3" s="98"/>
      <c r="WNB3" s="98"/>
      <c r="WNC3" s="98"/>
      <c r="WND3" s="98"/>
      <c r="WNE3" s="98"/>
      <c r="WNF3" s="98"/>
      <c r="WNG3" s="98"/>
      <c r="WNH3" s="98"/>
      <c r="WNI3" s="98"/>
      <c r="WNJ3" s="98"/>
      <c r="WNK3" s="98"/>
      <c r="WNL3" s="98"/>
      <c r="WNM3" s="98"/>
      <c r="WNN3" s="98"/>
      <c r="WNO3" s="98"/>
      <c r="WNP3" s="98"/>
      <c r="WNQ3" s="98"/>
      <c r="WNR3" s="98"/>
      <c r="WNS3" s="98"/>
      <c r="WNT3" s="98"/>
      <c r="WNU3" s="98"/>
      <c r="WNV3" s="98"/>
      <c r="WNW3" s="98"/>
      <c r="WNX3" s="98"/>
      <c r="WNY3" s="98"/>
      <c r="WNZ3" s="98"/>
      <c r="WOA3" s="98"/>
      <c r="WOB3" s="98"/>
      <c r="WOC3" s="98"/>
      <c r="WOD3" s="98"/>
      <c r="WOE3" s="98"/>
      <c r="WOF3" s="98"/>
      <c r="WOG3" s="98"/>
      <c r="WOH3" s="98"/>
      <c r="WOI3" s="98"/>
      <c r="WOJ3" s="98"/>
      <c r="WOK3" s="98"/>
      <c r="WOL3" s="98"/>
      <c r="WOM3" s="98"/>
      <c r="WON3" s="98"/>
      <c r="WOO3" s="98"/>
      <c r="WOP3" s="98"/>
      <c r="WOQ3" s="98"/>
      <c r="WOR3" s="98"/>
      <c r="WOS3" s="98"/>
      <c r="WOT3" s="98"/>
      <c r="WOU3" s="98"/>
      <c r="WOV3" s="98"/>
      <c r="WOW3" s="98"/>
      <c r="WOX3" s="98"/>
      <c r="WOY3" s="98"/>
      <c r="WOZ3" s="98"/>
      <c r="WPA3" s="98"/>
      <c r="WPB3" s="98"/>
      <c r="WPC3" s="98"/>
      <c r="WPD3" s="98"/>
      <c r="WPE3" s="98"/>
      <c r="WPF3" s="98"/>
      <c r="WPG3" s="98"/>
      <c r="WPH3" s="98"/>
      <c r="WPI3" s="98"/>
      <c r="WPJ3" s="98"/>
      <c r="WPK3" s="98"/>
      <c r="WPL3" s="98"/>
      <c r="WPM3" s="98"/>
      <c r="WPN3" s="98"/>
      <c r="WPO3" s="98"/>
      <c r="WPP3" s="98"/>
      <c r="WPQ3" s="98"/>
      <c r="WPR3" s="98"/>
      <c r="WPS3" s="98"/>
      <c r="WPT3" s="98"/>
      <c r="WPU3" s="98"/>
      <c r="WPV3" s="98"/>
      <c r="WPW3" s="98"/>
      <c r="WPX3" s="98"/>
      <c r="WPY3" s="98"/>
      <c r="WPZ3" s="98"/>
      <c r="WQA3" s="98"/>
      <c r="WQB3" s="98"/>
      <c r="WQC3" s="98"/>
      <c r="WQD3" s="98"/>
      <c r="WQE3" s="98"/>
      <c r="WQF3" s="98"/>
      <c r="WQG3" s="98"/>
      <c r="WQH3" s="98"/>
      <c r="WQI3" s="98"/>
      <c r="WQJ3" s="98"/>
      <c r="WQK3" s="98"/>
      <c r="WQL3" s="98"/>
      <c r="WQM3" s="98"/>
      <c r="WQN3" s="98"/>
      <c r="WQO3" s="98"/>
      <c r="WQP3" s="98"/>
      <c r="WQQ3" s="98"/>
      <c r="WQR3" s="98"/>
      <c r="WQS3" s="98"/>
      <c r="WQT3" s="98"/>
      <c r="WQU3" s="98"/>
      <c r="WQV3" s="98"/>
      <c r="WQW3" s="98"/>
      <c r="WQX3" s="98"/>
      <c r="WQY3" s="98"/>
      <c r="WQZ3" s="98"/>
      <c r="WRA3" s="98"/>
      <c r="WRB3" s="98"/>
      <c r="WRC3" s="98"/>
      <c r="WRD3" s="98"/>
      <c r="WRE3" s="98"/>
      <c r="WRF3" s="98"/>
      <c r="WRG3" s="98"/>
      <c r="WRH3" s="98"/>
      <c r="WRI3" s="98"/>
      <c r="WRJ3" s="98"/>
      <c r="WRK3" s="98"/>
      <c r="WRL3" s="98"/>
      <c r="WRM3" s="98"/>
      <c r="WRN3" s="98"/>
      <c r="WRO3" s="98"/>
      <c r="WRP3" s="98"/>
      <c r="WRQ3" s="98"/>
      <c r="WRR3" s="98"/>
      <c r="WRS3" s="98"/>
      <c r="WRT3" s="98"/>
      <c r="WRU3" s="98"/>
      <c r="WRV3" s="98"/>
      <c r="WRW3" s="98"/>
      <c r="WRX3" s="98"/>
      <c r="WRY3" s="98"/>
      <c r="WRZ3" s="98"/>
      <c r="WSA3" s="98"/>
      <c r="WSB3" s="98"/>
      <c r="WSC3" s="98"/>
      <c r="WSD3" s="98"/>
      <c r="WSE3" s="98"/>
      <c r="WSF3" s="98"/>
      <c r="WSG3" s="98"/>
      <c r="WSH3" s="98"/>
      <c r="WSI3" s="98"/>
      <c r="WSJ3" s="98"/>
      <c r="WSK3" s="98"/>
      <c r="WSL3" s="98"/>
      <c r="WSM3" s="98"/>
      <c r="WSN3" s="98"/>
      <c r="WSO3" s="98"/>
      <c r="WSP3" s="98"/>
      <c r="WSQ3" s="98"/>
      <c r="WSR3" s="98"/>
      <c r="WSS3" s="98"/>
      <c r="WST3" s="98"/>
      <c r="WSU3" s="98"/>
      <c r="WSV3" s="98"/>
      <c r="WSW3" s="98"/>
      <c r="WSX3" s="98"/>
      <c r="WSY3" s="98"/>
      <c r="WSZ3" s="98"/>
      <c r="WTA3" s="98"/>
      <c r="WTB3" s="98"/>
      <c r="WTC3" s="98"/>
      <c r="WTD3" s="98"/>
      <c r="WTE3" s="98"/>
      <c r="WTF3" s="98"/>
      <c r="WTG3" s="98"/>
      <c r="WTH3" s="98"/>
      <c r="WTI3" s="98"/>
      <c r="WTJ3" s="98"/>
      <c r="WTK3" s="98"/>
      <c r="WTL3" s="98"/>
      <c r="WTM3" s="98"/>
      <c r="WTN3" s="98"/>
      <c r="WTO3" s="98"/>
      <c r="WTP3" s="98"/>
      <c r="WTQ3" s="98"/>
      <c r="WTR3" s="98"/>
      <c r="WTS3" s="98"/>
      <c r="WTT3" s="98"/>
      <c r="WTU3" s="98"/>
      <c r="WTV3" s="98"/>
      <c r="WTW3" s="98"/>
      <c r="WTX3" s="98"/>
      <c r="WTY3" s="98"/>
      <c r="WTZ3" s="98"/>
      <c r="WUA3" s="98"/>
      <c r="WUB3" s="98"/>
      <c r="WUC3" s="98"/>
      <c r="WUD3" s="98"/>
      <c r="WUE3" s="98"/>
      <c r="WUF3" s="98"/>
      <c r="WUG3" s="98"/>
      <c r="WUH3" s="98"/>
      <c r="WUI3" s="98"/>
      <c r="WUJ3" s="98"/>
      <c r="WUK3" s="98"/>
      <c r="WUL3" s="98"/>
      <c r="WUM3" s="98"/>
      <c r="WUN3" s="98"/>
      <c r="WUO3" s="98"/>
      <c r="WUP3" s="98"/>
      <c r="WUQ3" s="98"/>
      <c r="WUR3" s="98"/>
      <c r="WUS3" s="98"/>
      <c r="WUT3" s="98"/>
      <c r="WUU3" s="98"/>
      <c r="WUV3" s="98"/>
      <c r="WUW3" s="98"/>
      <c r="WUX3" s="98"/>
      <c r="WUY3" s="98"/>
      <c r="WUZ3" s="98"/>
      <c r="WVA3" s="98"/>
      <c r="WVB3" s="98"/>
      <c r="WVC3" s="98"/>
      <c r="WVD3" s="98"/>
      <c r="WVE3" s="98"/>
      <c r="WVF3" s="98"/>
      <c r="WVG3" s="98"/>
      <c r="WVH3" s="98"/>
      <c r="WVI3" s="98"/>
      <c r="WVJ3" s="98"/>
      <c r="WVK3" s="98"/>
      <c r="WVL3" s="98"/>
      <c r="WVM3" s="98"/>
      <c r="WVN3" s="98"/>
      <c r="WVO3" s="98"/>
      <c r="WVP3" s="98"/>
      <c r="WVQ3" s="98"/>
      <c r="WVR3" s="98"/>
      <c r="WVS3" s="98"/>
      <c r="WVT3" s="98"/>
      <c r="WVU3" s="98"/>
      <c r="WVV3" s="98"/>
      <c r="WVW3" s="98"/>
      <c r="WVX3" s="98"/>
      <c r="WVY3" s="98"/>
      <c r="WVZ3" s="98"/>
      <c r="WWA3" s="98"/>
      <c r="WWB3" s="98"/>
      <c r="WWC3" s="98"/>
      <c r="WWD3" s="98"/>
      <c r="WWE3" s="98"/>
      <c r="WWF3" s="98"/>
      <c r="WWG3" s="98"/>
      <c r="WWH3" s="98"/>
      <c r="WWI3" s="98"/>
      <c r="WWJ3" s="98"/>
      <c r="WWK3" s="98"/>
      <c r="WWL3" s="98"/>
      <c r="WWM3" s="98"/>
      <c r="WWN3" s="98"/>
      <c r="WWO3" s="98"/>
      <c r="WWP3" s="98"/>
      <c r="WWQ3" s="98"/>
      <c r="WWR3" s="98"/>
      <c r="WWS3" s="98"/>
      <c r="WWT3" s="98"/>
      <c r="WWU3" s="98"/>
      <c r="WWV3" s="98"/>
      <c r="WWW3" s="98"/>
      <c r="WWX3" s="98"/>
      <c r="WWY3" s="98"/>
      <c r="WWZ3" s="98"/>
      <c r="WXA3" s="98"/>
      <c r="WXB3" s="98"/>
      <c r="WXC3" s="98"/>
      <c r="WXD3" s="98"/>
      <c r="WXE3" s="98"/>
      <c r="WXF3" s="98"/>
      <c r="WXG3" s="98"/>
      <c r="WXH3" s="98"/>
      <c r="WXI3" s="98"/>
      <c r="WXJ3" s="98"/>
      <c r="WXK3" s="98"/>
      <c r="WXL3" s="98"/>
      <c r="WXM3" s="98"/>
      <c r="WXN3" s="98"/>
      <c r="WXO3" s="98"/>
      <c r="WXP3" s="98"/>
      <c r="WXQ3" s="98"/>
      <c r="WXR3" s="98"/>
      <c r="WXS3" s="98"/>
      <c r="WXT3" s="98"/>
      <c r="WXU3" s="98"/>
      <c r="WXV3" s="98"/>
      <c r="WXW3" s="98"/>
      <c r="WXX3" s="98"/>
      <c r="WXY3" s="98"/>
      <c r="WXZ3" s="98"/>
      <c r="WYA3" s="98"/>
      <c r="WYB3" s="98"/>
      <c r="WYC3" s="98"/>
      <c r="WYD3" s="98"/>
      <c r="WYE3" s="98"/>
      <c r="WYF3" s="98"/>
      <c r="WYG3" s="98"/>
      <c r="WYH3" s="98"/>
      <c r="WYI3" s="98"/>
      <c r="WYJ3" s="98"/>
      <c r="WYK3" s="98"/>
      <c r="WYL3" s="98"/>
      <c r="WYM3" s="98"/>
      <c r="WYN3" s="98"/>
      <c r="WYO3" s="98"/>
      <c r="WYP3" s="98"/>
      <c r="WYQ3" s="98"/>
      <c r="WYR3" s="98"/>
      <c r="WYS3" s="98"/>
      <c r="WYT3" s="98"/>
      <c r="WYU3" s="98"/>
      <c r="WYV3" s="98"/>
      <c r="WYW3" s="98"/>
      <c r="WYX3" s="98"/>
      <c r="WYY3" s="98"/>
      <c r="WYZ3" s="98"/>
      <c r="WZA3" s="98"/>
      <c r="WZB3" s="98"/>
      <c r="WZC3" s="98"/>
      <c r="WZD3" s="98"/>
      <c r="WZE3" s="98"/>
      <c r="WZF3" s="98"/>
      <c r="WZG3" s="98"/>
      <c r="WZH3" s="98"/>
      <c r="WZI3" s="98"/>
      <c r="WZJ3" s="98"/>
      <c r="WZK3" s="98"/>
      <c r="WZL3" s="98"/>
      <c r="WZM3" s="98"/>
      <c r="WZN3" s="98"/>
      <c r="WZO3" s="98"/>
      <c r="WZP3" s="98"/>
      <c r="WZQ3" s="98"/>
      <c r="WZR3" s="98"/>
      <c r="WZS3" s="98"/>
      <c r="WZT3" s="98"/>
      <c r="WZU3" s="98"/>
      <c r="WZV3" s="98"/>
      <c r="WZW3" s="98"/>
      <c r="WZX3" s="98"/>
      <c r="WZY3" s="98"/>
      <c r="WZZ3" s="98"/>
      <c r="XAA3" s="98"/>
      <c r="XAB3" s="98"/>
      <c r="XAC3" s="98"/>
      <c r="XAD3" s="98"/>
      <c r="XAE3" s="98"/>
      <c r="XAF3" s="98"/>
      <c r="XAG3" s="98"/>
      <c r="XAH3" s="98"/>
      <c r="XAI3" s="98"/>
      <c r="XAJ3" s="98"/>
      <c r="XAK3" s="98"/>
      <c r="XAL3" s="98"/>
      <c r="XAM3" s="98"/>
      <c r="XAN3" s="98"/>
      <c r="XAO3" s="98"/>
      <c r="XAP3" s="98"/>
      <c r="XAQ3" s="98"/>
      <c r="XAR3" s="98"/>
      <c r="XAS3" s="98"/>
      <c r="XAT3" s="98"/>
      <c r="XAU3" s="98"/>
      <c r="XAV3" s="98"/>
      <c r="XAW3" s="98"/>
      <c r="XAX3" s="98"/>
      <c r="XAY3" s="98"/>
      <c r="XAZ3" s="98"/>
      <c r="XBA3" s="98"/>
      <c r="XBB3" s="98"/>
      <c r="XBC3" s="98"/>
      <c r="XBD3" s="98"/>
      <c r="XBE3" s="98"/>
      <c r="XBF3" s="98"/>
      <c r="XBG3" s="98"/>
      <c r="XBH3" s="98"/>
      <c r="XBI3" s="98"/>
      <c r="XBJ3" s="98"/>
      <c r="XBK3" s="98"/>
      <c r="XBL3" s="98"/>
      <c r="XBM3" s="98"/>
      <c r="XBN3" s="98"/>
      <c r="XBO3" s="98"/>
      <c r="XBP3" s="98"/>
      <c r="XBQ3" s="98"/>
      <c r="XBR3" s="98"/>
      <c r="XBS3" s="98"/>
      <c r="XBT3" s="98"/>
      <c r="XBU3" s="98"/>
      <c r="XBV3" s="98"/>
      <c r="XBW3" s="98"/>
      <c r="XBX3" s="98"/>
      <c r="XBY3" s="98"/>
      <c r="XBZ3" s="98"/>
      <c r="XCA3" s="98"/>
      <c r="XCB3" s="98"/>
      <c r="XCC3" s="98"/>
      <c r="XCD3" s="98"/>
      <c r="XCE3" s="98"/>
      <c r="XCF3" s="98"/>
      <c r="XCG3" s="98"/>
      <c r="XCH3" s="98"/>
      <c r="XCI3" s="98"/>
      <c r="XCJ3" s="98"/>
      <c r="XCK3" s="98"/>
      <c r="XCL3" s="98"/>
      <c r="XCM3" s="98"/>
      <c r="XCN3" s="98"/>
      <c r="XCO3" s="98"/>
      <c r="XCP3" s="98"/>
      <c r="XCQ3" s="98"/>
      <c r="XCR3" s="98"/>
      <c r="XCS3" s="98"/>
      <c r="XCT3" s="98"/>
      <c r="XCU3" s="98"/>
      <c r="XCV3" s="98"/>
      <c r="XCW3" s="98"/>
      <c r="XCX3" s="98"/>
      <c r="XCY3" s="98"/>
      <c r="XCZ3" s="98"/>
      <c r="XDA3" s="98"/>
      <c r="XDB3" s="98"/>
      <c r="XDC3" s="98"/>
      <c r="XDD3" s="98"/>
      <c r="XDE3" s="98"/>
      <c r="XDF3" s="98"/>
      <c r="XDG3" s="98"/>
      <c r="XDH3" s="98"/>
      <c r="XDI3" s="98"/>
      <c r="XDJ3" s="98"/>
      <c r="XDK3" s="98"/>
      <c r="XDL3" s="98"/>
      <c r="XDM3" s="98"/>
      <c r="XDN3" s="98"/>
      <c r="XDO3" s="98"/>
      <c r="XDP3" s="98"/>
      <c r="XDQ3" s="98"/>
      <c r="XDR3" s="98"/>
      <c r="XDS3" s="98"/>
      <c r="XDT3" s="98"/>
      <c r="XDU3" s="98"/>
      <c r="XDV3" s="98"/>
      <c r="XDW3" s="98"/>
      <c r="XDX3" s="98"/>
      <c r="XDY3" s="98"/>
      <c r="XDZ3" s="98"/>
      <c r="XEA3" s="98"/>
      <c r="XEB3" s="98"/>
      <c r="XEC3" s="98"/>
      <c r="XED3" s="98"/>
      <c r="XEE3" s="98"/>
      <c r="XEF3" s="98"/>
      <c r="XEG3" s="98"/>
      <c r="XEH3" s="98"/>
      <c r="XEI3" s="98"/>
      <c r="XEJ3" s="98"/>
      <c r="XEK3" s="98"/>
      <c r="XEL3" s="98"/>
      <c r="XEM3" s="98"/>
      <c r="XEN3" s="98"/>
      <c r="XEO3" s="98"/>
      <c r="XEP3" s="98"/>
      <c r="XEQ3" s="98"/>
      <c r="XER3" s="98"/>
      <c r="XES3" s="98"/>
      <c r="XET3" s="98"/>
      <c r="XEU3" s="98"/>
      <c r="XEV3" s="98"/>
      <c r="XEW3" s="98"/>
      <c r="XEX3" s="98"/>
      <c r="XEY3" s="98"/>
      <c r="XEZ3" s="98"/>
      <c r="XFA3" s="98"/>
      <c r="XFB3" s="98"/>
      <c r="XFC3" s="98"/>
      <c r="XFD3" s="98"/>
    </row>
    <row r="4" spans="2:16384">
      <c r="B4" s="96" t="s">
        <v>220</v>
      </c>
      <c r="C4" s="331" t="s">
        <v>196</v>
      </c>
      <c r="D4" s="331"/>
      <c r="E4" s="331"/>
      <c r="F4" s="141" t="s">
        <v>90</v>
      </c>
    </row>
    <row r="5" spans="2:16384">
      <c r="B5" s="25"/>
      <c r="C5" s="88">
        <f>'Income Statement Historic'!C5</f>
        <v>45291</v>
      </c>
      <c r="D5" s="88">
        <f>'Income Statement Historic'!D5</f>
        <v>44926</v>
      </c>
      <c r="E5" s="88">
        <f>'Income Statement Historic'!E5</f>
        <v>44561</v>
      </c>
      <c r="F5" s="89"/>
    </row>
    <row r="6" spans="2:16384">
      <c r="B6" s="25" t="s">
        <v>86</v>
      </c>
      <c r="C6" s="90">
        <f>'Income Statement Historic'!C7/'Income Statement Historic'!C6</f>
        <v>0.76928482117946118</v>
      </c>
      <c r="D6" s="90">
        <f>'Income Statement Historic'!D7/'Income Statement Historic'!D6</f>
        <v>0.69801870810930244</v>
      </c>
      <c r="E6" s="90">
        <f>'Income Statement Historic'!E7/'Income Statement Historic'!E6</f>
        <v>0.69312375750143995</v>
      </c>
      <c r="F6" s="91">
        <f>AVERAGE(C6:E6)</f>
        <v>0.72014242893006786</v>
      </c>
    </row>
    <row r="7" spans="2:16384">
      <c r="B7" s="25" t="s">
        <v>87</v>
      </c>
      <c r="C7" s="92">
        <f>'Income Statement Historic'!C7/'Balance Sheet Historic'!C8</f>
        <v>5.463525612799061</v>
      </c>
      <c r="D7" s="92">
        <f>'Income Statement Historic'!D7/'Balance Sheet Historic'!D8</f>
        <v>4.4288495988784176</v>
      </c>
      <c r="E7" s="92">
        <f>'Income Statement Historic'!E7/'Balance Sheet Historic'!E8</f>
        <v>6.4801111690116384</v>
      </c>
      <c r="F7" s="93">
        <f>AVERAGE(C7:E7)</f>
        <v>5.4574954602297057</v>
      </c>
    </row>
    <row r="8" spans="2:16384">
      <c r="B8" s="25" t="s">
        <v>88</v>
      </c>
      <c r="C8" s="92">
        <f>'Income Statement Historic'!C6/'Balance Sheet Historic'!C7</f>
        <v>26.140734737979471</v>
      </c>
      <c r="D8" s="92">
        <f>'Income Statement Historic'!D6/'Balance Sheet Historic'!D7</f>
        <v>26.084534101825167</v>
      </c>
      <c r="E8" s="92">
        <f>'Income Statement Historic'!E6/'Balance Sheet Historic'!E7</f>
        <v>26.951927891837755</v>
      </c>
      <c r="F8" s="93">
        <f>AVERAGE(C8:E8)</f>
        <v>26.392398910547467</v>
      </c>
    </row>
    <row r="9" spans="2:16384">
      <c r="B9" s="25" t="s">
        <v>89</v>
      </c>
      <c r="C9" s="92">
        <f>'Income Statement Historic'!C7/'Balance Sheet Historic'!C19</f>
        <v>5.1587554570022869</v>
      </c>
      <c r="D9" s="92">
        <f>'Income Statement Historic'!D7/'Balance Sheet Historic'!D19</f>
        <v>3.7274336283185843</v>
      </c>
      <c r="E9" s="92">
        <f>'Income Statement Historic'!E7/'Balance Sheet Historic'!E19</f>
        <v>3.7212967581047383</v>
      </c>
      <c r="F9" s="93">
        <f>AVERAGE(C9:E9)</f>
        <v>4.2024952811418705</v>
      </c>
    </row>
    <row r="10" spans="2:16384">
      <c r="B10" s="25"/>
      <c r="C10" s="25"/>
      <c r="D10" s="25"/>
      <c r="E10" s="25"/>
      <c r="F10" s="94"/>
    </row>
    <row r="11" spans="2:16384">
      <c r="B11" s="25" t="s">
        <v>91</v>
      </c>
      <c r="C11" s="95">
        <f>('Income Statement Historic'!C6-'Income Statement Historic'!D6)/'Income Statement Historic'!D6</f>
        <v>0.18795266504627925</v>
      </c>
      <c r="D11" s="95">
        <f>('Income Statement Historic'!D6-'Income Statement Historic'!E6)/'Income Statement Historic'!E6</f>
        <v>0.51351652639206291</v>
      </c>
      <c r="E11" s="95">
        <f>('Income Statement Historic'!E6-'Income Statement Historic'!F6)/'Income Statement Historic'!F6</f>
        <v>0.70671613394216137</v>
      </c>
      <c r="F11" s="91">
        <f>AVERAGE(C11:E11)</f>
        <v>0.4693951084601678</v>
      </c>
    </row>
  </sheetData>
  <mergeCells count="1">
    <mergeCell ref="C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40</vt:i4>
      </vt:variant>
    </vt:vector>
  </HeadingPairs>
  <TitlesOfParts>
    <vt:vector size="50" baseType="lpstr">
      <vt:lpstr>Assumptions</vt:lpstr>
      <vt:lpstr>DCF</vt:lpstr>
      <vt:lpstr>Comparable multiples</vt:lpstr>
      <vt:lpstr>Charts</vt:lpstr>
      <vt:lpstr>PPE &amp; Depreciation Schedule</vt:lpstr>
      <vt:lpstr>Income Statement Historic</vt:lpstr>
      <vt:lpstr>Cash flow statement Historic</vt:lpstr>
      <vt:lpstr>Balance Sheet Historic</vt:lpstr>
      <vt:lpstr>Information from Python</vt:lpstr>
      <vt:lpstr>Ratios</vt:lpstr>
      <vt:lpstr>Average_Gross_Margin</vt:lpstr>
      <vt:lpstr>Average_Growth_Sales</vt:lpstr>
      <vt:lpstr>Average_Inventory_Turnover</vt:lpstr>
      <vt:lpstr>Average_Payable_Turnover</vt:lpstr>
      <vt:lpstr>Average_Receivables_Turnover</vt:lpstr>
      <vt:lpstr>Beta_Equity</vt:lpstr>
      <vt:lpstr>Cash</vt:lpstr>
      <vt:lpstr>EBITDA_FY0</vt:lpstr>
      <vt:lpstr>EBITDA_FY1</vt:lpstr>
      <vt:lpstr>EV_EBITDA_FY0</vt:lpstr>
      <vt:lpstr>EV_REVENUE_FY0</vt:lpstr>
      <vt:lpstr>Forecasted_Years</vt:lpstr>
      <vt:lpstr>Gross_Margin</vt:lpstr>
      <vt:lpstr>Growth_Non_Operating</vt:lpstr>
      <vt:lpstr>Growth_RATE_ONWC</vt:lpstr>
      <vt:lpstr>Growth_RATE_PPE</vt:lpstr>
      <vt:lpstr>Growth_Sales</vt:lpstr>
      <vt:lpstr>Growth_SGA</vt:lpstr>
      <vt:lpstr>High_Share_Price</vt:lpstr>
      <vt:lpstr>Industry</vt:lpstr>
      <vt:lpstr>Interest_Rate</vt:lpstr>
      <vt:lpstr>Latest_Interest</vt:lpstr>
      <vt:lpstr>Low_Share_Price</vt:lpstr>
      <vt:lpstr>Market_Return</vt:lpstr>
      <vt:lpstr>Name</vt:lpstr>
      <vt:lpstr>Perpetuity_Growth_Rate</vt:lpstr>
      <vt:lpstr>Revenue_FY0</vt:lpstr>
      <vt:lpstr>Revenue_FY1</vt:lpstr>
      <vt:lpstr>Risk_Premium</vt:lpstr>
      <vt:lpstr>Riskfree_Return</vt:lpstr>
      <vt:lpstr>Shares_Outstanding</vt:lpstr>
      <vt:lpstr>Start_Year</vt:lpstr>
      <vt:lpstr>Tax_Rate</vt:lpstr>
      <vt:lpstr>Ticker</vt:lpstr>
      <vt:lpstr>Total_Debt</vt:lpstr>
      <vt:lpstr>Total_Debt_FY_minu1</vt:lpstr>
      <vt:lpstr>Total_Debt_FY0</vt:lpstr>
      <vt:lpstr>WACC</vt:lpstr>
      <vt:lpstr>Yearly_Depreciation</vt:lpstr>
      <vt:lpstr>Years_Forecasted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Walker, Mats Frederik</dc:creator>
  <cp:lastModifiedBy>Walker, Mats Frederik</cp:lastModifiedBy>
  <dcterms:created xsi:type="dcterms:W3CDTF">2024-12-10T14:36:06Z</dcterms:created>
  <dcterms:modified xsi:type="dcterms:W3CDTF">2025-03-17T10:22:18Z</dcterms:modified>
</cp:coreProperties>
</file>